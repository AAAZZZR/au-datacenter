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xr:revisionPtr revIDLastSave="0" documentId="8_{762756EF-9E7F-419F-8E79-FBDEFE4900D2}" xr6:coauthVersionLast="47" xr6:coauthVersionMax="47" xr10:uidLastSave="{00000000-0000-0000-0000-000000000000}"/>
  <bookViews>
    <workbookView xWindow="5628" yWindow="3360" windowWidth="17280" windowHeight="8880" xr2:uid="{00000000-000D-0000-FFFF-FFFF00000000}"/>
  </bookViews>
  <sheets>
    <sheet name="說明" sheetId="1" r:id="rId1"/>
    <sheet name="總覽" sheetId="2" r:id="rId2"/>
    <sheet name="專案清單" sheetId="3" r:id="rId3"/>
    <sheet name="NSW 新南威爾斯" sheetId="4" r:id="rId4"/>
    <sheet name="VIC 維多利亞" sheetId="5" r:id="rId5"/>
    <sheet name="QLD 昆士蘭" sheetId="6" r:id="rId6"/>
    <sheet name="WA 西澳" sheetId="7" r:id="rId7"/>
    <sheet name="SA 南澳" sheetId="8" r:id="rId8"/>
    <sheet name="ACT 首都領地" sheetId="9" r:id="rId9"/>
    <sheet name="TAS 塔斯馬尼亞" sheetId="10" r:id="rId10"/>
    <sheet name="NT 北領地" sheetId="11" r:id="rId11"/>
    <sheet name="完工時間窗" sheetId="12" r:id="rId12"/>
    <sheet name="差異與待確認" sheetId="13" r:id="rId13"/>
    <sheet name="排除清單" sheetId="14" r:id="rId14"/>
    <sheet name="來源" sheetId="15" r:id="rId15"/>
    <sheet name="搜尋紀錄" sheetId="16" r:id="rId16"/>
  </sheets>
  <definedNames>
    <definedName name="_xlnm._FilterDatabase" localSheetId="8" hidden="1">'ACT 首都領地'!$A$4:$O$6</definedName>
    <definedName name="_xlnm._FilterDatabase" localSheetId="3" hidden="1">'NSW 新南威爾斯'!$A$4:$O$40</definedName>
    <definedName name="_xlnm._FilterDatabase" localSheetId="10" hidden="1">'NT 北領地'!$A$4:$O$5</definedName>
    <definedName name="_xlnm._FilterDatabase" localSheetId="5" hidden="1">'QLD 昆士蘭'!$A$4:$O$7</definedName>
    <definedName name="_xlnm._FilterDatabase" localSheetId="7" hidden="1">'SA 南澳'!$A$4:$O$7</definedName>
    <definedName name="_xlnm._FilterDatabase" localSheetId="9" hidden="1">'TAS 塔斯馬尼亞'!$A$4:$O$7</definedName>
    <definedName name="_xlnm._FilterDatabase" localSheetId="4" hidden="1">'VIC 維多利亞'!$A$4:$O$33</definedName>
    <definedName name="_xlnm._FilterDatabase" localSheetId="6" hidden="1">'WA 西澳'!$A$4:$O$6</definedName>
    <definedName name="_xlnm._FilterDatabase" localSheetId="14" hidden="1">來源!$A$5:$H$611</definedName>
    <definedName name="_xlnm._FilterDatabase" localSheetId="2" hidden="1">專案清單!$A$1:$AK$80</definedName>
    <definedName name="_xlnm._FilterDatabase" localSheetId="13" hidden="1">排除清單!$A$4:$I$194</definedName>
    <definedName name="_xlnm._FilterDatabase" localSheetId="15" hidden="1">搜尋紀錄!$A$4:$D$493</definedName>
    <definedName name="_xlnm.Print_Titles" localSheetId="8">'ACT 首都領地'!$4:$4</definedName>
    <definedName name="_xlnm.Print_Titles" localSheetId="3">'NSW 新南威爾斯'!$4:$4</definedName>
    <definedName name="_xlnm.Print_Titles" localSheetId="10">'NT 北領地'!$4:$4</definedName>
    <definedName name="_xlnm.Print_Titles" localSheetId="5">'QLD 昆士蘭'!$4:$4</definedName>
    <definedName name="_xlnm.Print_Titles" localSheetId="7">'SA 南澳'!$4:$4</definedName>
    <definedName name="_xlnm.Print_Titles" localSheetId="9">'TAS 塔斯馬尼亞'!$4:$4</definedName>
    <definedName name="_xlnm.Print_Titles" localSheetId="4">'VIC 維多利亞'!$4:$4</definedName>
    <definedName name="_xlnm.Print_Titles" localSheetId="6">'WA 西澳'!$4:$4</definedName>
    <definedName name="_xlnm.Print_Titles" localSheetId="11">完工時間窗!$11:$11</definedName>
    <definedName name="_xlnm.Print_Titles" localSheetId="14">來源!$5:$5</definedName>
    <definedName name="_xlnm.Print_Titles" localSheetId="2">專案清單!$1:$1</definedName>
    <definedName name="_xlnm.Print_Titles" localSheetId="13">排除清單!$4:$4</definedName>
    <definedName name="_xlnm.Print_Titles" localSheetId="15">搜尋紀錄!$4:$4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5" l="1"/>
  <c r="F112" i="12"/>
  <c r="E112" i="12"/>
  <c r="D112" i="12"/>
  <c r="F108" i="12"/>
  <c r="E108" i="12"/>
  <c r="D108" i="12"/>
  <c r="F107" i="12"/>
  <c r="E107" i="12"/>
  <c r="D107" i="12"/>
  <c r="F53" i="12"/>
  <c r="E53" i="12"/>
  <c r="D53" i="12"/>
  <c r="F52" i="12"/>
  <c r="E52" i="12"/>
  <c r="D52" i="12"/>
  <c r="F36" i="12"/>
  <c r="E36" i="12"/>
  <c r="D36" i="12"/>
  <c r="F30" i="12"/>
  <c r="E30" i="12"/>
  <c r="D30" i="12"/>
  <c r="F29" i="12"/>
  <c r="E29" i="12"/>
  <c r="D29" i="12"/>
  <c r="F20" i="12"/>
  <c r="E20" i="12"/>
  <c r="D20" i="12"/>
  <c r="F19" i="12"/>
  <c r="E19" i="12"/>
  <c r="D19" i="12"/>
  <c r="A2" i="11"/>
  <c r="A2" i="10"/>
  <c r="A2" i="9"/>
  <c r="A2" i="8"/>
  <c r="A2" i="7"/>
  <c r="A2" i="6"/>
  <c r="A2" i="5"/>
  <c r="A2" i="4"/>
  <c r="E60" i="2"/>
  <c r="D60" i="2"/>
  <c r="C60" i="2"/>
  <c r="E59" i="2"/>
  <c r="D59" i="2"/>
  <c r="C59" i="2"/>
  <c r="E58" i="2"/>
  <c r="D58" i="2"/>
  <c r="C58" i="2"/>
  <c r="E57" i="2"/>
  <c r="D57" i="2"/>
  <c r="C57" i="2"/>
  <c r="E56" i="2"/>
  <c r="D56" i="2"/>
  <c r="C56" i="2"/>
  <c r="E55" i="2"/>
  <c r="D55" i="2"/>
  <c r="C55" i="2"/>
  <c r="E54" i="2"/>
  <c r="D54" i="2"/>
  <c r="C54" i="2"/>
  <c r="E53" i="2"/>
  <c r="D53" i="2"/>
  <c r="C53" i="2"/>
  <c r="F48" i="2"/>
  <c r="E48" i="2"/>
  <c r="D48" i="2"/>
  <c r="C48" i="2"/>
  <c r="F47" i="2"/>
  <c r="E47" i="2"/>
  <c r="D47" i="2"/>
  <c r="C47" i="2"/>
  <c r="F46" i="2"/>
  <c r="E46" i="2"/>
  <c r="D46" i="2"/>
  <c r="C46" i="2"/>
  <c r="F45" i="2"/>
  <c r="E45" i="2"/>
  <c r="D45" i="2"/>
  <c r="C45" i="2"/>
  <c r="F44" i="2"/>
  <c r="E44" i="2"/>
  <c r="D44" i="2"/>
  <c r="C44" i="2"/>
  <c r="F43" i="2"/>
  <c r="E43" i="2"/>
  <c r="D43" i="2"/>
  <c r="C43" i="2"/>
  <c r="F42" i="2"/>
  <c r="E42" i="2"/>
  <c r="D42" i="2"/>
  <c r="C42" i="2"/>
  <c r="F41" i="2"/>
  <c r="E41" i="2"/>
  <c r="D41" i="2"/>
  <c r="D49" i="2" s="1"/>
  <c r="C41" i="2"/>
  <c r="C49" i="2" s="1"/>
  <c r="G36" i="2"/>
  <c r="F36" i="2"/>
  <c r="E36" i="2"/>
  <c r="D36" i="2"/>
  <c r="C36" i="2"/>
  <c r="G35" i="2"/>
  <c r="F35" i="2"/>
  <c r="E35" i="2"/>
  <c r="D35" i="2"/>
  <c r="C35" i="2"/>
  <c r="H35" i="2" s="1"/>
  <c r="G34" i="2"/>
  <c r="F34" i="2"/>
  <c r="E34" i="2"/>
  <c r="D34" i="2"/>
  <c r="C34" i="2"/>
  <c r="G33" i="2"/>
  <c r="F33" i="2"/>
  <c r="E33" i="2"/>
  <c r="D33" i="2"/>
  <c r="C33" i="2"/>
  <c r="H33" i="2" s="1"/>
  <c r="G32" i="2"/>
  <c r="F32" i="2"/>
  <c r="E32" i="2"/>
  <c r="D32" i="2"/>
  <c r="C32" i="2"/>
  <c r="G31" i="2"/>
  <c r="F31" i="2"/>
  <c r="E31" i="2"/>
  <c r="D31" i="2"/>
  <c r="C31" i="2"/>
  <c r="H31" i="2" s="1"/>
  <c r="G30" i="2"/>
  <c r="F30" i="2"/>
  <c r="E30" i="2"/>
  <c r="D30" i="2"/>
  <c r="C30" i="2"/>
  <c r="G29" i="2"/>
  <c r="F29" i="2"/>
  <c r="E29" i="2"/>
  <c r="D29" i="2"/>
  <c r="C29" i="2"/>
  <c r="G24" i="2"/>
  <c r="F24" i="2"/>
  <c r="E24" i="2"/>
  <c r="D24" i="2"/>
  <c r="C24" i="2"/>
  <c r="H24" i="2" s="1"/>
  <c r="G23" i="2"/>
  <c r="F23" i="2"/>
  <c r="E23" i="2"/>
  <c r="D23" i="2"/>
  <c r="C23" i="2"/>
  <c r="G22" i="2"/>
  <c r="F22" i="2"/>
  <c r="E22" i="2"/>
  <c r="D22" i="2"/>
  <c r="C22" i="2"/>
  <c r="H22" i="2" s="1"/>
  <c r="G21" i="2"/>
  <c r="F21" i="2"/>
  <c r="E21" i="2"/>
  <c r="D21" i="2"/>
  <c r="C21" i="2"/>
  <c r="G20" i="2"/>
  <c r="F20" i="2"/>
  <c r="E20" i="2"/>
  <c r="D20" i="2"/>
  <c r="C20" i="2"/>
  <c r="H20" i="2" s="1"/>
  <c r="G19" i="2"/>
  <c r="F19" i="2"/>
  <c r="E19" i="2"/>
  <c r="D19" i="2"/>
  <c r="C19" i="2"/>
  <c r="G18" i="2"/>
  <c r="F18" i="2"/>
  <c r="E18" i="2"/>
  <c r="D18" i="2"/>
  <c r="C18" i="2"/>
  <c r="H18" i="2" s="1"/>
  <c r="G17" i="2"/>
  <c r="F17" i="2"/>
  <c r="F25" i="2" s="1"/>
  <c r="E17" i="2"/>
  <c r="E25" i="2" s="1"/>
  <c r="D17" i="2"/>
  <c r="C17" i="2"/>
  <c r="B13" i="2"/>
  <c r="H12" i="2"/>
  <c r="G12" i="2"/>
  <c r="F12" i="2"/>
  <c r="E12" i="2"/>
  <c r="D12" i="2"/>
  <c r="C12" i="2"/>
  <c r="B12" i="2"/>
  <c r="D110" i="12" l="1"/>
  <c r="H23" i="2"/>
  <c r="D37" i="2"/>
  <c r="E110" i="12"/>
  <c r="F49" i="2"/>
  <c r="C37" i="2"/>
  <c r="H21" i="2"/>
  <c r="E37" i="2"/>
  <c r="F110" i="12"/>
  <c r="H19" i="2"/>
  <c r="F37" i="2"/>
  <c r="H36" i="2"/>
  <c r="D111" i="12"/>
  <c r="E49" i="2"/>
  <c r="H17" i="2"/>
  <c r="G37" i="2"/>
  <c r="H34" i="2"/>
  <c r="C61" i="2"/>
  <c r="E111" i="12"/>
  <c r="G25" i="2"/>
  <c r="D25" i="2"/>
  <c r="H29" i="2"/>
  <c r="H32" i="2"/>
  <c r="D61" i="2"/>
  <c r="F111" i="12"/>
  <c r="H30" i="2"/>
  <c r="E61" i="2"/>
  <c r="G48" i="2"/>
  <c r="G43" i="2"/>
  <c r="G45" i="2"/>
  <c r="G47" i="2"/>
  <c r="G42" i="2"/>
  <c r="G44" i="2"/>
  <c r="G46" i="2"/>
  <c r="G41" i="2"/>
  <c r="G49" i="2" s="1"/>
  <c r="H25" i="2"/>
  <c r="H37" i="2"/>
  <c r="C2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build_xlsx</author>
  </authors>
  <commentList>
    <comment ref="L2" authorId="0" shapeId="0" xr:uid="{00000000-0006-0000-0200-000001000000}">
      <text>
        <r>
          <rPr>
            <sz val="10"/>
            <rFont val="Microsoft JhengHei"/>
          </rPr>
          <t>Nominatim 門牌級（結構化地址查詢）</t>
        </r>
      </text>
    </comment>
    <comment ref="X2" authorId="0" shapeId="0" xr:uid="{00000000-0006-0000-0200-000002000000}">
      <text>
        <r>
          <rPr>
            <sz val="10"/>
            <rFont val="Microsoft JhengHei"/>
          </rPr>
          <t>時間窗依據：BK1/BK2 營運中。</t>
        </r>
      </text>
    </comment>
    <comment ref="L3" authorId="0" shapeId="0" xr:uid="{00000000-0006-0000-0200-000003000000}">
      <text>
        <r>
          <rPr>
            <sz val="10"/>
            <rFont val="Microsoft JhengHei"/>
          </rPr>
          <t>座標取自來源（NSW Planning Portal 專案頁嵌入的地圖標記點（政府地理編碼點，約略至街廓/地址層級））；與 Nominatim 門牌級結果相差 0.1 km，已驗證</t>
        </r>
      </text>
    </comment>
    <comment ref="X3" authorId="0" shapeId="0" xr:uid="{00000000-0006-0000-0200-000004000000}">
      <text>
        <r>
          <rPr>
            <sz val="10"/>
            <rFont val="Microsoft JhengHei"/>
          </rPr>
          <t>時間窗依據：首期 6 MW 已於 2026-09 啟用；政府網站 2026-07-23 已有開始運作通知。</t>
        </r>
      </text>
    </comment>
    <comment ref="L4" authorId="0" shapeId="0" xr:uid="{00000000-0006-0000-0200-000005000000}">
      <text>
        <r>
          <rPr>
            <sz val="10"/>
            <rFont val="Microsoft JhengHei"/>
          </rPr>
          <t>Nominatim 街道級（結構化地址查詢）</t>
        </r>
      </text>
    </comment>
    <comment ref="X4" authorId="0" shapeId="0" xr:uid="{00000000-0006-0000-0200-000006000000}">
      <text>
        <r>
          <rPr>
            <sz val="10"/>
            <rFont val="Microsoft JhengHei"/>
          </rPr>
          <t>時間窗依據：營運中。</t>
        </r>
      </text>
    </comment>
    <comment ref="L5" authorId="0" shapeId="0" xr:uid="{00000000-0006-0000-0200-000007000000}">
      <text>
        <r>
          <rPr>
            <sz val="10"/>
            <rFont val="Microsoft JhengHei"/>
          </rPr>
          <t>Nominatim 門牌級（結構化地址查詢）</t>
        </r>
      </text>
    </comment>
    <comment ref="X5" authorId="0" shapeId="0" xr:uid="{00000000-0006-0000-0200-000008000000}">
      <text>
        <r>
          <rPr>
            <sz val="10"/>
            <rFont val="Microsoft JhengHei"/>
          </rPr>
          <t>時間窗依據：DB1 已建成（2025-09 報導）。</t>
        </r>
      </text>
    </comment>
    <comment ref="L6" authorId="0" shapeId="0" xr:uid="{00000000-0006-0000-0200-000009000000}">
      <text>
        <r>
          <rPr>
            <sz val="10"/>
            <rFont val="Microsoft JhengHei"/>
          </rPr>
          <t>座標取自來源（OSM Nominatim 建物 Fujitsu Data Centre, 3-5 Summit Road（2026-10-03 查詢）；DatacenterMap 點位 (-37.94758, 145.18580) 吻合）；與 Nominatim 門牌級結果相差 0.0 km，已驗證</t>
        </r>
      </text>
    </comment>
    <comment ref="X6" authorId="0" shapeId="0" xr:uid="{00000000-0006-0000-0200-00000A000000}">
      <text>
        <r>
          <rPr>
            <sz val="10"/>
            <rFont val="Microsoft JhengHei"/>
          </rPr>
          <t>時間窗依據：營運中；收購尚未交割。</t>
        </r>
      </text>
    </comment>
    <comment ref="L7" authorId="0" shapeId="0" xr:uid="{00000000-0006-0000-0200-00000B000000}">
      <text>
        <r>
          <rPr>
            <sz val="10"/>
            <rFont val="Microsoft JhengHei"/>
          </rPr>
          <t>座標取自來源（OSM POI（NSW-A 查得））；與 Nominatim 門牌級結果相差 0.0 km，已驗證</t>
        </r>
      </text>
    </comment>
    <comment ref="X7" authorId="0" shapeId="0" xr:uid="{00000000-0006-0000-0200-00000C000000}">
      <text>
        <r>
          <rPr>
            <sz val="10"/>
            <rFont val="Microsoft JhengHei"/>
          </rPr>
          <t>時間窗依據：營運中站點；Next Capital 收購尚未交割。</t>
        </r>
      </text>
    </comment>
    <comment ref="L8" authorId="0" shapeId="0" xr:uid="{00000000-0006-0000-0200-00000D000000}">
      <text>
        <r>
          <rPr>
            <sz val="10"/>
            <rFont val="Microsoft JhengHei"/>
          </rPr>
          <t>Nominatim 門牌級（結構化地址查詢）</t>
        </r>
      </text>
    </comment>
    <comment ref="X8" authorId="0" shapeId="0" xr:uid="{00000000-0006-0000-0200-00000E000000}">
      <text>
        <r>
          <rPr>
            <sz val="10"/>
            <rFont val="Microsoft JhengHei"/>
          </rPr>
          <t>時間窗依據：僅聚合站（Baxtel）：MEL02A 2026、MEL02B 2027；STACK 未公布。</t>
        </r>
      </text>
    </comment>
    <comment ref="L9" authorId="0" shapeId="0" xr:uid="{00000000-0006-0000-0200-00000F000000}">
      <text>
        <r>
          <rPr>
            <sz val="10"/>
            <rFont val="Microsoft JhengHei"/>
          </rPr>
          <t>Nominatim 街道級（結構化地址查詢）</t>
        </r>
      </text>
    </comment>
    <comment ref="X9" authorId="0" shapeId="0" xr:uid="{00000000-0006-0000-0200-000010000000}">
      <text>
        <r>
          <rPr>
            <sz val="10"/>
            <rFont val="Microsoft JhengHei"/>
          </rPr>
          <t>時間窗依據：第一棟 MA1 2027-01 開始營運（CDC 官網）。</t>
        </r>
      </text>
    </comment>
    <comment ref="L10" authorId="0" shapeId="0" xr:uid="{00000000-0006-0000-0200-000011000000}">
      <text>
        <r>
          <rPr>
            <sz val="10"/>
            <rFont val="Microsoft JhengHei"/>
          </rPr>
          <t>Nominatim 門牌級（結構化地址查詢）</t>
        </r>
      </text>
    </comment>
    <comment ref="X10" authorId="0" shapeId="0" xr:uid="{00000000-0006-0000-0200-000012000000}">
      <text>
        <r>
          <rPr>
            <sz val="10"/>
            <rFont val="Microsoft JhengHei"/>
          </rPr>
          <t>時間窗依據：MEL01C 2026-Q4、MEL01D 2027-Q2（STACK 官網與 Baxtel）。</t>
        </r>
      </text>
    </comment>
    <comment ref="L11" authorId="0" shapeId="0" xr:uid="{00000000-0006-0000-0200-000013000000}">
      <text>
        <r>
          <rPr>
            <sz val="10"/>
            <rFont val="Microsoft JhengHei"/>
          </rPr>
          <t>座標取自來源（DatacenterMap「Firmus Launceston」頁面座標（Tier 4 聚合器）；以 OSM Nominatim 查 Killafaddy Road 相距約 0.4–0.6 km，位置吻合；非官方基地座標）；與 Nominatim 門牌級結果相差 0.1 km，已驗證</t>
        </r>
      </text>
    </comment>
    <comment ref="X11" authorId="0" shapeId="0" xr:uid="{00000000-0006-0000-0200-000014000000}">
      <text>
        <r>
          <rPr>
            <sz val="10"/>
            <rFont val="Microsoft JhengHei"/>
          </rPr>
          <t>時間窗依據：公司稱 2026 年底，ABC 稱 2027 年初。</t>
        </r>
      </text>
    </comment>
    <comment ref="L12" authorId="0" shapeId="0" xr:uid="{00000000-0006-0000-0200-000015000000}">
      <text>
        <r>
          <rPr>
            <sz val="10"/>
            <rFont val="Microsoft JhengHei"/>
          </rPr>
          <t>Nominatim 門牌級（結構化地址查詢）</t>
        </r>
      </text>
    </comment>
    <comment ref="X12" authorId="0" shapeId="0" xr:uid="{00000000-0006-0000-0200-000016000000}">
      <text>
        <r>
          <rPr>
            <sz val="10"/>
            <rFont val="Microsoft JhengHei"/>
          </rPr>
          <t>時間窗依據：僅聚合站（Baxtel）稱 2026；Vantage 未公布日期。</t>
        </r>
      </text>
    </comment>
    <comment ref="L13" authorId="0" shapeId="0" xr:uid="{00000000-0006-0000-0200-000017000000}">
      <text>
        <r>
          <rPr>
            <sz val="10"/>
            <rFont val="Microsoft JhengHei"/>
          </rPr>
          <t>座標取自來源（NSW ePlanning OnlineDA API：DA 1382/2025/JP（PAN-518410）點位；OSM Nominatim 3 Brookhollow Avenue 為 -33.7324249, 150.9674232，兩者相近）；與 Nominatim 門牌級結果相差 0.1 km，已驗證</t>
        </r>
      </text>
    </comment>
    <comment ref="X13" authorId="0" shapeId="0" xr:uid="{00000000-0006-0000-0200-000018000000}">
      <text>
        <r>
          <rPr>
            <sz val="10"/>
            <rFont val="Microsoft JhengHei"/>
          </rPr>
          <t>時間窗依據：W.Media 2026-09-21：初始營運 2026-Q4。</t>
        </r>
      </text>
    </comment>
    <comment ref="L14" authorId="0" shapeId="0" xr:uid="{00000000-0006-0000-0200-000019000000}">
      <text>
        <r>
          <rPr>
            <sz val="10"/>
            <rFont val="Microsoft JhengHei"/>
          </rPr>
          <t>座標取自來源（NSW Planning Portal SSD-70889211 專案頁地圖點位（2026-10-03 讀取）；NSW ePlanning DA-24-00542 點位 -33.722609, 150.836600 互相吻合）；與 Nominatim 門牌級結果相差 0.0 km，已驗證</t>
        </r>
      </text>
    </comment>
    <comment ref="X14" authorId="0" shapeId="0" xr:uid="{00000000-0006-0000-0200-00001A000000}">
      <text>
        <r>
          <rPr>
            <sz val="10"/>
            <rFont val="Microsoft JhengHei"/>
          </rPr>
          <t>時間窗依據：分期交付自 2027-09 起。</t>
        </r>
      </text>
    </comment>
    <comment ref="L15" authorId="0" shapeId="0" xr:uid="{00000000-0006-0000-0200-00001B000000}">
      <text>
        <r>
          <rPr>
            <sz val="10"/>
            <rFont val="Microsoft JhengHei"/>
          </rPr>
          <t>座標取自來源（NSW Planning Portal 專案頁嵌入的地圖標記點（政府地理編碼點，約略至街廓/地址層級））；與 Nominatim 街道級結果相差 0.5 km，已驗證</t>
        </r>
      </text>
    </comment>
    <comment ref="X15" authorId="0" shapeId="0" xr:uid="{00000000-0006-0000-0200-00001C000000}">
      <text>
        <r>
          <rPr>
            <sz val="10"/>
            <rFont val="Microsoft JhengHei"/>
          </rPr>
          <t>時間窗依據：第一期約 2027 年中（Multiplex）。</t>
        </r>
      </text>
    </comment>
    <comment ref="L16" authorId="0" shapeId="0" xr:uid="{00000000-0006-0000-0200-00001D000000}">
      <text>
        <r>
          <rPr>
            <sz val="10"/>
            <rFont val="Microsoft JhengHei"/>
          </rPr>
          <t>Nominatim 門牌級（結構化地址查詢）</t>
        </r>
      </text>
    </comment>
    <comment ref="X16" authorId="0" shapeId="0" xr:uid="{00000000-0006-0000-0200-00001E000000}">
      <text>
        <r>
          <rPr>
            <sz val="10"/>
            <rFont val="Microsoft JhengHei"/>
          </rPr>
          <t>時間窗依據：AirTrunk 稱首期 2027 下半年開放；尚無施工證據。</t>
        </r>
      </text>
    </comment>
    <comment ref="L17" authorId="0" shapeId="0" xr:uid="{00000000-0006-0000-0200-00001F000000}">
      <text>
        <r>
          <rPr>
            <sz val="10"/>
            <rFont val="Microsoft JhengHei"/>
          </rPr>
          <t>座標取自來源（NSW Planning Portal 專案頁嵌入的地圖標記點（政府地理編碼點，約略至街廓/地址層級））；與 Nominatim 街道級結果相差 0.3 km，已驗證</t>
        </r>
      </text>
    </comment>
    <comment ref="X17" authorId="0" shapeId="0" xr:uid="{00000000-0006-0000-0200-000020000000}">
      <text>
        <r>
          <rPr>
            <sz val="10"/>
            <rFont val="Microsoft JhengHei"/>
          </rPr>
          <t>時間窗依據：首期 12.2 MW 排定 2028-Q2（Goodman）。</t>
        </r>
      </text>
    </comment>
    <comment ref="L18" authorId="0" shapeId="0" xr:uid="{00000000-0006-0000-0200-000021000000}">
      <text>
        <r>
          <rPr>
            <sz val="10"/>
            <rFont val="Microsoft JhengHei"/>
          </rPr>
          <t>座標取自來源（NSW Planning Portal 專案頁嵌入的地圖標記點（政府地理編碼點，約略至街廓/地址層級））；與 Nominatim 門牌級結果相差 0.0 km，已驗證</t>
        </r>
      </text>
    </comment>
    <comment ref="X18" authorId="0" shapeId="0" xr:uid="{00000000-0006-0000-0200-000022000000}">
      <text>
        <r>
          <rPr>
            <sz val="10"/>
            <rFont val="Microsoft JhengHei"/>
          </rPr>
          <t>時間窗依據：Linesight：2028 初完工。</t>
        </r>
      </text>
    </comment>
    <comment ref="L19" authorId="0" shapeId="0" xr:uid="{00000000-0006-0000-0200-000023000000}">
      <text>
        <r>
          <rPr>
            <sz val="10"/>
            <rFont val="Microsoft JhengHei"/>
          </rPr>
          <t>座標取自來源（DatacenterMap Dover SM1A 頁面；OSM Nominatim 門牌 765 Plenty Road 命中點 (-37.65092, 145.08236) 吻合）；與 Nominatim 門牌級結果相差 0.1 km，已驗證</t>
        </r>
      </text>
    </comment>
    <comment ref="X19" authorId="0" shapeId="0" xr:uid="{00000000-0006-0000-0200-000024000000}">
      <text>
        <r>
          <rPr>
            <sz val="10"/>
            <rFont val="Microsoft JhengHei"/>
          </rPr>
          <t>時間窗依據：DoverDC 稱首期 2028–2029。</t>
        </r>
      </text>
    </comment>
    <comment ref="L20" authorId="0" shapeId="0" xr:uid="{00000000-0006-0000-0200-000025000000}">
      <text>
        <r>
          <rPr>
            <sz val="10"/>
            <rFont val="Microsoft JhengHei"/>
          </rPr>
          <t>郊區中心點（近似），門牌與街道都查不到</t>
        </r>
      </text>
    </comment>
    <comment ref="X20" authorId="0" shapeId="0" xr:uid="{00000000-0006-0000-0200-000026000000}">
      <text>
        <r>
          <rPr>
            <sz val="10"/>
            <rFont val="Microsoft JhengHei"/>
          </rPr>
          <t>時間窗依據：Ready for Service 2028-Q1（營運商公告）。</t>
        </r>
      </text>
    </comment>
    <comment ref="L21" authorId="0" shapeId="0" xr:uid="{00000000-0006-0000-0200-000027000000}">
      <text>
        <r>
          <rPr>
            <sz val="10"/>
            <rFont val="Microsoft JhengHei"/>
          </rPr>
          <t>座標取自來源（NSW Planning Portal 專案頁嵌入的地圖標記點（政府地理編碼點，約略至街廓/地址層級））；與 Nominatim 門牌級結果相差 0.2 km，已驗證</t>
        </r>
      </text>
    </comment>
    <comment ref="X21" authorId="0" shapeId="0" xr:uid="{00000000-0006-0000-0200-000028000000}">
      <text>
        <r>
          <rPr>
            <sz val="10"/>
            <rFont val="Microsoft JhengHei"/>
          </rPr>
          <t>時間窗依據：預計 FY2027 開工、施工 33 個月，推算約 2029–2030。</t>
        </r>
      </text>
    </comment>
    <comment ref="L22" authorId="0" shapeId="0" xr:uid="{00000000-0006-0000-0200-000029000000}">
      <text>
        <r>
          <rPr>
            <sz val="10"/>
            <rFont val="Microsoft JhengHei"/>
          </rPr>
          <t>座標取自來源（NSW Planning Portal 專案頁嵌入的地圖標記點（政府地理編碼點，約略至街廓/地址層級））；與 Nominatim 街道級結果相差 0.5 km，已驗證</t>
        </r>
      </text>
    </comment>
    <comment ref="X22" authorId="0" shapeId="0" xr:uid="{00000000-0006-0000-0200-00002A000000}">
      <text>
        <r>
          <rPr>
            <sz val="10"/>
            <rFont val="Microsoft JhengHei"/>
          </rPr>
          <t>時間窗依據：DigiCo：88 MW 全案 FY28 底（2028-06）；評估報告施工期 21 個月。</t>
        </r>
      </text>
    </comment>
    <comment ref="L23" authorId="0" shapeId="0" xr:uid="{00000000-0006-0000-0200-00002B000000}">
      <text>
        <r>
          <rPr>
            <sz val="10"/>
            <rFont val="Microsoft JhengHei"/>
          </rPr>
          <t>座標取自來源（OpenStreetMap way 544451114（建物 DigiCo ADL1，addr 23-27 Woomera Avenue），以 Nominatim 於 2026-10-03 讀取；LGA 以 ABS ASGS2021 LGA 圖層用該座標查得（Salisbury））；與 Nominatim 門牌級結果相差 0.0 km，已驗證</t>
        </r>
      </text>
    </comment>
    <comment ref="X23" authorId="0" shapeId="0" xr:uid="{00000000-0006-0000-0200-00002C000000}">
      <text>
        <r>
          <rPr>
            <sz val="10"/>
            <rFont val="Microsoft JhengHei"/>
          </rPr>
          <t>時間窗依據：DigiCo 目標 FY28 年底前上線並計費。</t>
        </r>
      </text>
    </comment>
    <comment ref="L24" authorId="0" shapeId="0" xr:uid="{00000000-0006-0000-0200-00002D000000}">
      <text>
        <r>
          <rPr>
            <sz val="10"/>
            <rFont val="Microsoft JhengHei"/>
          </rPr>
          <t>Nominatim 街道級（結構化地址查詢）</t>
        </r>
      </text>
    </comment>
    <comment ref="X24" authorId="0" shapeId="0" xr:uid="{00000000-0006-0000-0200-00002E000000}">
      <text>
        <r>
          <rPr>
            <sz val="10"/>
            <rFont val="Microsoft JhengHei"/>
          </rPr>
          <t>時間窗依據：首期供電目標 2028 年中，視批准與 FID。</t>
        </r>
      </text>
    </comment>
    <comment ref="L25" authorId="0" shapeId="0" xr:uid="{00000000-0006-0000-0200-00002F000000}">
      <text>
        <r>
          <rPr>
            <sz val="10"/>
            <rFont val="Microsoft JhengHei"/>
          </rPr>
          <t>Nominatim 街道級（全文地址查詢）</t>
        </r>
      </text>
    </comment>
    <comment ref="X25" authorId="0" shapeId="0" xr:uid="{00000000-0006-0000-0200-000030000000}">
      <text>
        <r>
          <rPr>
            <sz val="10"/>
            <rFont val="Microsoft JhengHei"/>
          </rPr>
          <t>時間窗依據：首期通電自 2028 起。</t>
        </r>
      </text>
    </comment>
    <comment ref="L26" authorId="0" shapeId="0" xr:uid="{00000000-0006-0000-0200-000031000000}">
      <text>
        <r>
          <rPr>
            <sz val="10"/>
            <rFont val="Microsoft JhengHei"/>
          </rPr>
          <t>座標取自來源（DatacenterMap Dover SM1B 頁面；OSM Nominatim 門牌 165 Williamsons Road 命中點 (-37.64350, 145.08130) 吻合）；與 Nominatim 門牌級結果相差 0.0 km，已驗證</t>
        </r>
      </text>
    </comment>
    <comment ref="X26" authorId="0" shapeId="0" xr:uid="{00000000-0006-0000-0200-000032000000}">
      <text>
        <r>
          <rPr>
            <sz val="10"/>
            <rFont val="Microsoft JhengHei"/>
          </rPr>
          <t>時間窗依據：W.Media：2028 年底至 2029 年初。</t>
        </r>
      </text>
    </comment>
    <comment ref="L27" authorId="0" shapeId="0" xr:uid="{00000000-0006-0000-0200-000033000000}">
      <text>
        <r>
          <rPr>
            <sz val="10"/>
            <rFont val="Microsoft JhengHei"/>
          </rPr>
          <t>Nominatim 街道級（結構化地址查詢）</t>
        </r>
      </text>
    </comment>
    <comment ref="X27" authorId="0" shapeId="0" xr:uid="{00000000-0006-0000-0200-000034000000}">
      <text>
        <r>
          <rPr>
            <sz val="10"/>
            <rFont val="Microsoft JhengHei"/>
          </rPr>
          <t>時間窗依據：CDC：2028 開始營運、2029 全面營運。</t>
        </r>
      </text>
    </comment>
    <comment ref="L28" authorId="0" shapeId="0" xr:uid="{00000000-0006-0000-0200-000035000000}">
      <text>
        <r>
          <rPr>
            <sz val="10"/>
            <rFont val="Microsoft JhengHei"/>
          </rPr>
          <t>座標取自來源（NSW Planning Portal 專案頁嵌入的地圖標記點（政府地理編碼點，約略至街廓/地址層級））；與 Nominatim 門牌級結果相差 0.0 km，已驗證</t>
        </r>
      </text>
    </comment>
    <comment ref="X28" authorId="0" shapeId="0" xr:uid="{00000000-0006-0000-0200-000036000000}">
      <text>
        <r>
          <rPr>
            <sz val="10"/>
            <rFont val="Microsoft JhengHei"/>
          </rPr>
          <t>時間窗依據：範疇界定報告：Stage 2 施工 2028 Q3 至 2030 Q4。</t>
        </r>
      </text>
    </comment>
    <comment ref="L29" authorId="0" shapeId="0" xr:uid="{00000000-0006-0000-0200-000037000000}">
      <text>
        <r>
          <rPr>
            <sz val="10"/>
            <rFont val="Microsoft JhengHei"/>
          </rPr>
          <t>座標取自來源（OSM Nominatim 門牌 433 Mount Atkinson Road, Truganina 命中點（2026-10-03 查詢））；與 Nominatim 門牌級結果相差 0.0 km，已驗證</t>
        </r>
      </text>
    </comment>
    <comment ref="X29" authorId="0" shapeId="0" xr:uid="{00000000-0006-0000-0200-000038000000}">
      <text>
        <r>
          <rPr>
            <sz val="10"/>
            <rFont val="Microsoft JhengHei"/>
          </rPr>
          <t>時間窗依據：聯邦 AIPP：Phase 1 與 2 試運轉 2029-06。</t>
        </r>
      </text>
    </comment>
    <comment ref="L30" authorId="0" shapeId="0" xr:uid="{00000000-0006-0000-0200-000039000000}">
      <text>
        <r>
          <rPr>
            <sz val="10"/>
            <rFont val="Microsoft JhengHei"/>
          </rPr>
          <t>座標取自來源（NSW Planning Portal 專案頁嵌入的地圖標記點（政府地理編碼點，約略至街廓/地址層級））；與 Nominatim 門牌級結果相差 0.1 km，已驗證</t>
        </r>
      </text>
    </comment>
    <comment ref="X30" authorId="0" shapeId="0" xr:uid="{00000000-0006-0000-0200-00003A000000}">
      <text>
        <r>
          <rPr>
            <sz val="10"/>
            <rFont val="Microsoft JhengHei"/>
          </rPr>
          <t>時間窗依據：同意書規定三階段、每階段約 24 個月；Stage 2 自 2024-10-01 起算，推算約 2026-10 完成，但營運商未公布。</t>
        </r>
      </text>
    </comment>
    <comment ref="L31" authorId="0" shapeId="0" xr:uid="{00000000-0006-0000-0200-00003B000000}">
      <text>
        <r>
          <rPr>
            <sz val="10"/>
            <rFont val="Microsoft JhengHei"/>
          </rPr>
          <t>Nominatim 街道級（結構化地址查詢）</t>
        </r>
      </text>
    </comment>
    <comment ref="X31" authorId="0" shapeId="0" xr:uid="{00000000-0006-0000-0200-00003C000000}">
      <text>
        <r>
          <rPr>
            <sz val="10"/>
            <rFont val="Microsoft JhengHei"/>
          </rPr>
          <t>時間窗依據：CDC 未公布；聚合站估首期 2027 Q1。</t>
        </r>
      </text>
    </comment>
    <comment ref="L32" authorId="0" shapeId="0" xr:uid="{00000000-0006-0000-0200-00003D000000}">
      <text>
        <r>
          <rPr>
            <sz val="10"/>
            <rFont val="Microsoft JhengHei"/>
          </rPr>
          <t>Nominatim 門牌級（結構化地址查詢）</t>
        </r>
      </text>
    </comment>
    <comment ref="X32" authorId="0" shapeId="0" xr:uid="{00000000-0006-0000-0200-00003E000000}">
      <text>
        <r>
          <rPr>
            <sz val="10"/>
            <rFont val="Microsoft JhengHei"/>
          </rPr>
          <t>時間窗依據：未公布。</t>
        </r>
      </text>
    </comment>
    <comment ref="L33" authorId="0" shapeId="0" xr:uid="{00000000-0006-0000-0200-00003F000000}">
      <text>
        <r>
          <rPr>
            <sz val="10"/>
            <rFont val="Microsoft JhengHei"/>
          </rPr>
          <t>Nominatim 街道級（結構化地址查詢）</t>
        </r>
      </text>
    </comment>
    <comment ref="X33" authorId="0" shapeId="0" xr:uid="{00000000-0006-0000-0200-000040000000}">
      <text>
        <r>
          <rPr>
            <sz val="10"/>
            <rFont val="Microsoft JhengHei"/>
          </rPr>
          <t>時間窗依據：完工日「未公布」無法解析，視為未公布</t>
        </r>
      </text>
    </comment>
    <comment ref="L34" authorId="0" shapeId="0" xr:uid="{00000000-0006-0000-0200-000041000000}">
      <text>
        <r>
          <rPr>
            <sz val="10"/>
            <rFont val="Microsoft JhengHei"/>
          </rPr>
          <t>Nominatim 門牌級（結構化地址查詢）</t>
        </r>
      </text>
    </comment>
    <comment ref="X34" authorId="0" shapeId="0" xr:uid="{00000000-0006-0000-0200-000042000000}">
      <text>
        <r>
          <rPr>
            <sz val="10"/>
            <rFont val="Microsoft JhengHei"/>
          </rPr>
          <t>時間窗依據：NEXTDC FY26 簡報僅稱 60 MW 在建，未公布完工日。</t>
        </r>
      </text>
    </comment>
    <comment ref="L35" authorId="0" shapeId="0" xr:uid="{00000000-0006-0000-0200-000043000000}">
      <text>
        <r>
          <rPr>
            <sz val="10"/>
            <rFont val="Microsoft JhengHei"/>
          </rPr>
          <t>座標取自來源（ACT Government ArcGIS 圖層 ACTGOV_BLOCKS（services1.arcgis.com/E5n4f1VY84i0xSjy）Block 99 Section 7 Hume 地塊多邊形中心點（本代理計算，WGS84））；地理編碼只到郊區級（相差 1.3 km），未能精確驗證</t>
        </r>
      </text>
    </comment>
    <comment ref="X35" authorId="0" shapeId="0" xr:uid="{00000000-0006-0000-0200-000044000000}">
      <text>
        <r>
          <rPr>
            <sz val="10"/>
            <rFont val="Microsoft JhengHei"/>
          </rPr>
          <t>時間窗依據：完工日「未公布」無法解析，視為未公布</t>
        </r>
      </text>
    </comment>
    <comment ref="L36" authorId="0" shapeId="0" xr:uid="{00000000-0006-0000-0200-000045000000}">
      <text>
        <r>
          <rPr>
            <sz val="10"/>
            <rFont val="Microsoft JhengHei"/>
          </rPr>
          <t>Nominatim 街道級（結構化地址查詢）</t>
        </r>
      </text>
    </comment>
    <comment ref="X36" authorId="0" shapeId="0" xr:uid="{00000000-0006-0000-0200-000046000000}">
      <text>
        <r>
          <rPr>
            <sz val="10"/>
            <rFont val="Microsoft JhengHei"/>
          </rPr>
          <t>時間窗依據：資料中心無官方時程；已完工的只有電池。</t>
        </r>
      </text>
    </comment>
    <comment ref="L37" authorId="0" shapeId="0" xr:uid="{00000000-0006-0000-0200-000047000000}">
      <text>
        <r>
          <rPr>
            <sz val="10"/>
            <rFont val="Microsoft JhengHei"/>
          </rPr>
          <t>座標取自來源（DatacenterMap「Firmus George Town Campus」頁面座標（Tier 4 聚合器）；OSM Nominatim 查 East Tamar Highway, Long Reach 相距約 1.2 km（道路點，非基地精確位置））；與 Nominatim 街道級結果相差 1.2 km，已驗證</t>
        </r>
      </text>
    </comment>
    <comment ref="X37" authorId="0" shapeId="0" xr:uid="{00000000-0006-0000-0200-000048000000}">
      <text>
        <r>
          <rPr>
            <sz val="10"/>
            <rFont val="Microsoft JhengHei"/>
          </rPr>
          <t>時間窗依據：許可尚未生效（5 件上訴），無施工時程。</t>
        </r>
      </text>
    </comment>
    <comment ref="L38" authorId="0" shapeId="0" xr:uid="{00000000-0006-0000-0200-000049000000}">
      <text>
        <r>
          <rPr>
            <sz val="10"/>
            <rFont val="Microsoft JhengHei"/>
          </rPr>
          <t>Nominatim 門牌級（結構化地址查詢）</t>
        </r>
      </text>
    </comment>
    <comment ref="X38" authorId="0" shapeId="0" xr:uid="{00000000-0006-0000-0200-00004A000000}">
      <text>
        <r>
          <rPr>
            <sz val="10"/>
            <rFont val="Microsoft JhengHei"/>
          </rPr>
          <t>時間窗依據：僅電網接入預計 2027；本體未公布。</t>
        </r>
      </text>
    </comment>
    <comment ref="L39" authorId="0" shapeId="0" xr:uid="{00000000-0006-0000-0200-00004B000000}">
      <text>
        <r>
          <rPr>
            <sz val="10"/>
            <rFont val="Microsoft JhengHei"/>
          </rPr>
          <t>座標取自來源（NSW Planning Portal 專案頁嵌入的地圖標記點（政府地理編碼點，約略至街廓/地址層級））；與 Nominatim 門牌級結果相差 0.1 km，已驗證</t>
        </r>
      </text>
    </comment>
    <comment ref="X39" authorId="0" shapeId="0" xr:uid="{00000000-0006-0000-0200-00004C000000}">
      <text>
        <r>
          <rPr>
            <sz val="10"/>
            <rFont val="Microsoft JhengHei"/>
          </rPr>
          <t>時間窗依據：完工日「評估報告：施工最長約 24 個月（拆除 3、土方 6、岩石開挖與管線 ≤12、結構與設備 3、內裝調試 12 個月，部分重疊）。」無法解析，視為未公布</t>
        </r>
      </text>
    </comment>
    <comment ref="L40" authorId="0" shapeId="0" xr:uid="{00000000-0006-0000-0200-00004D000000}">
      <text>
        <r>
          <rPr>
            <sz val="10"/>
            <rFont val="Microsoft JhengHei"/>
          </rPr>
          <t>座標取自來源（NSW Planning Portal 專案頁嵌入的地圖標記點（政府地理編碼點，約略至街廓/地址層級））；與 Nominatim 街道級結果相差 0.4 km，已驗證</t>
        </r>
      </text>
    </comment>
    <comment ref="X40" authorId="0" shapeId="0" xr:uid="{00000000-0006-0000-0200-00004E000000}">
      <text>
        <r>
          <rPr>
            <sz val="10"/>
            <rFont val="Microsoft JhengHei"/>
          </rPr>
          <t>時間窗依據：核准後施工最長 110 週；尚無開工日。</t>
        </r>
      </text>
    </comment>
    <comment ref="L41" authorId="0" shapeId="0" xr:uid="{00000000-0006-0000-0200-00004F000000}">
      <text>
        <r>
          <rPr>
            <sz val="10"/>
            <rFont val="Microsoft JhengHei"/>
          </rPr>
          <t>座標取自來源（ACT Government DA Finder（ArcGIS ACTGOV_DAFINDER_LIST_VIEW，DA 202645149 之 Block 25 Section 11 地塊質心）；為地塊質心，非建築物座標）；地理編碼只到郊區級（相差 0.2 km），未能精確驗證</t>
        </r>
      </text>
    </comment>
    <comment ref="X41" authorId="0" shapeId="0" xr:uid="{00000000-0006-0000-0200-000050000000}">
      <text>
        <r>
          <rPr>
            <sz val="10"/>
            <rFont val="Microsoft JhengHei"/>
          </rPr>
          <t>時間窗依據：完工日「未公布」無法解析，視為未公布</t>
        </r>
      </text>
    </comment>
    <comment ref="L42" authorId="0" shapeId="0" xr:uid="{00000000-0006-0000-0200-000051000000}">
      <text>
        <r>
          <rPr>
            <sz val="10"/>
            <rFont val="Microsoft JhengHei"/>
          </rPr>
          <t>座標取自來源（DatacenterMap 1 Oroya Drive 頁面（OSM 查無此門牌））；地理編碼只到郊區級（相差 5.3 km），未能精確驗證</t>
        </r>
      </text>
    </comment>
    <comment ref="X42" authorId="0" shapeId="0" xr:uid="{00000000-0006-0000-0200-000052000000}">
      <text>
        <r>
          <rPr>
            <sz val="10"/>
            <rFont val="Microsoft JhengHei"/>
          </rPr>
          <t>時間窗依據：完工日「未公布」無法解析，視為未公布</t>
        </r>
      </text>
    </comment>
    <comment ref="L43" authorId="0" shapeId="0" xr:uid="{00000000-0006-0000-0200-000053000000}">
      <text>
        <r>
          <rPr>
            <sz val="10"/>
            <rFont val="Microsoft JhengHei"/>
          </rPr>
          <t>座標取自來源（NSW Planning Portal 專案頁嵌入的地圖標記點（政府地理編碼點，約略至街廓/地址層級））；與 Nominatim 街道級結果相差 0.9 km，已驗證</t>
        </r>
      </text>
    </comment>
    <comment ref="X43" authorId="0" shapeId="0" xr:uid="{00000000-0006-0000-0200-000054000000}">
      <text>
        <r>
          <rPr>
            <sz val="10"/>
            <rFont val="Microsoft JhengHei"/>
          </rPr>
          <t>時間窗依據：完工日「評估報告：兩階段，每階段 18 個月（受電力可得性分階段）；未公布起始日。」無法解析，視為未公布</t>
        </r>
      </text>
    </comment>
    <comment ref="L44" authorId="0" shapeId="0" xr:uid="{00000000-0006-0000-0200-000055000000}">
      <text>
        <r>
          <rPr>
            <sz val="10"/>
            <rFont val="Microsoft JhengHei"/>
          </rPr>
          <t>座標取自來源（NSW Planning Portal 專案頁嵌入的地圖標記點（政府地理編碼點，約略至街廓/地址層級））；與 Nominatim 街道級結果相差 0.1 km，已驗證</t>
        </r>
      </text>
    </comment>
    <comment ref="X44" authorId="0" shapeId="0" xr:uid="{00000000-0006-0000-0200-000056000000}">
      <text>
        <r>
          <rPr>
            <sz val="10"/>
            <rFont val="Microsoft JhengHei"/>
          </rPr>
          <t>時間窗依據：核准後施工最長 94 週；尚無開工日。</t>
        </r>
      </text>
    </comment>
    <comment ref="L45" authorId="0" shapeId="0" xr:uid="{00000000-0006-0000-0200-000057000000}">
      <text>
        <r>
          <rPr>
            <sz val="10"/>
            <rFont val="Microsoft JhengHei"/>
          </rPr>
          <t>座標取自來源（NSW Planning Portal 專案頁嵌入的地圖標記點（政府地理編碼點，約略至街廓/地址層級））；與 Nominatim 門牌級結果相差 0.2 km，已驗證</t>
        </r>
      </text>
    </comment>
    <comment ref="X45" authorId="0" shapeId="0" xr:uid="{00000000-0006-0000-0200-000058000000}">
      <text>
        <r>
          <rPr>
            <sz val="10"/>
            <rFont val="Microsoft JhengHei"/>
          </rPr>
          <t>時間窗依據：完工日「評估報告：施工 30 個月（場整 3 + 主體與道路 24 + 試運轉 3）。」無法解析，視為未公布</t>
        </r>
      </text>
    </comment>
    <comment ref="L46" authorId="0" shapeId="0" xr:uid="{00000000-0006-0000-0200-000059000000}">
      <text>
        <r>
          <rPr>
            <sz val="10"/>
            <rFont val="Microsoft JhengHei"/>
          </rPr>
          <t>座標取自來源（NSW Planning Portal SSD-53338465 專案頁地圖點位（2026-10-03 讀取））；與 Nominatim 街道級結果相差 0.4 km，已驗證</t>
        </r>
      </text>
    </comment>
    <comment ref="X46" authorId="0" shapeId="0" xr:uid="{00000000-0006-0000-0200-00005A000000}">
      <text>
        <r>
          <rPr>
            <sz val="10"/>
            <rFont val="Microsoft JhengHei"/>
          </rPr>
          <t>時間窗依據：僅聚合站稱 2027；Equinix 未公布。</t>
        </r>
      </text>
    </comment>
    <comment ref="L47" authorId="0" shapeId="0" xr:uid="{00000000-0006-0000-0200-00005B000000}">
      <text>
        <r>
          <rPr>
            <sz val="10"/>
            <rFont val="Microsoft JhengHei"/>
          </rPr>
          <t>座標取自來源（NSW Planning Portal SSD-64287712 專案頁地圖點位（四位小數，精度有限））；地理編碼只到郊區級（相差 0.7 km），未能精確驗證</t>
        </r>
      </text>
    </comment>
    <comment ref="X47" authorId="0" shapeId="0" xr:uid="{00000000-0006-0000-0200-00005C000000}">
      <text>
        <r>
          <rPr>
            <sz val="10"/>
            <rFont val="Microsoft JhengHei"/>
          </rPr>
          <t>時間窗依據：完工日「未公布」無法解析，視為未公布</t>
        </r>
      </text>
    </comment>
    <comment ref="L48" authorId="0" shapeId="0" xr:uid="{00000000-0006-0000-0200-00005D000000}">
      <text>
        <r>
          <rPr>
            <sz val="10"/>
            <rFont val="Microsoft JhengHei"/>
          </rPr>
          <t>郊區中心點（近似），門牌與街道都查不到</t>
        </r>
      </text>
    </comment>
    <comment ref="X48" authorId="0" shapeId="0" xr:uid="{00000000-0006-0000-0200-00005E000000}">
      <text>
        <r>
          <rPr>
            <sz val="10"/>
            <rFont val="Microsoft JhengHei"/>
          </rPr>
          <t>時間窗依據：完工日「未公布」無法解析，視為未公布</t>
        </r>
      </text>
    </comment>
    <comment ref="L49" authorId="0" shapeId="0" xr:uid="{00000000-0006-0000-0200-00005F000000}">
      <text>
        <r>
          <rPr>
            <sz val="10"/>
            <rFont val="Microsoft JhengHei"/>
          </rPr>
          <t>Nominatim 門牌級（結構化地址查詢）</t>
        </r>
      </text>
    </comment>
    <comment ref="X49" authorId="0" shapeId="0" xr:uid="{00000000-0006-0000-0200-000060000000}">
      <text>
        <r>
          <rPr>
            <sz val="10"/>
            <rFont val="Microsoft JhengHei"/>
          </rPr>
          <t>時間窗依據：完工日「未公布（官網：coming soon）」無法解析，視為未公布</t>
        </r>
      </text>
    </comment>
    <comment ref="L50" authorId="0" shapeId="0" xr:uid="{00000000-0006-0000-0200-000061000000}">
      <text>
        <r>
          <rPr>
            <sz val="10"/>
            <rFont val="Microsoft JhengHei"/>
          </rPr>
          <t>Nominatim 街道級（結構化地址查詢）</t>
        </r>
      </text>
    </comment>
    <comment ref="X50" authorId="0" shapeId="0" xr:uid="{00000000-0006-0000-0200-000062000000}">
      <text>
        <r>
          <rPr>
            <sz val="10"/>
            <rFont val="Microsoft JhengHei"/>
          </rPr>
          <t>時間窗依據：完工日「未公布」無法解析，視為未公布</t>
        </r>
      </text>
    </comment>
    <comment ref="L51" authorId="0" shapeId="0" xr:uid="{00000000-0006-0000-0200-000063000000}">
      <text>
        <r>
          <rPr>
            <sz val="10"/>
            <rFont val="Microsoft JhengHei"/>
          </rPr>
          <t>Nominatim 門牌級（結構化地址查詢）</t>
        </r>
      </text>
    </comment>
    <comment ref="X51" authorId="0" shapeId="0" xr:uid="{00000000-0006-0000-0200-000064000000}">
      <text>
        <r>
          <rPr>
            <sz val="10"/>
            <rFont val="Microsoft JhengHei"/>
          </rPr>
          <t>時間窗依據：完工日「未公布」無法解析，視為未公布</t>
        </r>
      </text>
    </comment>
    <comment ref="L52" authorId="0" shapeId="0" xr:uid="{00000000-0006-0000-0200-000065000000}">
      <text>
        <r>
          <rPr>
            <sz val="10"/>
            <rFont val="Microsoft JhengHei"/>
          </rPr>
          <t>Nominatim 街道級（結構化地址查詢）</t>
        </r>
      </text>
    </comment>
    <comment ref="X52" authorId="0" shapeId="0" xr:uid="{00000000-0006-0000-0200-000066000000}">
      <text>
        <r>
          <rPr>
            <sz val="10"/>
            <rFont val="Microsoft JhengHei"/>
          </rPr>
          <t>時間窗依據：完工日「未公布」無法解析，視為未公布</t>
        </r>
      </text>
    </comment>
    <comment ref="L53" authorId="0" shapeId="0" xr:uid="{00000000-0006-0000-0200-000067000000}">
      <text>
        <r>
          <rPr>
            <sz val="10"/>
            <rFont val="Microsoft JhengHei"/>
          </rPr>
          <t>Nominatim 街道級（結構化地址查詢）</t>
        </r>
      </text>
    </comment>
    <comment ref="X53" authorId="0" shapeId="0" xr:uid="{00000000-0006-0000-0200-000068000000}">
      <text>
        <r>
          <rPr>
            <sz val="10"/>
            <rFont val="Microsoft JhengHei"/>
          </rPr>
          <t>時間窗依據：DA 尚未核准；Anthropic 目標 2027 年使用，時程明顯樂觀；全園區建設期 4–6 年。</t>
        </r>
      </text>
    </comment>
    <comment ref="L54" authorId="0" shapeId="0" xr:uid="{00000000-0006-0000-0200-000069000000}">
      <text>
        <r>
          <rPr>
            <sz val="10"/>
            <rFont val="Microsoft JhengHei"/>
          </rPr>
          <t>座標取自來源（NSW Planning Portal 專案頁嵌入的地圖標記點（政府地理編碼點，約略至街廓/地址層級））；與 Nominatim 街道級結果相差 0.4 km，已驗證</t>
        </r>
      </text>
    </comment>
    <comment ref="X54" authorId="0" shapeId="0" xr:uid="{00000000-0006-0000-0200-00006A000000}">
      <text>
        <r>
          <rPr>
            <sz val="10"/>
            <rFont val="Microsoft JhengHei"/>
          </rPr>
          <t>時間窗依據：完工日「未公布」無法解析，視為未公布</t>
        </r>
      </text>
    </comment>
    <comment ref="L55" authorId="0" shapeId="0" xr:uid="{00000000-0006-0000-0200-00006B000000}">
      <text>
        <r>
          <rPr>
            <sz val="10"/>
            <rFont val="Microsoft JhengHei"/>
          </rPr>
          <t>座標取自來源（NSW Planning Portal 專案頁嵌入的地圖標記點（政府地理編碼點，約略至街廓/地址層級））；與 Nominatim 街道級結果相差 2.7 km，已驗證</t>
        </r>
      </text>
    </comment>
    <comment ref="X55" authorId="0" shapeId="0" xr:uid="{00000000-0006-0000-0200-00006C000000}">
      <text>
        <r>
          <rPr>
            <sz val="10"/>
            <rFont val="Microsoft JhengHei"/>
          </rPr>
          <t>時間窗依據：完工日「未公布」無法解析，視為未公布</t>
        </r>
      </text>
    </comment>
    <comment ref="L56" authorId="0" shapeId="0" xr:uid="{00000000-0006-0000-0200-00006D000000}">
      <text>
        <r>
          <rPr>
            <sz val="10"/>
            <rFont val="Microsoft JhengHei"/>
          </rPr>
          <t>座標取自來源（NSW Planning Portal 專案頁嵌入的地圖標記點（政府地理編碼點，約略至街廓/地址層級））；與 Nominatim 街道級結果相差 0.9 km，已驗證</t>
        </r>
      </text>
    </comment>
    <comment ref="X56" authorId="0" shapeId="0" xr:uid="{00000000-0006-0000-0200-00006E000000}">
      <text>
        <r>
          <rPr>
            <sz val="10"/>
            <rFont val="Microsoft JhengHei"/>
          </rPr>
          <t>時間窗依據：DA 尚未核准；NEXTDC 與 OpenAI 稱首期 2027 下半年，附條件且時程樂觀。</t>
        </r>
      </text>
    </comment>
    <comment ref="L57" authorId="0" shapeId="0" xr:uid="{00000000-0006-0000-0200-00006F000000}">
      <text>
        <r>
          <rPr>
            <sz val="10"/>
            <rFont val="Microsoft JhengHei"/>
          </rPr>
          <t>座標取自來源（NSW Planning Portal 專案頁嵌入的地圖標記點（政府地理編碼點，約略至街廓/地址層級））；與 Nominatim 街道級結果相差 1.2 km，已驗證</t>
        </r>
      </text>
    </comment>
    <comment ref="X57" authorId="0" shapeId="0" xr:uid="{00000000-0006-0000-0200-000070000000}">
      <text>
        <r>
          <rPr>
            <sz val="10"/>
            <rFont val="Microsoft JhengHei"/>
          </rPr>
          <t>時間窗依據：完工日「Scoping：施工約 14 個月（Stage 0 CDC 土方與建築殼；Stage 1 內裝與其餘設施）；無日期。」無法解析，視為未公布</t>
        </r>
      </text>
    </comment>
    <comment ref="L58" authorId="0" shapeId="0" xr:uid="{00000000-0006-0000-0200-000071000000}">
      <text>
        <r>
          <rPr>
            <sz val="10"/>
            <rFont val="Microsoft JhengHei"/>
          </rPr>
          <t>座標取自來源（DatacenterMap 585 Berwick-Cranbourne Rd 頁面）；與 Nominatim 門牌級結果相差 0.6 km，已驗證</t>
        </r>
      </text>
    </comment>
    <comment ref="X58" authorId="0" shapeId="0" xr:uid="{00000000-0006-0000-0200-000072000000}">
      <text>
        <r>
          <rPr>
            <sz val="10"/>
            <rFont val="Microsoft JhengHei"/>
          </rPr>
          <t>時間窗依據：完工日「未公布」無法解析，視為未公布</t>
        </r>
      </text>
    </comment>
    <comment ref="L59" authorId="0" shapeId="0" xr:uid="{00000000-0006-0000-0200-000073000000}">
      <text>
        <r>
          <rPr>
            <sz val="10"/>
            <rFont val="Microsoft JhengHei"/>
          </rPr>
          <t>座標取自來源（NSW Planning Portal SSD-82211208 專案頁地圖點位（2026-10-03 讀取））；與 Nominatim 街道級結果相差 1.0 km，已驗證</t>
        </r>
      </text>
    </comment>
    <comment ref="X59" authorId="0" shapeId="0" xr:uid="{00000000-0006-0000-0200-000074000000}">
      <text>
        <r>
          <rPr>
            <sz val="10"/>
            <rFont val="Microsoft JhengHei"/>
          </rPr>
          <t>時間窗依據：EIS 階段；SYD01B 僅聚合站稱 2029。</t>
        </r>
      </text>
    </comment>
    <comment ref="L60" authorId="0" shapeId="0" xr:uid="{00000000-0006-0000-0200-000075000000}">
      <text>
        <r>
          <rPr>
            <sz val="10"/>
            <rFont val="Microsoft JhengHei"/>
          </rPr>
          <t>座標取自來源（DatacenterMap HyperDC MBL1 頁面（2026-10-03 讀取）；OSM Nominatim 門牌 715 Ballan Road 命中點 (-38.03479, 144.29100) 互相吻合）；與 Nominatim 門牌級結果相差 0.0 km，已驗證</t>
        </r>
      </text>
    </comment>
    <comment ref="X60" authorId="0" shapeId="0" xr:uid="{00000000-0006-0000-0200-000076000000}">
      <text>
        <r>
          <rPr>
            <sz val="10"/>
            <rFont val="Microsoft JhengHei"/>
          </rPr>
          <t>時間窗依據：完工日「未公布」無法解析，視為未公布</t>
        </r>
      </text>
    </comment>
    <comment ref="L61" authorId="0" shapeId="0" xr:uid="{00000000-0006-0000-0200-000077000000}">
      <text>
        <r>
          <rPr>
            <sz val="10"/>
            <rFont val="Microsoft JhengHei"/>
          </rPr>
          <t>座標取自來源（NSW Planning Portal 專案頁嵌入的地圖標記點（政府地理編碼點，約略至街廓/地址層級））；與 Nominatim 街道級結果相差 0.0 km，已驗證</t>
        </r>
      </text>
    </comment>
    <comment ref="X61" authorId="0" shapeId="0" xr:uid="{00000000-0006-0000-0200-000078000000}">
      <text>
        <r>
          <rPr>
            <sz val="10"/>
            <rFont val="Microsoft JhengHei"/>
          </rPr>
          <t>時間窗依據：完工日「EIS 無完工日；階段：Stage 1 = Building 1、Stage 2 = Building 2。」無法解析，視為未公布</t>
        </r>
      </text>
    </comment>
    <comment ref="L62" authorId="0" shapeId="0" xr:uid="{00000000-0006-0000-0200-000079000000}">
      <text>
        <r>
          <rPr>
            <sz val="10"/>
            <rFont val="Microsoft JhengHei"/>
          </rPr>
          <t>Nominatim 街道級（結構化地址查詢）</t>
        </r>
      </text>
    </comment>
    <comment ref="X62" authorId="0" shapeId="0" xr:uid="{00000000-0006-0000-0200-00007A000000}">
      <text>
        <r>
          <rPr>
            <sz val="10"/>
            <rFont val="Microsoft JhengHei"/>
          </rPr>
          <t>時間窗依據：完工日「兩階段：Stage 1 南棟 + 行政區 + 變電站/開關站 + 入口道路；Stage 2 北棟；無日期。」無法解析，視為未公布</t>
        </r>
      </text>
    </comment>
    <comment ref="L63" authorId="0" shapeId="0" xr:uid="{00000000-0006-0000-0200-00007B000000}">
      <text>
        <r>
          <rPr>
            <sz val="10"/>
            <rFont val="Microsoft JhengHei"/>
          </rPr>
          <t>座標取自來源（DatacenterMap Zerra DC Melbourne Campus 頁面；OSM Nominatim 門牌 300 Barry Road 命中點 (-37.66691, 144.95439) 距離約 500 公尺，屬同一廠址（座標僅供參考，建議由 lead 以門牌重新地理編碼））；與 Nominatim 門牌級結果相差 0.5 km，已驗證</t>
        </r>
      </text>
    </comment>
    <comment ref="X63" authorId="0" shapeId="0" xr:uid="{00000000-0006-0000-0200-00007C000000}">
      <text>
        <r>
          <rPr>
            <sz val="10"/>
            <rFont val="Microsoft JhengHei"/>
          </rPr>
          <t>時間窗依據：完工日「約 12 年分期（首期未定）」無法解析，視為未公布</t>
        </r>
      </text>
    </comment>
    <comment ref="L64" authorId="0" shapeId="0" xr:uid="{00000000-0006-0000-0200-00007D000000}">
      <text>
        <r>
          <rPr>
            <sz val="10"/>
            <rFont val="Microsoft JhengHei"/>
          </rPr>
          <t>座標取自來源（DatacenterMap 413 Francis Street 頁面；OSM 413 Francis Street (-37.81905, 144.85363) 吻合）；與 Nominatim 門牌級結果相差 0.1 km，已驗證</t>
        </r>
      </text>
    </comment>
    <comment ref="X64" authorId="0" shapeId="0" xr:uid="{00000000-0006-0000-0200-00007E000000}">
      <text>
        <r>
          <rPr>
            <sz val="10"/>
            <rFont val="Microsoft JhengHei"/>
          </rPr>
          <t>時間窗依據：完工日「未公布」無法解析，視為未公布</t>
        </r>
      </text>
    </comment>
    <comment ref="L65" authorId="0" shapeId="0" xr:uid="{00000000-0006-0000-0200-00007F000000}">
      <text>
        <r>
          <rPr>
            <sz val="10"/>
            <rFont val="Microsoft JhengHei"/>
          </rPr>
          <t>座標取自來源（DatacenterMap 72-76 Cherry Lane 頁面；OSM 僅命中 Cherry Lane 街道線 (-37.83730, 144.79625)，兩者相近）；與 Nominatim 街道級結果相差 0.2 km，已驗證</t>
        </r>
      </text>
    </comment>
    <comment ref="X65" authorId="0" shapeId="0" xr:uid="{00000000-0006-0000-0200-000080000000}">
      <text>
        <r>
          <rPr>
            <sz val="10"/>
            <rFont val="Microsoft JhengHei"/>
          </rPr>
          <t>時間窗依據：完工日「未公布」無法解析，視為未公布</t>
        </r>
      </text>
    </comment>
    <comment ref="L66" authorId="0" shapeId="0" xr:uid="{00000000-0006-0000-0200-000081000000}">
      <text>
        <r>
          <rPr>
            <sz val="10"/>
            <rFont val="Microsoft JhengHei"/>
          </rPr>
          <t>座標取自來源（OSM Nominatim 門牌 44-76 Simcock Avenue, Spotswood 命中點（2026-10-03 查詢））；與 Nominatim 門牌級結果相差 0.0 km，已驗證</t>
        </r>
      </text>
    </comment>
    <comment ref="X66" authorId="0" shapeId="0" xr:uid="{00000000-0006-0000-0200-000082000000}">
      <text>
        <r>
          <rPr>
            <sz val="10"/>
            <rFont val="Microsoft JhengHei"/>
          </rPr>
          <t>時間窗依據：GreenSquare 稱 2027 上線，但申請尚未核准。</t>
        </r>
      </text>
    </comment>
    <comment ref="L67" authorId="0" shapeId="0" xr:uid="{00000000-0006-0000-0200-000083000000}">
      <text>
        <r>
          <rPr>
            <sz val="10"/>
            <rFont val="Microsoft JhengHei"/>
          </rPr>
          <t>座標取自來源（NSW Planning Portal SSD-80018208 專案頁地圖點位（2026-10-03 讀取））；與 Nominatim 門牌級結果相差 0.0 km，已驗證</t>
        </r>
      </text>
    </comment>
    <comment ref="X67" authorId="0" shapeId="0" xr:uid="{00000000-0006-0000-0200-000084000000}">
      <text>
        <r>
          <rPr>
            <sz val="10"/>
            <rFont val="Microsoft JhengHei"/>
          </rPr>
          <t>時間窗依據：僅聚合站稱 2028。</t>
        </r>
      </text>
    </comment>
    <comment ref="L68" authorId="0" shapeId="0" xr:uid="{00000000-0006-0000-0200-000085000000}">
      <text>
        <r>
          <rPr>
            <sz val="10"/>
            <rFont val="Microsoft JhengHei"/>
          </rPr>
          <t>座標取自來源（NSW Planning Portal 專案頁嵌入的地圖標記點（政府地理編碼點，約略至街廓/地址層級））；與 Nominatim 街道級結果相差 1.4 km，已驗證</t>
        </r>
      </text>
    </comment>
    <comment ref="X68" authorId="0" shapeId="0" xr:uid="{00000000-0006-0000-0200-000086000000}">
      <text>
        <r>
          <rPr>
            <sz val="10"/>
            <rFont val="Microsoft JhengHei"/>
          </rPr>
          <t>時間窗依據：完工日「未公布」無法解析，視為未公布</t>
        </r>
      </text>
    </comment>
    <comment ref="L69" authorId="0" shapeId="0" xr:uid="{00000000-0006-0000-0200-000087000000}">
      <text>
        <r>
          <rPr>
            <sz val="10"/>
            <rFont val="Microsoft JhengHei"/>
          </rPr>
          <t>座標取自來源（NSW Planning Portal 專案頁嵌入的地圖標記點（政府地理編碼點，約略至街廓/地址層級））；與 Nominatim 街道級結果相差 0.0 km，已驗證</t>
        </r>
      </text>
    </comment>
    <comment ref="X69" authorId="0" shapeId="0" xr:uid="{00000000-0006-0000-0200-000088000000}">
      <text>
        <r>
          <rPr>
            <sz val="10"/>
            <rFont val="Microsoft JhengHei"/>
          </rPr>
          <t>時間窗依據：完工日「未公布」無法解析，視為未公布</t>
        </r>
      </text>
    </comment>
    <comment ref="L70" authorId="0" shapeId="0" xr:uid="{00000000-0006-0000-0200-000089000000}">
      <text>
        <r>
          <rPr>
            <sz val="10"/>
            <rFont val="Microsoft JhengHei"/>
          </rPr>
          <t>座標取自來源（NSW Planning Portal 專案頁嵌入的地圖標記點（政府地理編碼點，約略至街廓/地址層級））；地理編碼只到郊區級（相差 2.2 km），未能精確驗證</t>
        </r>
      </text>
    </comment>
    <comment ref="X70" authorId="0" shapeId="0" xr:uid="{00000000-0006-0000-0200-00008A000000}">
      <text>
        <r>
          <rPr>
            <sz val="10"/>
            <rFont val="Microsoft JhengHei"/>
          </rPr>
          <t>時間窗依據：完工日「三階段：Stage 1 Building E + 道路、Stage 2 Building F、Stage 3 Building G；無日期。」無法解析，視為未公布</t>
        </r>
      </text>
    </comment>
    <comment ref="L71" authorId="0" shapeId="0" xr:uid="{00000000-0006-0000-0200-00008B000000}">
      <text>
        <r>
          <rPr>
            <sz val="10"/>
            <rFont val="Microsoft JhengHei"/>
          </rPr>
          <t>座標取自來源（NSW ePlanning OnlineDA API：DA 1382/2025/JP（PAN-518410）3 Brookhollow Avenue 點位）；與 Nominatim 門牌級結果相差 0.1 km，已驗證</t>
        </r>
      </text>
    </comment>
    <comment ref="X71" authorId="0" shapeId="0" xr:uid="{00000000-0006-0000-0200-00008C000000}">
      <text>
        <r>
          <rPr>
            <sz val="10"/>
            <rFont val="Microsoft JhengHei"/>
          </rPr>
          <t>時間窗依據：完工日「EIS：六年期、逐棟（B、C、D）；無日期。」無法解析，視為未公布</t>
        </r>
      </text>
    </comment>
    <comment ref="L72" authorId="0" shapeId="0" xr:uid="{00000000-0006-0000-0200-00008D000000}">
      <text>
        <r>
          <rPr>
            <sz val="10"/>
            <rFont val="Microsoft JhengHei"/>
          </rPr>
          <t>座標取自來源（NSW Planning Portal 專案頁嵌入的地圖標記點（政府地理編碼點，約略至街廓/地址層級））；與 Nominatim 門牌級結果相差 0.0 km，已驗證</t>
        </r>
      </text>
    </comment>
    <comment ref="X72" authorId="0" shapeId="0" xr:uid="{00000000-0006-0000-0200-00008E000000}">
      <text>
        <r>
          <rPr>
            <sz val="10"/>
            <rFont val="Microsoft JhengHei"/>
          </rPr>
          <t>時間窗依據：完工日「EIS 無日期；Stage 1 = Building A + 早期工程 + 廣場；Stage 2 = Building B。」無法解析，視為未公布</t>
        </r>
      </text>
    </comment>
    <comment ref="L73" authorId="0" shapeId="0" xr:uid="{00000000-0006-0000-0200-00008F000000}">
      <text>
        <r>
          <rPr>
            <sz val="10"/>
            <rFont val="Microsoft JhengHei"/>
          </rPr>
          <t>座標取自來源（NSW Planning Portal SSD-91297457 專案頁地圖點位（2026-10-03 讀取））；與 Nominatim 街道級結果相差 0.9 km，已驗證</t>
        </r>
      </text>
    </comment>
    <comment ref="X73" authorId="0" shapeId="0" xr:uid="{00000000-0006-0000-0200-000090000000}">
      <text>
        <r>
          <rPr>
            <sz val="10"/>
            <rFont val="Microsoft JhengHei"/>
          </rPr>
          <t>時間窗依據：僅聚合站稱 2028。</t>
        </r>
      </text>
    </comment>
    <comment ref="L74" authorId="0" shapeId="0" xr:uid="{00000000-0006-0000-0200-000091000000}">
      <text>
        <r>
          <rPr>
            <sz val="10"/>
            <rFont val="Microsoft JhengHei"/>
          </rPr>
          <t>座標取自來源（DatacenterMap「Firmus Wesley Vale」頁面座標（Tier 4 聚合器）；OSM Nominatim 查 Mill Road, Wesley Vale 相距約 0.13 km，位置吻合）；與 Nominatim 街道級結果相差 0.1 km，已驗證</t>
        </r>
      </text>
    </comment>
    <comment ref="X74" authorId="0" shapeId="0" xr:uid="{00000000-0006-0000-0200-000092000000}">
      <text>
        <r>
          <rPr>
            <sz val="10"/>
            <rFont val="Microsoft JhengHei"/>
          </rPr>
          <t>時間窗依據：議會暫緩，無時程。</t>
        </r>
      </text>
    </comment>
    <comment ref="L75" authorId="0" shapeId="0" xr:uid="{00000000-0006-0000-0200-000093000000}">
      <text>
        <r>
          <rPr>
            <sz val="10"/>
            <rFont val="Microsoft JhengHei"/>
          </rPr>
          <t>座標取自來源（OSM Nominatim：Telstra Clayton Data Centre, 1822 Dandenong Road（2026-10-03 查詢））；與 Nominatim 門牌級結果相差 0.3 km，已驗證</t>
        </r>
      </text>
    </comment>
    <comment ref="X75" authorId="0" shapeId="0" xr:uid="{00000000-0006-0000-0200-000094000000}">
      <text>
        <r>
          <rPr>
            <sz val="10"/>
            <rFont val="Microsoft JhengHei"/>
          </rPr>
          <t>時間窗依據：完工日「未公布」無法解析，視為未公布</t>
        </r>
      </text>
    </comment>
    <comment ref="L76" authorId="0" shapeId="0" xr:uid="{00000000-0006-0000-0200-000095000000}">
      <text>
        <r>
          <rPr>
            <sz val="10"/>
            <rFont val="Microsoft JhengHei"/>
          </rPr>
          <t>Nominatim 門牌級（全文地址查詢）</t>
        </r>
      </text>
    </comment>
    <comment ref="X76" authorId="0" shapeId="0" xr:uid="{00000000-0006-0000-0200-000096000000}">
      <text>
        <r>
          <rPr>
            <sz val="10"/>
            <rFont val="Microsoft JhengHei"/>
          </rPr>
          <t>時間窗依據：完工日「未公布」無法解析，視為未公布</t>
        </r>
      </text>
    </comment>
    <comment ref="L77" authorId="0" shapeId="0" xr:uid="{00000000-0006-0000-0200-000097000000}">
      <text>
        <r>
          <rPr>
            <sz val="10"/>
            <rFont val="Microsoft JhengHei"/>
          </rPr>
          <t>郊區中心點（近似），門牌與街道都查不到</t>
        </r>
      </text>
    </comment>
    <comment ref="X77" authorId="0" shapeId="0" xr:uid="{00000000-0006-0000-0200-000098000000}">
      <text>
        <r>
          <rPr>
            <sz val="10"/>
            <rFont val="Microsoft JhengHei"/>
          </rPr>
          <t>時間窗依據：完工日「未公布」無法解析，視為未公布</t>
        </r>
      </text>
    </comment>
    <comment ref="L78" authorId="0" shapeId="0" xr:uid="{00000000-0006-0000-0200-000099000000}">
      <text>
        <r>
          <rPr>
            <sz val="10"/>
            <rFont val="Microsoft JhengHei"/>
          </rPr>
          <t>Nominatim 門牌級（結構化地址查詢）</t>
        </r>
      </text>
    </comment>
    <comment ref="X78" authorId="0" shapeId="0" xr:uid="{00000000-0006-0000-0200-00009A000000}">
      <text>
        <r>
          <rPr>
            <sz val="10"/>
            <rFont val="Microsoft JhengHei"/>
          </rPr>
          <t>時間窗依據：完工日「未公布」無法解析，視為未公布</t>
        </r>
      </text>
    </comment>
    <comment ref="L79" authorId="0" shapeId="0" xr:uid="{00000000-0006-0000-0200-00009B000000}">
      <text>
        <r>
          <rPr>
            <sz val="10"/>
            <rFont val="Microsoft JhengHei"/>
          </rPr>
          <t>座標取自來源（OSM Nominatim 門牌 45 Donnybrook Road, Mickleham 命中點（2026-10-03 查詢）；DatacenterMap AWS 55 Donnybrook Rd 點位 (-37.5385, 144.9397) 吻合）；與 Nominatim 門牌級結果相差 0.0 km，已驗證</t>
        </r>
      </text>
    </comment>
    <comment ref="X79" authorId="0" shapeId="0" xr:uid="{00000000-0006-0000-0200-00009C000000}">
      <text>
        <r>
          <rPr>
            <sz val="10"/>
            <rFont val="Microsoft JhengHei"/>
          </rPr>
          <t>時間窗依據：完工日「未公布」無法解析，視為未公布</t>
        </r>
      </text>
    </comment>
    <comment ref="L80" authorId="0" shapeId="0" xr:uid="{00000000-0006-0000-0200-00009D000000}">
      <text>
        <r>
          <rPr>
            <sz val="10"/>
            <rFont val="Microsoft JhengHei"/>
          </rPr>
          <t>Nominatim 門牌級（結構化地址查詢）</t>
        </r>
      </text>
    </comment>
    <comment ref="X80" authorId="0" shapeId="0" xr:uid="{00000000-0006-0000-0200-00009E000000}">
      <text>
        <r>
          <rPr>
            <sz val="10"/>
            <rFont val="Microsoft JhengHei"/>
          </rPr>
          <t>時間窗依據：擴建申請尚未核准；The Age 稱 2027 年底。</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build_xlsx</author>
  </authors>
  <commentList>
    <comment ref="K5" authorId="0" shapeId="0" xr:uid="{00000000-0006-0000-0300-000001000000}">
      <text>
        <r>
          <rPr>
            <sz val="10"/>
            <rFont val="Microsoft JhengHei"/>
          </rPr>
          <t>時間窗依據：首期 6 MW 已於 2026-09 啟用；政府網站 2026-07-23 已有開始運作通知。</t>
        </r>
      </text>
    </comment>
    <comment ref="K6" authorId="0" shapeId="0" xr:uid="{00000000-0006-0000-0300-000002000000}">
      <text>
        <r>
          <rPr>
            <sz val="10"/>
            <rFont val="Microsoft JhengHei"/>
          </rPr>
          <t>時間窗依據：DB1 已建成（2025-09 報導）。</t>
        </r>
      </text>
    </comment>
    <comment ref="K7" authorId="0" shapeId="0" xr:uid="{00000000-0006-0000-0300-000003000000}">
      <text>
        <r>
          <rPr>
            <sz val="10"/>
            <rFont val="Microsoft JhengHei"/>
          </rPr>
          <t>時間窗依據：營運中站點；Next Capital 收購尚未交割。</t>
        </r>
      </text>
    </comment>
    <comment ref="K8" authorId="0" shapeId="0" xr:uid="{00000000-0006-0000-0300-000004000000}">
      <text>
        <r>
          <rPr>
            <sz val="10"/>
            <rFont val="Microsoft JhengHei"/>
          </rPr>
          <t>時間窗依據：W.Media 2026-09-21：初始營運 2026-Q4。</t>
        </r>
      </text>
    </comment>
    <comment ref="K9" authorId="0" shapeId="0" xr:uid="{00000000-0006-0000-0300-000005000000}">
      <text>
        <r>
          <rPr>
            <sz val="10"/>
            <rFont val="Microsoft JhengHei"/>
          </rPr>
          <t>時間窗依據：分期交付自 2027-09 起。</t>
        </r>
      </text>
    </comment>
    <comment ref="K10" authorId="0" shapeId="0" xr:uid="{00000000-0006-0000-0300-000006000000}">
      <text>
        <r>
          <rPr>
            <sz val="10"/>
            <rFont val="Microsoft JhengHei"/>
          </rPr>
          <t>時間窗依據：第一期約 2027 年中（Multiplex）。</t>
        </r>
      </text>
    </comment>
    <comment ref="K11" authorId="0" shapeId="0" xr:uid="{00000000-0006-0000-0300-000007000000}">
      <text>
        <r>
          <rPr>
            <sz val="10"/>
            <rFont val="Microsoft JhengHei"/>
          </rPr>
          <t>時間窗依據：首期 12.2 MW 排定 2028-Q2（Goodman）。</t>
        </r>
      </text>
    </comment>
    <comment ref="K12" authorId="0" shapeId="0" xr:uid="{00000000-0006-0000-0300-000008000000}">
      <text>
        <r>
          <rPr>
            <sz val="10"/>
            <rFont val="Microsoft JhengHei"/>
          </rPr>
          <t>時間窗依據：Linesight：2028 初完工。</t>
        </r>
      </text>
    </comment>
    <comment ref="K13" authorId="0" shapeId="0" xr:uid="{00000000-0006-0000-0300-000009000000}">
      <text>
        <r>
          <rPr>
            <sz val="10"/>
            <rFont val="Microsoft JhengHei"/>
          </rPr>
          <t>時間窗依據：Ready for Service 2028-Q1（營運商公告）。</t>
        </r>
      </text>
    </comment>
    <comment ref="K14" authorId="0" shapeId="0" xr:uid="{00000000-0006-0000-0300-00000A000000}">
      <text>
        <r>
          <rPr>
            <sz val="10"/>
            <rFont val="Microsoft JhengHei"/>
          </rPr>
          <t>時間窗依據：預計 FY2027 開工、施工 33 個月，推算約 2029–2030。</t>
        </r>
      </text>
    </comment>
    <comment ref="K15" authorId="0" shapeId="0" xr:uid="{00000000-0006-0000-0300-00000B000000}">
      <text>
        <r>
          <rPr>
            <sz val="10"/>
            <rFont val="Microsoft JhengHei"/>
          </rPr>
          <t>時間窗依據：DigiCo：88 MW 全案 FY28 底（2028-06）；評估報告施工期 21 個月。</t>
        </r>
      </text>
    </comment>
    <comment ref="K16" authorId="0" shapeId="0" xr:uid="{00000000-0006-0000-0300-00000C000000}">
      <text>
        <r>
          <rPr>
            <sz val="10"/>
            <rFont val="Microsoft JhengHei"/>
          </rPr>
          <t>時間窗依據：範疇界定報告：Stage 2 施工 2028 Q3 至 2030 Q4。</t>
        </r>
      </text>
    </comment>
    <comment ref="K17" authorId="0" shapeId="0" xr:uid="{00000000-0006-0000-0300-00000D000000}">
      <text>
        <r>
          <rPr>
            <sz val="10"/>
            <rFont val="Microsoft JhengHei"/>
          </rPr>
          <t>時間窗依據：同意書規定三階段、每階段約 24 個月；Stage 2 自 2024-10-01 起算，推算約 2026-10 完成，但營運商未公布。</t>
        </r>
      </text>
    </comment>
    <comment ref="K18" authorId="0" shapeId="0" xr:uid="{00000000-0006-0000-0300-00000E000000}">
      <text>
        <r>
          <rPr>
            <sz val="10"/>
            <rFont val="Microsoft JhengHei"/>
          </rPr>
          <t>時間窗依據：完工日「評估報告：施工最長約 24 個月（拆除 3、土方 6、岩石開挖與管線 ≤12、結構與設備 3、內裝調試 12 個月，部分重疊）。」無法解析，視為未公布</t>
        </r>
      </text>
    </comment>
    <comment ref="K19" authorId="0" shapeId="0" xr:uid="{00000000-0006-0000-0300-00000F000000}">
      <text>
        <r>
          <rPr>
            <sz val="10"/>
            <rFont val="Microsoft JhengHei"/>
          </rPr>
          <t>時間窗依據：核准後施工最長 110 週；尚無開工日。</t>
        </r>
      </text>
    </comment>
    <comment ref="K20" authorId="0" shapeId="0" xr:uid="{00000000-0006-0000-0300-000010000000}">
      <text>
        <r>
          <rPr>
            <sz val="10"/>
            <rFont val="Microsoft JhengHei"/>
          </rPr>
          <t>時間窗依據：完工日「評估報告：兩階段，每階段 18 個月（受電力可得性分階段）；未公布起始日。」無法解析，視為未公布</t>
        </r>
      </text>
    </comment>
    <comment ref="K21" authorId="0" shapeId="0" xr:uid="{00000000-0006-0000-0300-000011000000}">
      <text>
        <r>
          <rPr>
            <sz val="10"/>
            <rFont val="Microsoft JhengHei"/>
          </rPr>
          <t>時間窗依據：核准後施工最長 94 週；尚無開工日。</t>
        </r>
      </text>
    </comment>
    <comment ref="K22" authorId="0" shapeId="0" xr:uid="{00000000-0006-0000-0300-000012000000}">
      <text>
        <r>
          <rPr>
            <sz val="10"/>
            <rFont val="Microsoft JhengHei"/>
          </rPr>
          <t>時間窗依據：完工日「評估報告：施工 30 個月（場整 3 + 主體與道路 24 + 試運轉 3）。」無法解析，視為未公布</t>
        </r>
      </text>
    </comment>
    <comment ref="K23" authorId="0" shapeId="0" xr:uid="{00000000-0006-0000-0300-000013000000}">
      <text>
        <r>
          <rPr>
            <sz val="10"/>
            <rFont val="Microsoft JhengHei"/>
          </rPr>
          <t>時間窗依據：僅聚合站稱 2027；Equinix 未公布。</t>
        </r>
      </text>
    </comment>
    <comment ref="K24" authorId="0" shapeId="0" xr:uid="{00000000-0006-0000-0300-000014000000}">
      <text>
        <r>
          <rPr>
            <sz val="10"/>
            <rFont val="Microsoft JhengHei"/>
          </rPr>
          <t>時間窗依據：完工日「未公布」無法解析，視為未公布</t>
        </r>
      </text>
    </comment>
    <comment ref="K25" authorId="0" shapeId="0" xr:uid="{00000000-0006-0000-0300-000015000000}">
      <text>
        <r>
          <rPr>
            <sz val="10"/>
            <rFont val="Microsoft JhengHei"/>
          </rPr>
          <t>時間窗依據：完工日「未公布（官網：coming soon）」無法解析，視為未公布</t>
        </r>
      </text>
    </comment>
    <comment ref="K26" authorId="0" shapeId="0" xr:uid="{00000000-0006-0000-0300-000016000000}">
      <text>
        <r>
          <rPr>
            <sz val="10"/>
            <rFont val="Microsoft JhengHei"/>
          </rPr>
          <t>時間窗依據：完工日「未公布」無法解析，視為未公布</t>
        </r>
      </text>
    </comment>
    <comment ref="K27" authorId="0" shapeId="0" xr:uid="{00000000-0006-0000-0300-000017000000}">
      <text>
        <r>
          <rPr>
            <sz val="10"/>
            <rFont val="Microsoft JhengHei"/>
          </rPr>
          <t>時間窗依據：完工日「未公布」無法解析，視為未公布</t>
        </r>
      </text>
    </comment>
    <comment ref="K28" authorId="0" shapeId="0" xr:uid="{00000000-0006-0000-0300-000018000000}">
      <text>
        <r>
          <rPr>
            <sz val="10"/>
            <rFont val="Microsoft JhengHei"/>
          </rPr>
          <t>時間窗依據：DA 尚未核准；NEXTDC 與 OpenAI 稱首期 2027 下半年，附條件且時程樂觀。</t>
        </r>
      </text>
    </comment>
    <comment ref="K29" authorId="0" shapeId="0" xr:uid="{00000000-0006-0000-0300-000019000000}">
      <text>
        <r>
          <rPr>
            <sz val="10"/>
            <rFont val="Microsoft JhengHei"/>
          </rPr>
          <t>時間窗依據：完工日「Scoping：施工約 14 個月（Stage 0 CDC 土方與建築殼；Stage 1 內裝與其餘設施）；無日期。」無法解析，視為未公布</t>
        </r>
      </text>
    </comment>
    <comment ref="K30" authorId="0" shapeId="0" xr:uid="{00000000-0006-0000-0300-00001A000000}">
      <text>
        <r>
          <rPr>
            <sz val="10"/>
            <rFont val="Microsoft JhengHei"/>
          </rPr>
          <t>時間窗依據：EIS 階段；SYD01B 僅聚合站稱 2029。</t>
        </r>
      </text>
    </comment>
    <comment ref="K31" authorId="0" shapeId="0" xr:uid="{00000000-0006-0000-0300-00001B000000}">
      <text>
        <r>
          <rPr>
            <sz val="10"/>
            <rFont val="Microsoft JhengHei"/>
          </rPr>
          <t>時間窗依據：完工日「EIS 無完工日；階段：Stage 1 = Building 1、Stage 2 = Building 2。」無法解析，視為未公布</t>
        </r>
      </text>
    </comment>
    <comment ref="K32" authorId="0" shapeId="0" xr:uid="{00000000-0006-0000-0300-00001C000000}">
      <text>
        <r>
          <rPr>
            <sz val="10"/>
            <rFont val="Microsoft JhengHei"/>
          </rPr>
          <t>時間窗依據：完工日「兩階段：Stage 1 南棟 + 行政區 + 變電站/開關站 + 入口道路；Stage 2 北棟；無日期。」無法解析，視為未公布</t>
        </r>
      </text>
    </comment>
    <comment ref="K33" authorId="0" shapeId="0" xr:uid="{00000000-0006-0000-0300-00001D000000}">
      <text>
        <r>
          <rPr>
            <sz val="10"/>
            <rFont val="Microsoft JhengHei"/>
          </rPr>
          <t>時間窗依據：僅聚合站稱 2028。</t>
        </r>
      </text>
    </comment>
    <comment ref="K34" authorId="0" shapeId="0" xr:uid="{00000000-0006-0000-0300-00001E000000}">
      <text>
        <r>
          <rPr>
            <sz val="10"/>
            <rFont val="Microsoft JhengHei"/>
          </rPr>
          <t>時間窗依據：完工日「未公布」無法解析，視為未公布</t>
        </r>
      </text>
    </comment>
    <comment ref="K35" authorId="0" shapeId="0" xr:uid="{00000000-0006-0000-0300-00001F000000}">
      <text>
        <r>
          <rPr>
            <sz val="10"/>
            <rFont val="Microsoft JhengHei"/>
          </rPr>
          <t>時間窗依據：完工日「未公布」無法解析，視為未公布</t>
        </r>
      </text>
    </comment>
    <comment ref="K36" authorId="0" shapeId="0" xr:uid="{00000000-0006-0000-0300-000020000000}">
      <text>
        <r>
          <rPr>
            <sz val="10"/>
            <rFont val="Microsoft JhengHei"/>
          </rPr>
          <t>時間窗依據：完工日「三階段：Stage 1 Building E + 道路、Stage 2 Building F、Stage 3 Building G；無日期。」無法解析，視為未公布</t>
        </r>
      </text>
    </comment>
    <comment ref="K37" authorId="0" shapeId="0" xr:uid="{00000000-0006-0000-0300-000021000000}">
      <text>
        <r>
          <rPr>
            <sz val="10"/>
            <rFont val="Microsoft JhengHei"/>
          </rPr>
          <t>時間窗依據：完工日「EIS：六年期、逐棟（B、C、D）；無日期。」無法解析，視為未公布</t>
        </r>
      </text>
    </comment>
    <comment ref="K38" authorId="0" shapeId="0" xr:uid="{00000000-0006-0000-0300-000022000000}">
      <text>
        <r>
          <rPr>
            <sz val="10"/>
            <rFont val="Microsoft JhengHei"/>
          </rPr>
          <t>時間窗依據：完工日「EIS 無日期；Stage 1 = Building A + 早期工程 + 廣場；Stage 2 = Building B。」無法解析，視為未公布</t>
        </r>
      </text>
    </comment>
    <comment ref="K39" authorId="0" shapeId="0" xr:uid="{00000000-0006-0000-0300-000023000000}">
      <text>
        <r>
          <rPr>
            <sz val="10"/>
            <rFont val="Microsoft JhengHei"/>
          </rPr>
          <t>時間窗依據：僅聚合站稱 2028。</t>
        </r>
      </text>
    </comment>
    <comment ref="K40" authorId="0" shapeId="0" xr:uid="{00000000-0006-0000-0300-000024000000}">
      <text>
        <r>
          <rPr>
            <sz val="10"/>
            <rFont val="Microsoft JhengHei"/>
          </rPr>
          <t>時間窗依據：完工日「未公布」無法解析，視為未公布</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build_xlsx</author>
  </authors>
  <commentList>
    <comment ref="K5" authorId="0" shapeId="0" xr:uid="{00000000-0006-0000-0400-000001000000}">
      <text>
        <r>
          <rPr>
            <sz val="10"/>
            <rFont val="Microsoft JhengHei"/>
          </rPr>
          <t>時間窗依據：BK1/BK2 營運中。</t>
        </r>
      </text>
    </comment>
    <comment ref="K6" authorId="0" shapeId="0" xr:uid="{00000000-0006-0000-0400-000002000000}">
      <text>
        <r>
          <rPr>
            <sz val="10"/>
            <rFont val="Microsoft JhengHei"/>
          </rPr>
          <t>時間窗依據：營運中。</t>
        </r>
      </text>
    </comment>
    <comment ref="K7" authorId="0" shapeId="0" xr:uid="{00000000-0006-0000-0400-000003000000}">
      <text>
        <r>
          <rPr>
            <sz val="10"/>
            <rFont val="Microsoft JhengHei"/>
          </rPr>
          <t>時間窗依據：營運中；收購尚未交割。</t>
        </r>
      </text>
    </comment>
    <comment ref="K8" authorId="0" shapeId="0" xr:uid="{00000000-0006-0000-0400-000004000000}">
      <text>
        <r>
          <rPr>
            <sz val="10"/>
            <rFont val="Microsoft JhengHei"/>
          </rPr>
          <t>時間窗依據：僅聚合站（Baxtel）：MEL02A 2026、MEL02B 2027；STACK 未公布。</t>
        </r>
      </text>
    </comment>
    <comment ref="K9" authorId="0" shapeId="0" xr:uid="{00000000-0006-0000-0400-000005000000}">
      <text>
        <r>
          <rPr>
            <sz val="10"/>
            <rFont val="Microsoft JhengHei"/>
          </rPr>
          <t>時間窗依據：MEL01C 2026-Q4、MEL01D 2027-Q2（STACK 官網與 Baxtel）。</t>
        </r>
      </text>
    </comment>
    <comment ref="K10" authorId="0" shapeId="0" xr:uid="{00000000-0006-0000-0400-000006000000}">
      <text>
        <r>
          <rPr>
            <sz val="10"/>
            <rFont val="Microsoft JhengHei"/>
          </rPr>
          <t>時間窗依據：僅聚合站（Baxtel）稱 2026；Vantage 未公布日期。</t>
        </r>
      </text>
    </comment>
    <comment ref="K11" authorId="0" shapeId="0" xr:uid="{00000000-0006-0000-0400-000007000000}">
      <text>
        <r>
          <rPr>
            <sz val="10"/>
            <rFont val="Microsoft JhengHei"/>
          </rPr>
          <t>時間窗依據：AirTrunk 稱首期 2027 下半年開放；尚無施工證據。</t>
        </r>
      </text>
    </comment>
    <comment ref="K12" authorId="0" shapeId="0" xr:uid="{00000000-0006-0000-0400-000008000000}">
      <text>
        <r>
          <rPr>
            <sz val="10"/>
            <rFont val="Microsoft JhengHei"/>
          </rPr>
          <t>時間窗依據：DoverDC 稱首期 2028–2029。</t>
        </r>
      </text>
    </comment>
    <comment ref="K13" authorId="0" shapeId="0" xr:uid="{00000000-0006-0000-0400-000009000000}">
      <text>
        <r>
          <rPr>
            <sz val="10"/>
            <rFont val="Microsoft JhengHei"/>
          </rPr>
          <t>時間窗依據：W.Media：2028 年底至 2029 年初。</t>
        </r>
      </text>
    </comment>
    <comment ref="K14" authorId="0" shapeId="0" xr:uid="{00000000-0006-0000-0400-00000A000000}">
      <text>
        <r>
          <rPr>
            <sz val="10"/>
            <rFont val="Microsoft JhengHei"/>
          </rPr>
          <t>時間窗依據：聯邦 AIPP：Phase 1 與 2 試運轉 2029-06。</t>
        </r>
      </text>
    </comment>
    <comment ref="K15" authorId="0" shapeId="0" xr:uid="{00000000-0006-0000-0400-00000B000000}">
      <text>
        <r>
          <rPr>
            <sz val="10"/>
            <rFont val="Microsoft JhengHei"/>
          </rPr>
          <t>時間窗依據：CDC 未公布；聚合站估首期 2027 Q1。</t>
        </r>
      </text>
    </comment>
    <comment ref="K16" authorId="0" shapeId="0" xr:uid="{00000000-0006-0000-0400-00000C000000}">
      <text>
        <r>
          <rPr>
            <sz val="10"/>
            <rFont val="Microsoft JhengHei"/>
          </rPr>
          <t>時間窗依據：未公布。</t>
        </r>
      </text>
    </comment>
    <comment ref="K17" authorId="0" shapeId="0" xr:uid="{00000000-0006-0000-0400-00000D000000}">
      <text>
        <r>
          <rPr>
            <sz val="10"/>
            <rFont val="Microsoft JhengHei"/>
          </rPr>
          <t>時間窗依據：完工日「未公布」無法解析，視為未公布</t>
        </r>
      </text>
    </comment>
    <comment ref="K18" authorId="0" shapeId="0" xr:uid="{00000000-0006-0000-0400-00000E000000}">
      <text>
        <r>
          <rPr>
            <sz val="10"/>
            <rFont val="Microsoft JhengHei"/>
          </rPr>
          <t>時間窗依據：NEXTDC FY26 簡報僅稱 60 MW 在建，未公布完工日。</t>
        </r>
      </text>
    </comment>
    <comment ref="K19" authorId="0" shapeId="0" xr:uid="{00000000-0006-0000-0400-00000F000000}">
      <text>
        <r>
          <rPr>
            <sz val="10"/>
            <rFont val="Microsoft JhengHei"/>
          </rPr>
          <t>時間窗依據：僅電網接入預計 2027；本體未公布。</t>
        </r>
      </text>
    </comment>
    <comment ref="K20" authorId="0" shapeId="0" xr:uid="{00000000-0006-0000-0400-000010000000}">
      <text>
        <r>
          <rPr>
            <sz val="10"/>
            <rFont val="Microsoft JhengHei"/>
          </rPr>
          <t>時間窗依據：完工日「未公布」無法解析，視為未公布</t>
        </r>
      </text>
    </comment>
    <comment ref="K21" authorId="0" shapeId="0" xr:uid="{00000000-0006-0000-0400-000011000000}">
      <text>
        <r>
          <rPr>
            <sz val="10"/>
            <rFont val="Microsoft JhengHei"/>
          </rPr>
          <t>時間窗依據：完工日「未公布」無法解析，視為未公布</t>
        </r>
      </text>
    </comment>
    <comment ref="K22" authorId="0" shapeId="0" xr:uid="{00000000-0006-0000-0400-000012000000}">
      <text>
        <r>
          <rPr>
            <sz val="10"/>
            <rFont val="Microsoft JhengHei"/>
          </rPr>
          <t>時間窗依據：完工日「未公布」無法解析，視為未公布</t>
        </r>
      </text>
    </comment>
    <comment ref="K23" authorId="0" shapeId="0" xr:uid="{00000000-0006-0000-0400-000013000000}">
      <text>
        <r>
          <rPr>
            <sz val="10"/>
            <rFont val="Microsoft JhengHei"/>
          </rPr>
          <t>時間窗依據：完工日「未公布」無法解析，視為未公布</t>
        </r>
      </text>
    </comment>
    <comment ref="K24" authorId="0" shapeId="0" xr:uid="{00000000-0006-0000-0400-000014000000}">
      <text>
        <r>
          <rPr>
            <sz val="10"/>
            <rFont val="Microsoft JhengHei"/>
          </rPr>
          <t>時間窗依據：完工日「未公布」無法解析，視為未公布</t>
        </r>
      </text>
    </comment>
    <comment ref="K25" authorId="0" shapeId="0" xr:uid="{00000000-0006-0000-0400-000015000000}">
      <text>
        <r>
          <rPr>
            <sz val="10"/>
            <rFont val="Microsoft JhengHei"/>
          </rPr>
          <t>時間窗依據：完工日「未公布」無法解析，視為未公布</t>
        </r>
      </text>
    </comment>
    <comment ref="K26" authorId="0" shapeId="0" xr:uid="{00000000-0006-0000-0400-000016000000}">
      <text>
        <r>
          <rPr>
            <sz val="10"/>
            <rFont val="Microsoft JhengHei"/>
          </rPr>
          <t>時間窗依據：完工日「約 12 年分期（首期未定）」無法解析，視為未公布</t>
        </r>
      </text>
    </comment>
    <comment ref="K27" authorId="0" shapeId="0" xr:uid="{00000000-0006-0000-0400-000017000000}">
      <text>
        <r>
          <rPr>
            <sz val="10"/>
            <rFont val="Microsoft JhengHei"/>
          </rPr>
          <t>時間窗依據：完工日「未公布」無法解析，視為未公布</t>
        </r>
      </text>
    </comment>
    <comment ref="K28" authorId="0" shapeId="0" xr:uid="{00000000-0006-0000-0400-000018000000}">
      <text>
        <r>
          <rPr>
            <sz val="10"/>
            <rFont val="Microsoft JhengHei"/>
          </rPr>
          <t>時間窗依據：完工日「未公布」無法解析，視為未公布</t>
        </r>
      </text>
    </comment>
    <comment ref="K29" authorId="0" shapeId="0" xr:uid="{00000000-0006-0000-0400-000019000000}">
      <text>
        <r>
          <rPr>
            <sz val="10"/>
            <rFont val="Microsoft JhengHei"/>
          </rPr>
          <t>時間窗依據：GreenSquare 稱 2027 上線，但申請尚未核准。</t>
        </r>
      </text>
    </comment>
    <comment ref="K30" authorId="0" shapeId="0" xr:uid="{00000000-0006-0000-0400-00001A000000}">
      <text>
        <r>
          <rPr>
            <sz val="10"/>
            <rFont val="Microsoft JhengHei"/>
          </rPr>
          <t>時間窗依據：完工日「未公布」無法解析，視為未公布</t>
        </r>
      </text>
    </comment>
    <comment ref="K31" authorId="0" shapeId="0" xr:uid="{00000000-0006-0000-0400-00001B000000}">
      <text>
        <r>
          <rPr>
            <sz val="10"/>
            <rFont val="Microsoft JhengHei"/>
          </rPr>
          <t>時間窗依據：完工日「未公布」無法解析，視為未公布</t>
        </r>
      </text>
    </comment>
    <comment ref="K32" authorId="0" shapeId="0" xr:uid="{00000000-0006-0000-0400-00001C000000}">
      <text>
        <r>
          <rPr>
            <sz val="10"/>
            <rFont val="Microsoft JhengHei"/>
          </rPr>
          <t>時間窗依據：完工日「未公布」無法解析，視為未公布</t>
        </r>
      </text>
    </comment>
    <comment ref="K33" authorId="0" shapeId="0" xr:uid="{00000000-0006-0000-0400-00001D000000}">
      <text>
        <r>
          <rPr>
            <sz val="10"/>
            <rFont val="Microsoft JhengHei"/>
          </rPr>
          <t>時間窗依據：擴建申請尚未核准；The Age 稱 2027 年底。</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build_xlsx</author>
  </authors>
  <commentList>
    <comment ref="K5" authorId="0" shapeId="0" xr:uid="{00000000-0006-0000-0500-000001000000}">
      <text>
        <r>
          <rPr>
            <sz val="10"/>
            <rFont val="Microsoft JhengHei"/>
          </rPr>
          <t>時間窗依據：資料中心無官方時程；已完工的只有電池。</t>
        </r>
      </text>
    </comment>
    <comment ref="K6" authorId="0" shapeId="0" xr:uid="{00000000-0006-0000-0500-000002000000}">
      <text>
        <r>
          <rPr>
            <sz val="10"/>
            <rFont val="Microsoft JhengHei"/>
          </rPr>
          <t>時間窗依據：DA 尚未核准；Anthropic 目標 2027 年使用，時程明顯樂觀；全園區建設期 4–6 年。</t>
        </r>
      </text>
    </comment>
    <comment ref="K7" authorId="0" shapeId="0" xr:uid="{00000000-0006-0000-0500-000003000000}">
      <text>
        <r>
          <rPr>
            <sz val="10"/>
            <rFont val="Microsoft JhengHei"/>
          </rPr>
          <t>時間窗依據：完工日「未公布」無法解析，視為未公布</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build_xlsx</author>
  </authors>
  <commentList>
    <comment ref="K5" authorId="0" shapeId="0" xr:uid="{00000000-0006-0000-0600-000001000000}">
      <text>
        <r>
          <rPr>
            <sz val="10"/>
            <rFont val="Microsoft JhengHei"/>
          </rPr>
          <t>時間窗依據：第一棟 MA1 2027-01 開始營運（CDC 官網）。</t>
        </r>
      </text>
    </comment>
    <comment ref="K6" authorId="0" shapeId="0" xr:uid="{00000000-0006-0000-0600-000002000000}">
      <text>
        <r>
          <rPr>
            <sz val="10"/>
            <rFont val="Microsoft JhengHei"/>
          </rPr>
          <t>時間窗依據：CDC：2028 開始營運、2029 全面營運。</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build_xlsx</author>
  </authors>
  <commentList>
    <comment ref="K5" authorId="0" shapeId="0" xr:uid="{00000000-0006-0000-0700-000001000000}">
      <text>
        <r>
          <rPr>
            <sz val="10"/>
            <rFont val="Microsoft JhengHei"/>
          </rPr>
          <t>時間窗依據：DigiCo 目標 FY28 年底前上線並計費。</t>
        </r>
      </text>
    </comment>
    <comment ref="K6" authorId="0" shapeId="0" xr:uid="{00000000-0006-0000-0700-000002000000}">
      <text>
        <r>
          <rPr>
            <sz val="10"/>
            <rFont val="Microsoft JhengHei"/>
          </rPr>
          <t>時間窗依據：首期通電自 2028 起。</t>
        </r>
      </text>
    </comment>
    <comment ref="K7" authorId="0" shapeId="0" xr:uid="{00000000-0006-0000-0700-000003000000}">
      <text>
        <r>
          <rPr>
            <sz val="10"/>
            <rFont val="Microsoft JhengHei"/>
          </rPr>
          <t>時間窗依據：完工日「未公布」無法解析，視為未公布</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build_xlsx</author>
  </authors>
  <commentList>
    <comment ref="K5" authorId="0" shapeId="0" xr:uid="{00000000-0006-0000-0800-000001000000}">
      <text>
        <r>
          <rPr>
            <sz val="10"/>
            <rFont val="Microsoft JhengHei"/>
          </rPr>
          <t>時間窗依據：完工日「未公布」無法解析，視為未公布</t>
        </r>
      </text>
    </comment>
    <comment ref="K6" authorId="0" shapeId="0" xr:uid="{00000000-0006-0000-0800-000002000000}">
      <text>
        <r>
          <rPr>
            <sz val="10"/>
            <rFont val="Microsoft JhengHei"/>
          </rPr>
          <t>時間窗依據：完工日「未公布」無法解析，視為未公布</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build_xlsx</author>
  </authors>
  <commentList>
    <comment ref="K5" authorId="0" shapeId="0" xr:uid="{00000000-0006-0000-0900-000001000000}">
      <text>
        <r>
          <rPr>
            <sz val="10"/>
            <rFont val="Microsoft JhengHei"/>
          </rPr>
          <t>時間窗依據：公司稱 2026 年底，ABC 稱 2027 年初。</t>
        </r>
      </text>
    </comment>
    <comment ref="K6" authorId="0" shapeId="0" xr:uid="{00000000-0006-0000-0900-000002000000}">
      <text>
        <r>
          <rPr>
            <sz val="10"/>
            <rFont val="Microsoft JhengHei"/>
          </rPr>
          <t>時間窗依據：許可尚未生效（5 件上訴），無施工時程。</t>
        </r>
      </text>
    </comment>
    <comment ref="K7" authorId="0" shapeId="0" xr:uid="{00000000-0006-0000-0900-000003000000}">
      <text>
        <r>
          <rPr>
            <sz val="10"/>
            <rFont val="Microsoft JhengHei"/>
          </rPr>
          <t>時間窗依據：議會暫緩，無時程。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build_xlsx</author>
  </authors>
  <commentList>
    <comment ref="K5" authorId="0" shapeId="0" xr:uid="{00000000-0006-0000-0A00-000001000000}">
      <text>
        <r>
          <rPr>
            <sz val="10"/>
            <rFont val="Microsoft JhengHei"/>
          </rPr>
          <t>時間窗依據：首期供電目標 2028 年中，視批准與 FID。</t>
        </r>
      </text>
    </comment>
  </commentList>
</comments>
</file>

<file path=xl/sharedStrings.xml><?xml version="1.0" encoding="utf-8"?>
<sst xmlns="http://schemas.openxmlformats.org/spreadsheetml/2006/main" count="13800" uniqueCount="4194">
  <si>
    <t>澳洲可出租資料中心盤點</t>
  </si>
  <si>
    <t>資料日期：2026-10-03　｜　收錄門檻：5 MW 以上　｜　範圍：澳洲 8 個州與領地的可出租資料中心</t>
  </si>
  <si>
    <t>盤點範圍</t>
  </si>
  <si>
    <t>收錄條件</t>
  </si>
  <si>
    <t>同時符合：(1) 可由第三方承租（託管、批發型、建置型／powered shell）；(2) 專案或獨立分期容量 5 MW 以上（未公布 MW 但明顯為大型園區者亦收錄，容量欄顯示「未公布」）；(3) 狀態為施工中、已核准尚未動工、已送件審查中，或近期完工／已營運但仍有 5 MW 以上可租容量或擴建。</t>
  </si>
  <si>
    <t>不收錄</t>
  </si>
  <si>
    <t>雲端巨頭自建或終端使用者自用（Amazon/AWS、Microsoft、Google、Meta、Oracle 等）、不足 5 MW、已撤案或遭否決者，列於「排除清單」僅供稽核。已預租給特定雲端業者或 AI 公司的第三方專案不屬於自建，仍收錄並在「已知租戶」註明。</t>
  </si>
  <si>
    <t>資料日期</t>
  </si>
  <si>
    <t>2026-10-03。狀態與完工時間以此日期可取得的公開資訊為準。</t>
  </si>
  <si>
    <t>涵蓋地區</t>
  </si>
  <si>
    <t>新南威爾斯州、維多利亞州、昆士蘭州、西澳州、南澳州、首都領地、塔斯馬尼亞州、北領地；零筆的州仍有獨立工作表，列出查過的來源。</t>
  </si>
  <si>
    <t>工作表導覽（點選名稱可跳轉）</t>
  </si>
  <si>
    <t>總覽</t>
  </si>
  <si>
    <t>關鍵指標、各州 × 狀態、各州 × 完工時間窗、各州容量（只計主清單），另有觀察名單統計與重點發現；統計皆為引用「專案清單」的即時公式。</t>
  </si>
  <si>
    <t>專案清單</t>
  </si>
  <si>
    <t>全部收錄專案的完整欄位，依完工時間窗 → 狀態 → 容量排序；可用表頭箭頭篩選。</t>
  </si>
  <si>
    <t>各州工作表</t>
  </si>
  <si>
    <t>每州一張精簡表：NSW 新南威爾斯、VIC 維多利亞、QLD 昆士蘭、WA 西澳、SA 南澳、ACT 首都領地、TAS 塔斯馬尼亞、NT 北領地。零筆的州列出搜尋紀錄、資料缺口與代理備註。</t>
  </si>
  <si>
    <t>完工時間窗</t>
  </si>
  <si>
    <t>依可用時間分組，附各組已知 MW 小計。</t>
  </si>
  <si>
    <t>差異與待確認</t>
  </si>
  <si>
    <t>跨來源差異、專案層級差異與低可信度專案，決策前請先看。</t>
  </si>
  <si>
    <t>排除清單</t>
  </si>
  <si>
    <t>不符收錄條件的項目與原因，僅供稽核。</t>
  </si>
  <si>
    <t>來源</t>
  </si>
  <si>
    <t>所有引用網址，分類為政府／營運商／媒體／其他，並列出引用的專案。</t>
  </si>
  <si>
    <t>搜尋紀錄</t>
  </si>
  <si>
    <t>各州、各代理的搜尋紀錄、資料缺口與備註。</t>
  </si>
  <si>
    <t>狀態定義（狀態欄的顏色）</t>
  </si>
  <si>
    <t>施工中</t>
  </si>
  <si>
    <t>已有具日期的動工證據：開工通知、施工環境管理計畫（CEMP）核准、營運商新聞稿、封頂等。</t>
  </si>
  <si>
    <t>已核准、尚未動工</t>
  </si>
  <si>
    <t>已取得規劃許可或開發許可，尚無施工證據。</t>
  </si>
  <si>
    <t>近期完工（仍有容量）</t>
  </si>
  <si>
    <t>2025-07 以後通電或啟用，且仍有 5 MW 以上未出租或擴建容量。</t>
  </si>
  <si>
    <t>已營運（有餘裕／擴建）</t>
  </si>
  <si>
    <t>已營運的可租設施，有可信公開證據顯示 5 MW 以上未出租容量，或正進行 5 MW 以上擴建。</t>
  </si>
  <si>
    <t>已送件、審查中</t>
  </si>
  <si>
    <t>已公開宣布並正式向規劃主管機關送件（SEARs、EIS、DA、許可申請），尚未核准；僅有傳聞而未送件者不收錄。</t>
  </si>
  <si>
    <t>已可用／營運中</t>
  </si>
  <si>
    <t>已營運或已交付。</t>
  </si>
  <si>
    <t>2026 Q4 – 2027 Q2</t>
  </si>
  <si>
    <t>預計 2026 年 10 月至 2027 年 6 月完工或啟用。</t>
  </si>
  <si>
    <t>2027 下半年</t>
  </si>
  <si>
    <t>預計 2027 年 7 月至 12 月。</t>
  </si>
  <si>
    <t>2028 年以後</t>
  </si>
  <si>
    <t>預計 2028 年或更晚。</t>
  </si>
  <si>
    <t>完工日未公布</t>
  </si>
  <si>
    <t>尚無可靠來源公布完工日期。</t>
  </si>
  <si>
    <t>判定方式</t>
  </si>
  <si>
    <t>由彙整程式依「預計完工（原文）」與狀態推得；每個專案的判定依據列在「完工時間窗」工作表的「時間窗依據」欄，並附在「專案清單」完工時間窗欄的儲存格註解。FY 為澳洲會計年度（7 月 1 日起算），例如 FY27 = 2026-07 至 2027-06。</t>
  </si>
  <si>
    <t>可租判斷</t>
  </si>
  <si>
    <t>可租</t>
  </si>
  <si>
    <t>營運商明確以託管或批發方式對第三方出租。</t>
  </si>
  <si>
    <t>大概可租</t>
  </si>
  <si>
    <t>開發商或營運商的模式通常對外出租，但尚未公布租戶或出租條件。</t>
  </si>
  <si>
    <t>待確認</t>
  </si>
  <si>
    <t>出租模式不明或可能為單一客戶專用，需向營運商確認。</t>
  </si>
  <si>
    <t>分級：主清單與觀察名單</t>
  </si>
  <si>
    <t>主清單</t>
  </si>
  <si>
    <t>可租判斷為「可租」或「大概可租」的專案。總覽的主要統計、各組小計與各州摘要的主數字只計主清單。</t>
  </si>
  <si>
    <t>觀察名單 (出租性待確認)</t>
  </si>
  <si>
    <t>可租判斷為「待確認」的專案，例如出售 GPU 算力而非出租機房空間的垂直整合 AI 雲業者、尚未核准且仍在等待主力客戶的專案、首期可用容量不足 5 MW 的場址，或由彙整者另行判定者。不計入主要統計，但保留顯示，讓每州都看得到現有專案；原因見「分級說明」欄。</t>
  </si>
  <si>
    <t>可信度（字色）</t>
  </si>
  <si>
    <t>高</t>
  </si>
  <si>
    <t>已開啟並閱讀具日期的政府或營運商一手來源。</t>
  </si>
  <si>
    <t>中</t>
  </si>
  <si>
    <t>有可信的產業媒體報導，或有一手來源但未開啟原文。</t>
  </si>
  <si>
    <t>低</t>
  </si>
  <si>
    <t>僅有聚合網站或搜尋摘要，需再查證才能作為依據。</t>
  </si>
  <si>
    <t>容量口徑（MW）</t>
  </si>
  <si>
    <t>IT 負載</t>
  </si>
  <si>
    <t>可供伺服器使用的 IT 電力，最接近租戶可用容量。</t>
  </si>
  <si>
    <t>關鍵負載</t>
  </si>
  <si>
    <t>關鍵負載（critical load），通常接近 IT 負載。</t>
  </si>
  <si>
    <t>銘牌容量</t>
  </si>
  <si>
    <t>設計或設施總容量，可能包含冷卻等非 IT 用電。</t>
  </si>
  <si>
    <t>變電容量（MVA）</t>
  </si>
  <si>
    <t>電網接入或變電站容量，單位為 MVA，不等於 IT MW。</t>
  </si>
  <si>
    <t>耗電量</t>
  </si>
  <si>
    <t>申請文件所列的用電量。</t>
  </si>
  <si>
    <t>口徑不明</t>
  </si>
  <si>
    <t>來源未說明口徑。</t>
  </si>
  <si>
    <t>重要提醒</t>
  </si>
  <si>
    <t>「容量 MW」欄混合了 IT 負載、銘牌容量與變電容量（MVA）等不同口徑，彼此不能直接比較，各處的 MW 加總僅供量級參考；洽談或報價前請向營運商確認口徑。容量未公布者顯示「未公布」，不計入任何加總，另以件數呈現。</t>
  </si>
  <si>
    <t>座標精度</t>
  </si>
  <si>
    <t>來源提供</t>
  </si>
  <si>
    <t>座標取自可靠來源（規劃文件地圖、官方頁面等）。</t>
  </si>
  <si>
    <t>門牌級</t>
  </si>
  <si>
    <t>地理編碼對到門牌號碼。</t>
  </si>
  <si>
    <t>街道級</t>
  </si>
  <si>
    <t>只對到街道，位置可能偏離數百公尺。</t>
  </si>
  <si>
    <t>郊區級（近似）</t>
  </si>
  <si>
    <t>以郊區或州的中心點代替，地圖位置僅供參考。</t>
  </si>
  <si>
    <t>儲存格註解</t>
  </si>
  <si>
    <t>「專案清單」座標精度欄的註解記錄地理編碼方式（例如門牌比對或郊區中心點）。</t>
  </si>
  <si>
    <t>顏色圖例</t>
  </si>
  <si>
    <t>表頭</t>
  </si>
  <si>
    <t>深青色底、白色粗體字。</t>
  </si>
  <si>
    <t>區段標題</t>
  </si>
  <si>
    <t>淺青色底，用來分隔同一工作表內的區塊。</t>
  </si>
  <si>
    <t>狀態</t>
  </si>
  <si>
    <t>狀態欄以淡色填滿、深色字標示：綠＝施工中、琥珀＝已核准尚未動工、藍＝近期完工、紫＝已營運有餘裕、灰＝已送件審查中。</t>
  </si>
  <si>
    <t>可信度</t>
  </si>
  <si>
    <t>字色：綠＝高、琥珀＝中、紅＝低。</t>
  </si>
  <si>
    <t>觀察名單列</t>
  </si>
  <si>
    <t>斜體灰字、淺灰底，表示次要資訊；狀態欄仍保留狀態色。</t>
  </si>
  <si>
    <t>超連結</t>
  </si>
  <si>
    <t>藍色底線文字可點擊開啟。</t>
  </si>
  <si>
    <t>提示</t>
  </si>
  <si>
    <t>需要特別注意的說明（例如零筆州、排除清單）。</t>
  </si>
  <si>
    <t>工作表標籤</t>
  </si>
  <si>
    <t>灰＝說明；深青＝總覽與完工時間窗；綠＝專案清單；淺藍＝各州；琥珀＝差異與待確認、排除清單；紫＝來源與搜尋紀錄。</t>
  </si>
  <si>
    <t>閱讀建議</t>
  </si>
  <si>
    <t>1.</t>
  </si>
  <si>
    <t>先看「總覽」的重點與統計，再到「專案清單」用表頭箭頭依州、狀態、完工時間窗、可信度篩選。</t>
  </si>
  <si>
    <t>2.</t>
  </si>
  <si>
    <t>各州工作表是精簡版；完整欄位與全部來源網址在「專案清單」。</t>
  </si>
  <si>
    <t>3.</t>
  </si>
  <si>
    <t>「容量 MW」顯示「未公布」者不計入加總；總覽另列「容量未公布」件數。</t>
  </si>
  <si>
    <t>4.</t>
  </si>
  <si>
    <t>斜體灰底列是觀察名單（出租性待確認），不計入主要統計；用「分級」欄篩選可只看主清單。</t>
  </si>
  <si>
    <t>5.</t>
  </si>
  <si>
    <t>來源欄每行一個網址，第一個網址可直接點擊；其餘網址可複製開啟，或到「來源」工作表逐一點擊。</t>
  </si>
  <si>
    <t>6.</t>
  </si>
  <si>
    <t>「Google 地圖」依座標開啟；座標精度為郊區級者僅為近似位置。</t>
  </si>
  <si>
    <t>7.</t>
  </si>
  <si>
    <t>決策或報價前，請先看「差異與待確認」：跨來源數字不一致與低可信度專案都列在那裡。</t>
  </si>
  <si>
    <t>8.</t>
  </si>
  <si>
    <t>「排除清單」只用來證明搜索涵蓋範圍，不屬於盤點清單。</t>
  </si>
  <si>
    <t>9.</t>
  </si>
  <si>
    <t>本檔公式在開啟時自動計算；若從電子郵件或網路開啟而進入「受保護的檢視」，請按「啟用編輯」，統計數字才會顯示。</t>
  </si>
  <si>
    <t>資料來源層級（由高至低）</t>
  </si>
  <si>
    <t>1. 政府</t>
  </si>
  <si>
    <t>規劃入口與登記冊（NSW Planning Portal、Planning Victoria 部長許可登記冊、各區政府 DA 系統、PlanSA、WA DAP／WAPC、ACT DA 登記冊、昆士蘭 Coordinator-General／SARA、塔州與北領地規劃系統）、部長新聞稿、EPBC 申報。</t>
  </si>
  <si>
    <t>2. 營運商</t>
  </si>
  <si>
    <t>營運商與開發商官方網站、ASX 公告。</t>
  </si>
  <si>
    <t>3. 產業媒體</t>
  </si>
  <si>
    <t>DatacenterDynamics、W.Media、The Urban Developer、AFR、Capital Brief、InnovationAus 等。</t>
  </si>
  <si>
    <t>4. 聚合網站</t>
  </si>
  <si>
    <t>Baxtel、DatacenterMap、RenewMap 等只作線索，不單獨作為狀態或完工日依據；其 MW 多為銘牌容量或 MVA。</t>
  </si>
  <si>
    <t>原則</t>
  </si>
  <si>
    <t>政府 &gt; 營運商 &gt; 產業媒體 &gt; 聚合網站。單一來源說「施工中」不足為憑，需有具日期的具體事件。</t>
  </si>
  <si>
    <t>研究方法</t>
  </si>
  <si>
    <t>納入條件：可出租（託管、批發、裸殼、powered shell、build-to-suit）、容量 5 MW 以上（或首期 5 MW 以上）、狀態為施工中、已核准、近期完工仍有容量、營運中且有擴建、或已向規劃機關正式送件。</t>
  </si>
  <si>
    <t>排除條件：雲端巨頭自建（Amazon、AWS、Microsoft、Google、Meta、Oracle 等）、不足 5 MW、已撤案或否決、只有構想而未正式送件。排除項目列在 Excel『排除清單』分頁，供稽核。</t>
  </si>
  <si>
    <t>分級：主清單＝可租或大概可租；觀察名單＝出租性待確認（垂直整合 AI 雲、等待基石客戶、營運商未證實、信心低）。觀察名單不計入標題數字。</t>
  </si>
  <si>
    <t>證據順序：政府（規劃入口、許可登記冊、DA 登記）＞營運商官網與 ASX 公告＞專業媒體＞聚合站（Baxtel、RenewMap、ITK，只當線索）。NSW 的『已動工』判斷來自規劃入口『核准後文件』中的開工通知、施工環管計畫核准信等。</t>
  </si>
  <si>
    <t>工作方式：18 個 Sonnet 搜索代理分州搜索，我（Claude）對關鍵項目回頭讀政府文件與營運商原文獨立驗證，並以人工裁決修正了多處代理之間的矛盾（例如 3 Davis Road 的歸屬、NEXTDC D2／SC2 只有 1–1.5 MW 在建、Keppel Hazelwood 尚未送件）。</t>
  </si>
  <si>
    <t>座標：50 筆取自來源，其餘由 OpenStreetMap Nominatim 補上；精度分為來源提供、門牌級、街道級、郊區級（近似），地圖上近似者以虛線外框標示。</t>
  </si>
  <si>
    <t>注意事項</t>
  </si>
  <si>
    <t>搜索期間 WebSearch 額度（200 次）中途用盡，之後改用新聞 RSS 與直接抓取官方頁面，覆蓋面較薄；Wyndham、Latrobe、Monash 等區政府入口需登入、昆州 Coordinator-General／SARA／EDQ、PlanSA、NT 與塔州部分政府網站被擋，這些地方可能有漏網之魚。</t>
  </si>
  <si>
    <t>MW 口徑不一：IT 負載、關鍵負載、銘牌容量、MVA、耗電量混用，標題加總只能當數量級參考，不可當交付容量。</t>
  </si>
  <si>
    <t>完工日多數來自營運商自述、顧問文件或聚合站，不是施工合約日期；僅聚合站提供的年份已標為未公布或註明。</t>
  </si>
  <si>
    <t>公開資料看不到任何一棟的『未租區塊』與預租比例，也看不到 CDC 對非政府外國商業租戶是否開放；這些必須直接詢問營運商。</t>
  </si>
  <si>
    <t>一般的託管或租賃合約通常不涉及外資審查，但長期土地租賃、自建或取得土地權益可能觸發；本報告不構成法律意見，請向澳洲律師確認。</t>
  </si>
  <si>
    <t>底圖使用 Esri 灰階圖磚（免金鑰、需標示出處）；對外商業使用前請確認其條款。</t>
  </si>
  <si>
    <t>澳洲可出租資料中心盤點：總覽</t>
  </si>
  <si>
    <t>資料日期：2026-10-03　｜　主要統計只計主清單，觀察名單另列　｜　數字皆為引用「專案清單」的即時公式</t>
  </si>
  <si>
    <t>可租、5 MW 以上、而且真的在蓋的專案只有 15 筆；落在 2026 Q4 – 2027 Q2 交付的只有 5 筆，且多半已預售或尚待營運商確認。</t>
  </si>
  <si>
    <t>本次盤點由 18 個搜索代理分州地毯式搜索（NSW、VIC 各 3 個角度，其餘各州各 2 個），再由我對關鍵項目回頭讀政府文件與營運商原文做獨立驗證。結果共 79 筆：主清單 60 筆（可租或大概可租）、觀察名單 19 筆（出租性待確認）；另有 190 筆經查證後排除，其中雲端巨頭自建 21 筆、不足 5 MW 的 45 筆、已撤案 9 筆。每一筆都附地址與地圖座標：72 筆有完整門牌，其餘 7 筆只到街道、郊區或區域（例如 Minchinbury、Mawson Lakes、Project Ares），地圖上以虛線外框標示為近似。</t>
  </si>
  <si>
    <t>主清單 60 筆裡，施工中 15 筆、已核准尚未動工 16 筆、已正式送件審查中 26 筆、已營運或近期完工 3 筆。落在你要的 2026 Q4 – 2027 Q2 時間窗的有 5 筆：GreenSquareDC SYD1 第一期（雪梨 Norwest，約 15 MW）、STACK MEL01C/D（墨爾本 Truganina，各 54 MW）、STACK MEL02（252 MW）、Vantage MEL1（Tullamarine，64 MW）、CDC Maddington 第一棟（Perth，約 34 MW，2027 年 1 月）。另外 Macquarie IC3 Super West 首期 6 MW 和 Cloud Carrier 的 Southern Highlands DB1（28 MW 裸殼）已經可用。</t>
  </si>
  <si>
    <t>真正的限制不在『有沒有在蓋』，而在『有沒有剩』。NEXTDC 自己的 FY26 簡報顯示，NSW／ACT 的已簽約容量是已建成容量的 306%、VIC 是 261%；CDC 的容量多為長約預簽，主要服務政府與關鍵基礎設施客戶。公開資料看不到任何一棟的未租區塊，必須直接向營運商詢問。</t>
  </si>
  <si>
    <t>各州概況：NSW（主清單 33 筆）與 VIC（21 筆）佔絕大多數；QLD、WA、ACT 各 2 筆；SA、TAS、NT 沒有已確認可租的專案，只有觀察名單（DigiCo 阿德雷德、DCI ADL03、IREN Bundey、Firmus 塔斯馬尼亞三案、Energy North 的 Project Ares），它們不是出租機房空間，或尚無核准與客戶。</t>
  </si>
  <si>
    <t>關鍵指標（只計主清單）</t>
  </si>
  <si>
    <t>主清單專案（件）</t>
  </si>
  <si>
    <t>已知容量合計（MW）</t>
  </si>
  <si>
    <t>容量未公布（件）</t>
  </si>
  <si>
    <t>可信度「高」（件）</t>
  </si>
  <si>
    <t>施工中（件）</t>
  </si>
  <si>
    <t>2027 Q2 前可用（件）</t>
  </si>
  <si>
    <t>另有觀察名單（件）</t>
  </si>
  <si>
    <t>各州 × 狀態（主清單件數）</t>
  </si>
  <si>
    <t>州</t>
  </si>
  <si>
    <t>州名</t>
  </si>
  <si>
    <t>合計</t>
  </si>
  <si>
    <t>NSW</t>
  </si>
  <si>
    <t>新南威爾斯州</t>
  </si>
  <si>
    <t>VIC</t>
  </si>
  <si>
    <t>維多利亞州</t>
  </si>
  <si>
    <t>QLD</t>
  </si>
  <si>
    <t>昆士蘭州</t>
  </si>
  <si>
    <t>WA</t>
  </si>
  <si>
    <t>西澳州</t>
  </si>
  <si>
    <t>SA</t>
  </si>
  <si>
    <t>南澳州</t>
  </si>
  <si>
    <t>ACT</t>
  </si>
  <si>
    <t>首都領地</t>
  </si>
  <si>
    <t>TAS</t>
  </si>
  <si>
    <t>塔斯馬尼亞州</t>
  </si>
  <si>
    <t>NT</t>
  </si>
  <si>
    <t>北領地</t>
  </si>
  <si>
    <t>各州 × 完工時間窗（主清單件數）</t>
  </si>
  <si>
    <t>各州容量與資料品質（只計主清單）</t>
  </si>
  <si>
    <t>專案數（件）</t>
  </si>
  <si>
    <t>已知容量（MW）</t>
  </si>
  <si>
    <t>占已知總容量</t>
  </si>
  <si>
    <t>觀察名單 (出租性待確認)：不計入以上統計</t>
  </si>
  <si>
    <t>觀察名單（件）</t>
  </si>
  <si>
    <t>重點發現</t>
  </si>
  <si>
    <t>1. 2026 Q4 – 2027 Q2 內交付的只有五個</t>
  </si>
  <si>
    <t>GreenSquareDC SYD1 第一期（約 15 MW，Norwest，W.Media 稱 2026 Q4 初始營運）、STACK MEL01C/D（各 54 MW）、STACK MEL02（252 MW）、Vantage MEL1（64 MW）、CDC Maddington MA1（約 34 MW，2027-01）。其中 STACK 的完工日只有聚合站與 STACK 官網的計畫年份，Vantage 官網沒有日期，可信度中等；STACK MEL01C&amp;D 在承建商 Hickory 的網站上已列為『已完成』，可能是土建完成、機電與啟用仍在進行，需向 STACK 確認。</t>
  </si>
  <si>
    <t>2. 最接近 5 MW 尺度的是三個中小型案</t>
  </si>
  <si>
    <t>GreenSquareDC SYD1 第一期（14.9–15 MW，既有建築改造，2026 Q4）、Macquarie IC3 Super West（首期 6 MW，2026-09 啟用，後續 19 MW 設備已融資）、Cloud Carrier Southern Highlands DB1（28 MW 裸殼，已營運，Moss Vale）。其餘動輒 50–500 MW 的批發園區，5 MW 租戶幾乎沒有議價空間。</t>
  </si>
  <si>
    <t>3. 在建的大案幾乎都是批發型，而且多半已預售</t>
  </si>
  <si>
    <t>NEXTDC FY26 簡報（2026-08-27）：已簽約容量 740.1 MW、已建成 287.9 MW。S4 有 250 MW 在建、M3 有 165 MW、M2 有 60 MW、M4 有 10 MW，但 NSW、VIC 的簽約量都遠超已建成容量。CDC 的 Marsden Park（504 MW）、Laverton、Maddington 同樣以長約預簽為主。AirTrunk SYD3 為三階段、每階段約 24 個月的超大規模建設。</t>
  </si>
  <si>
    <t>4. 有 21 筆案子其實是雲端巨頭自建，不能租</t>
  </si>
  <si>
    <t>已查證並剔除 21 筆自建案，例如 AWS 的 3 Davis Road（開工通知明寫 AWS）、Project Echidna、Glendenning Road（約 194 MW）、墨爾本 Craigieburn／Cobblebank／Truganina 三案；Amazon 的 43-61 Turner Road（53 MW）；Microsoft 的 Honeman Close（96 MW）與 Station Road。這些常被第三方資料庫列為『資料中心在建』，但沒有任何可租空間。</t>
  </si>
  <si>
    <t>5. 垂直整合的 AI 雲不出租機房空間</t>
  </si>
  <si>
    <t>Firmus 在塔斯馬尼亞的三個 AI 工廠（St Leonards 施工中 84 MW、Bell Bay 288 MW 已核准但有 5 件上訴、Wesley Vale 52 MW）與 IREN Bundey（南澳，約 550 MW IT）賣的是 GPU 算力，不是機房空間，所以放在觀察名單。這也是 TAS、SA 沒有主清單專案的原因。</t>
  </si>
  <si>
    <t>6. 2028 年以後才有的新供給</t>
  </si>
  <si>
    <t>Goodman SYD01（Artarmon，首期 12.2 MW 於 2028-Q2）、Starwood／Doma／Telstra InfraCo Minchinbury（62 MW，2028-Q1，可選裸殼、powered shell 或 build-to-suit）、DCI SYD02（63 MW，2028 初）、DigiCo SYD1 擴建（47.5 MW，FY28 底）。其中 Goodman 的首期（12.2 MW）與 Minchinbury（可選裸殼、powered shell 或 build-to-suit）的單期尺度，相對接近中小型租戶。</t>
  </si>
  <si>
    <t>7. Fujitsu 澳洲五站是唯一有『未租容量』線索的營運中資產</t>
  </si>
  <si>
    <t>Next Capital 於 2026-07-20 簽約收購，報導稱總容量 25 MW、約 7 MW 已租給約 130 個客戶，可擴建到 100 MW。但這是整個組合的數字，各站空置量未公布；Noble Park 12 MW（1988 年建、2015 年升級）、Greystanes 潛力最高 60 MW，建物老舊，高密度與液冷能力未知。</t>
  </si>
  <si>
    <t>8. 審批與政策風險在上升</t>
  </si>
  <si>
    <t>NSW 於 2026-08-17 發布 Data Centre Guidelines（核准附 firmed 再生能源 PPA 條件）；Goodman 於 2026-09-28 撤回 90 MW 的 Project Mars；維州 2026-09-22 發布永續資料中心行動計畫（住宅 150 公尺緩衝、禁止住宅區），Hume、Brimbank、Maribyrnong 曾要求暫停；昆州 2026-10-02 宣布資料中心審批收歸州級；GreenSquareDC WAi1 的舊核准將於 2026-10-17 失效且從未動工。</t>
  </si>
  <si>
    <t>編號</t>
  </si>
  <si>
    <t>專案名稱</t>
  </si>
  <si>
    <t>營運商</t>
  </si>
  <si>
    <t>開發商／業主</t>
  </si>
  <si>
    <t>街道地址</t>
  </si>
  <si>
    <t>郊區</t>
  </si>
  <si>
    <t>郵遞區號</t>
  </si>
  <si>
    <t>區政府</t>
  </si>
  <si>
    <t>緯度</t>
  </si>
  <si>
    <t>經度</t>
  </si>
  <si>
    <t>容量 MW</t>
  </si>
  <si>
    <t>容量口徑</t>
  </si>
  <si>
    <t>首期 MW</t>
  </si>
  <si>
    <t>容量備註</t>
  </si>
  <si>
    <t>分級</t>
  </si>
  <si>
    <t>分級說明</t>
  </si>
  <si>
    <t>狀態日期</t>
  </si>
  <si>
    <t>施工證據</t>
  </si>
  <si>
    <t>開工時間</t>
  </si>
  <si>
    <t>預計完工（原文）</t>
  </si>
  <si>
    <t>完工日來源</t>
  </si>
  <si>
    <t>可租備註</t>
  </si>
  <si>
    <t>已知租戶</t>
  </si>
  <si>
    <t>核准案號</t>
  </si>
  <si>
    <t>差異／備註</t>
  </si>
  <si>
    <t>政府來源</t>
  </si>
  <si>
    <t>營運商來源</t>
  </si>
  <si>
    <t>媒體來源</t>
  </si>
  <si>
    <t>已讀原文來源</t>
  </si>
  <si>
    <t>Google 地圖</t>
  </si>
  <si>
    <t>回報代理</t>
  </si>
  <si>
    <t>VIC-001</t>
  </si>
  <si>
    <t>CDC Brooklyn 園區（BK1／BK2 已營運，第三棟規劃中）</t>
  </si>
  <si>
    <t>CDC Data Centres</t>
  </si>
  <si>
    <t>CDC</t>
  </si>
  <si>
    <t>598B Geelong Road, Brooklyn VIC 3012</t>
  </si>
  <si>
    <t>Brooklyn</t>
  </si>
  <si>
    <t>3012</t>
  </si>
  <si>
    <t>Brimbank City Council（依 DCM wiki）</t>
  </si>
  <si>
    <t>DCD 2026-03-03：引述財政部長貼文稱新增 155 MW；CDC 官網稱完工後逾 350 MW；DCM wiki：BK1 逾 150 MW。</t>
  </si>
  <si>
    <t>出租性待確認：營運設施，未見公開剩餘容量；DCM wiki 稱 Firmus（Project Southgate）與 Meta 已佔用部分。</t>
  </si>
  <si>
    <t>2026-02-26</t>
  </si>
  <si>
    <t>DJSIR 2026-02-26（已讀）：CDC 正式啟用 Brooklyn 園區，兩棟設施已運轉，第三棟規劃進行中。Brimbank 公開規劃登記冊（資料截至 2025-07-22，已讀並以座標核對）：P569/2023（598B Geelong Rd）『Development of part of the land for a data centre (second stage – north side) within DDO11 …』2023-11-08 受理、2024-02-20 由委派官員核發；P652/2021（598／598A／598B Geelong Rd）資料中心圖面修訂 2022-12-28 核發、紅線與停車變更 2022-06-21 核發。DCM wiki：BK1 於 2022-05 動工、2024-07 完工；BK2 於 2024-10 動工、約 2025 年底完工。第三棟尚無申請編號。</t>
  </si>
  <si>
    <t>BK1 2022-05；BK2 2024-10（wiki）</t>
  </si>
  <si>
    <t>第三棟未公布</t>
  </si>
  <si>
    <t>—</t>
  </si>
  <si>
    <t>營運設施，未見公開剩餘容量；DCM wiki 稱 Firmus（Project Southgate）與 Meta 已佔用部分。</t>
  </si>
  <si>
    <t>Firmus（GB300 叢集）；Firmus 2026-09 稿稱終端客戶為 Meta（皆依 DCM wiki 轉述，未開啟 Firmus 原文）</t>
  </si>
  <si>
    <t>Brimbank P569/2023（第二階段北側，2024-02-20 核發）；P652/2021（修訂，2022）；原始許可編號未取得</t>
  </si>
  <si>
    <t>CDC 官網（BK1 營運、其餘興建中）vs DJSIR 2026-02-26（兩座運作中）；350 MW 與變電站 99 MVA 數字不一致
地址備註：另含 11A McDonald Road, Brooklyn（DCM wiki）；Jemena 專用區域變電站在 598 Geelong Road（2023-09 完工）。</t>
  </si>
  <si>
    <t>https://djsir.vic.gov.au/news-and-articles/cdcs-data-centres-fueling-jobs-and-growth-in-the-west
https://records.brimbank.vic.gov.au/ExternalLinkAPI/api/document/?docKey=UHZYRmNFYWVDaUN0clNmekJwVXhMUExwUGpQcFE0VVFXVnp1NkdSYlZpc0lsS2NCZlVOWUxOVXBncy9DSUhHZg2</t>
  </si>
  <si>
    <t>https://cdc.com/locations/melbourne/</t>
  </si>
  <si>
    <t>https://www.datacenterdynamics.com/en/news/australias-cdc-opens-data-center-campus-in-melbourne/
https://www.invest.vic.gov.au/news-and-events/news/2026/march/cdc-data-centres-officially-opens-its-first-melbourne-campus-expanding-its-ability-to-deliver-secure-and-sustainable-solutions
https://datacentremoratorium.net/index.php/Resources:CDC_Brooklyn_Campus</t>
  </si>
  <si>
    <t>https://djsir.vic.gov.au/news-and-articles/cdcs-data-centres-fueling-jobs-and-growth-in-the-west
https://www.datacenterdynamics.com/en/news/australias-cdc-opens-data-center-campus-in-melbourne/
https://records.brimbank.vic.gov.au/ExternalLinkAPI/api/document/?docKey=UHZYRmNFYWVDaUN0clNmekJwVXhMUExwUGpQcFE0VVFXVnp1NkdSYlZpc0lsS2NCZlVOWUxOVXBncy9DSUhHZg2
https://datacentremoratorium.net/index.php/Resources:CDC_Brooklyn_Campus
https://cdc.com/locations/melbourne/</t>
  </si>
  <si>
    <t>開啟地圖</t>
  </si>
  <si>
    <t>VIC-B、VIC-A</t>
  </si>
  <si>
    <t>NSW-001</t>
  </si>
  <si>
    <t>Macquarie Technology IC3 Super West — Talavera Road Data Centre Campus Expansion（SSD-24299707）</t>
  </si>
  <si>
    <t>Macquarie Data Centres（Macquarie Technology Group）</t>
  </si>
  <si>
    <t>Macquarie Data Centres Pty Ltd（申請人）</t>
  </si>
  <si>
    <t>17-23 Talavera Road, Macquarie Park NSW 2113</t>
  </si>
  <si>
    <t>Macquarie Park</t>
  </si>
  <si>
    <t>2113</t>
  </si>
  <si>
    <t>City of Ryde</t>
  </si>
  <si>
    <t>原核准（IPC，2024-01-19）38 MW；Mod 1（2024-12-19 核准）增至 47 MW，整個園區合計 66→75 MW。八層擴建、GFA 16,142 m2、20×3.3 MW 發電機。公司揭露（先前資料）：首批 6 MW IT 預計 2026-09 啟用、已有 A$50m 債務額度支應 19 MW 長交期設備；FY27 下半年起認列營收。</t>
  </si>
  <si>
    <t>2026-07-23</t>
  </si>
  <si>
    <t>A15「Notification of Commencement」2024-01-24；Macquarie Telecom 施工通知 2024-05-22 與 2024-06-11；Stage 2 CEMP 核准 2024-06-27；「Commencement of Operations」函（2026-07-22；portal 上傳 2026-07-23）：Stage 2 預期約一個月後開始營運；FDC Construction 為總包（媒體，先前資料）。</t>
  </si>
  <si>
    <t>2024-01/2024-06（通知函）</t>
  </si>
  <si>
    <t>評估報告：施工約 21 個月；Stage 2 營運 2026-08/09 起；後續階段（19 MW→47 MW）未公布日期。</t>
  </si>
  <si>
    <t>DPHI/IPC Assessment Report（2023-11-27）；Macquarie 營運通知（2026-07-22）</t>
  </si>
  <si>
    <t>Macquarie Data Centres 為主權級託管營運商，向企業、政府出租；本期容量逐階段釋出，是 5–20 MW 規模的近期可談標的。</t>
  </si>
  <si>
    <t>未揭露</t>
  </si>
  <si>
    <t>SSD-24299707（IPC 核准 2024-01-19）；Mod 1（2024-12-19）</t>
  </si>
  <si>
    <t>地址 17-23 vs 33-39 Talavera Road（Khartoum 報告）；容量 38/47 MW（兩次核准）；先前資料 47 MW 為「total」，實為本次擴建增量，園區合計 75 MW；先前資料寫首期 6 MW 於 2026-09 啟用；ASX 簡報（2026-08-26）仍屬預告，截至 2026-10-03 是否已啟用未取得公司確認
地址備註：Lot 527 DP 752035 與 Part Lot 3 DP 1043041，約 2 公頃；Khartoum Road 評估報告把同一 SSD 寫成「33-39 Talavera Road」。</t>
  </si>
  <si>
    <t>https://www.planningportal.nsw.gov.au/major-projects/projects/talavera-road-data-centre-campus-expansion
https://majorprojects.planningportal.nsw.gov.au/prweb/PRRestService/mp/01/getContent?AttachRef=SSD-24299707%2120231127T020928.161+GMT
https://majorprojects.planningportal.nsw.gov.au/prweb/PRRestService/mp/01/getContent?AttachRef=SSD-24299707-PA-22%2120260723T112244.245+GMT
https://majorprojects.planningportal.nsw.gov.au/prweb/PRRestService/mp/01/getContent?AttachRef=SSD-24299707-MOD-1%2120241219T224421.352+GMT
https://www.planningportal.nsw.gov.au/major-projects/projects/talavera-road-data-centre-mod-1-expansion</t>
  </si>
  <si>
    <t>https://cdn-api.markitdigital.com/apiman-gateway/ASX/asx-research/1.0/file/2924-03126655-2A1692379</t>
  </si>
  <si>
    <t>https://baxtel.com/data-center/macquarie-ic3-super-west</t>
  </si>
  <si>
    <t>https://www.planningportal.nsw.gov.au/major-projects/projects/talavera-road-data-centre-campus-expansion
https://majorprojects.planningportal.nsw.gov.au/prweb/PRRestService/mp/01/getContent?AttachRef=SSD-24299707%2120231127T020928.161+GMT
https://majorprojects.planningportal.nsw.gov.au/prweb/PRRestService/mp/01/getContent?AttachRef=SSD-24299707-PA-22%2120260723T112244.245+GMT
https://majorprojects.planningportal.nsw.gov.au/prweb/PRRestService/mp/01/getContent?AttachRef=SSD-24299707-MOD-1%2120241219T224421.352+GMT
https://www.planningportal.nsw.gov.au/major-projects/projects/talavera-road-data-centre-mod-1-expansion
https://cdn-api.markitdigital.com/apiman-gateway/ASX/asx-research/1.0/file/2924-03126655-2A1692379</t>
  </si>
  <si>
    <t>NSW-B、NSW-A</t>
  </si>
  <si>
    <t>VIC-002</t>
  </si>
  <si>
    <t>AirTrunk MEL1（Derrimut）— 營運中，疑有擴建</t>
  </si>
  <si>
    <t>AirTrunk</t>
  </si>
  <si>
    <t>AirTrunk（Blackstone／CPP Investments 控股）</t>
  </si>
  <si>
    <t>176 Swann Drive, Derrimut VIC 3026</t>
  </si>
  <si>
    <t>Derrimut</t>
  </si>
  <si>
    <t>3026</t>
  </si>
  <si>
    <t>Brimbank City Council</t>
  </si>
  <si>
    <t>AirTrunk 官網（已讀）：185+ MW；AirTrunk 2025-12-24 新聞稿：MEL1 276 MW+，兩者差約 91 MW，與 Brimbank 2025-04 核發的『新增兩階段』相符，推測為新增棟別。</t>
  </si>
  <si>
    <t>出租性待確認：AirTrunk 為超大規模批發型；未見可租空置容量的公開數字。</t>
  </si>
  <si>
    <t>2025-12-24</t>
  </si>
  <si>
    <t>Brimbank 公開規劃登記冊（資料截至 2025-07-22，已讀並以座標核對）：P490/2016（Pt 3）涵蓋 31 Jilly Ct、156 與 176 Swann Dr，2024-12-23 受理的修訂內容為『將地址擴充、許可內容加入移除原生植被、修訂圖面以詳述建物與工程並新增兩個階段（add two new stages）』，2025-04-09 由委派官員核發修訂許可；另 P82/2019（210 Swann Dr 『use and staged development of the land for a data centre』）2019-08-30 核發。登記冊未具名 AirTrunk，營運商身分取自 DCM wiki 對這些地址的標註。尚無具日期的施工事件。</t>
  </si>
  <si>
    <t>未公布</t>
  </si>
  <si>
    <t>AirTrunk 為超大規模批發型；未見可租空置容量的公開數字。</t>
  </si>
  <si>
    <t>未公布（DCM wiki 列 Datacom 為共同開發方）</t>
  </si>
  <si>
    <t>Brimbank P490/2016（Pt 3，新增兩階段，2025-04-09 核發修訂）；P82/2019（210 Swann Dr，2019-08-30）</t>
  </si>
  <si>
    <t>185+ MW（官網）vs 276+ MW（新聞稿）；185+ MW（官網頁）vs 276 MW+（2025-12 新聞稿）；DCM wiki 亦列 185 MW。
地址備註：DCM wiki 列 176 Swann Drive、156 Swann Drive、31 Jilly Court（Brimbank 議會申請）；AirTrunk 官網只稱「墨爾本西部」未列街址；realestatesource 稱 MEL1 在 Derrimut、34 個機房。</t>
  </si>
  <si>
    <t>https://records.brimbank.vic.gov.au/ExternalLinkAPI/api/document/?docKey=UHZYRmNFYWVDaUN0clNmekJwVXhMUExwUGpQcFE0VVFXVnp1NkdSYlZpc0lsS2NCZlVOWUxOVXBncy9DSUhHZg2</t>
  </si>
  <si>
    <t>https://airtrunk.com/data-centres/mel1/
https://airtrunk.com/airtrunk-expands-australian-platform-with-a-second-hyperscale-data-centre-campus-in-melbourne/
https://airtrunk.com/location/mel1-melbourne/</t>
  </si>
  <si>
    <t>https://www.realestatesource.com.au/data-centre-giant-buys-350m-melbourne-site/</t>
  </si>
  <si>
    <t>https://airtrunk.com/data-centres/mel1/
https://airtrunk.com/airtrunk-expands-australian-platform-with-a-second-hyperscale-data-centre-campus-in-melbourne/
https://records.brimbank.vic.gov.au/ExternalLinkAPI/api/document/?docKey=UHZYRmNFYWVDaUN0clNmekJwVXhMUExwUGpQcFE0VVFXVnp1NkdSYlZpc0lsS2NCZlVOWUxOVXBncy9DSUhHZg2
https://datacentremoratorium.net/index.php/Resources:AirTrunk_MEL1
https://airtrunk.com/location/mel1-melbourne/
https://www.realestatesource.com.au/data-centre-giant-buys-350m-melbourne-site/
https://datacentremoratorium.net/index.php/Resources:Data_Centres_in_Greater_Melbourne</t>
  </si>
  <si>
    <t>NSW-002</t>
  </si>
  <si>
    <t>Southern Highlands Data Campus (SHDC) — Data Building One (DB1)</t>
  </si>
  <si>
    <t>Cloud Carrier (Cloud Carrier Operations Pty Ltd)</t>
  </si>
  <si>
    <t>Nakar Property Pty Ltd（地主／開發商，Bella Vista）；Square Energy Pty Ltd（園區燃氣發電）</t>
  </si>
  <si>
    <t>30 Douglas Road, Moss Vale NSW 2577</t>
  </si>
  <si>
    <t>Moss Vale</t>
  </si>
  <si>
    <t>2577</t>
  </si>
  <si>
    <t>Wingecarribee Shire</t>
  </si>
  <si>
    <t>Cloud Carrier DB1 頁面列『Total Power 28MW』、Data Hall 1,850 sqm、Deployment: Powered Shell、DLC 140 kW+/rack、PUE &lt;1.15（IT 負載未明示，故標 power_consumption）。2024-09 發表時 DB1 為 15 MW，園區最終可擴至 300 MW（W.Media 2024-09-27）。園區自建燃氣發電（官網稱數百 MW、脫離電網）。</t>
  </si>
  <si>
    <t>2025-09</t>
  </si>
  <si>
    <t>Nakar Property 範疇界定報告（Western Sydney Planning，2025-09，Planning Portal）：DA 21/1042（Wingecarribee 議會 2021-02-25 核准，已修改兩次）之後『the first data building (DB1) has now been constructed』。未見第三方確認通電日期、營運狀態或租戶；Cloud Carrier 官網以『Powered Shell』方式行銷 DB1。</t>
  </si>
  <si>
    <t>DA 21/1042 於 2021-02-25 核准；確切動工日未知</t>
  </si>
  <si>
    <t>DB1：2025-09 報告稱已建成；DB2 官網標示 coming soon</t>
  </si>
  <si>
    <t>Nakar Property 範疇界定報告 2025-09（Planning Portal）；Cloud Carrier 官網</t>
  </si>
  <si>
    <t>官網載明園區提供『Scalable Powered Shell Solutions』、載體中立、服務政府與企業客戶，屬可出租（powered shell／colocation）。尚無公開租戶，是否仍有 &gt;=5 MW 未租出容量為合理推定，非明確證據。</t>
  </si>
  <si>
    <t>未公開</t>
  </si>
  <si>
    <t>Wingecarribee Council DA 21/1042（DB1，2021-02-25）；DA 24/0055（14 MW 燃氣發電，2024-04-19 核准）；DA 26/0352（燃氣發電，2025-09-11 遞交）；SSD-102795459（673.2 MW 燃氣發電廳，SEARs 2025-12-22）</t>
  </si>
  <si>
    <t>(1) DB1 容量：W.Media 2024-09-27 為 15 MW；Cloud Carrier 官網現列 Total Power 28 MW。(2) 園區上限：2024 稱 300 MW
地址備註：Cloud Carrier 官網聯絡頁載明 Campus: Southern Highlands Data Campus, 30 Douglas Road, Moss Vale NSW 2577；範疇界定報告：Lot 40 DP 1288692，約 67 ha。DB1、DB2 與後續建築皆在同一地址。</t>
  </si>
  <si>
    <t>https://www.planningportal.nsw.gov.au/major-projects/projects/southern-highlands-data-campus-power-station
https://majorprojects.planningportal.nsw.gov.au/prweb/PRRestService/mp/01/getContent?AttachRef=PDA-95012491%2120250926T033914.129+GMT
https://majorprojects.planningportal.nsw.gov.au/prweb/PRRestService/mp/01/getContent?AttachRef=SSD-102795459%2120251222T014859.011+GMT</t>
  </si>
  <si>
    <t>https://cloudcarrier.com/campus/
https://cloudcarrier.com/db1/
https://cloudcarrier.com/contact-us/</t>
  </si>
  <si>
    <t>https://w.media/cloud-carrier-launches-australias-first-liquid-cooled-data-campus-in-the-southern-highlands/</t>
  </si>
  <si>
    <t>https://www.planningportal.nsw.gov.au/major-projects/projects/southern-highlands-data-campus-power-station
https://majorprojects.planningportal.nsw.gov.au/prweb/PRRestService/mp/01/getContent?AttachRef=PDA-95012491%2120250926T033914.129+GMT
https://cloudcarrier.com/
https://cloudcarrier.com/campus/
https://cloudcarrier.com/db1/
https://cloudcarrier.com/contact-us/
https://cloudcarrier.com/about-us/
https://w.media/cloud-carrier-launches-australias-first-liquid-cooled-data-campus-in-the-southern-highlands/
https://majorprojects.planningportal.nsw.gov.au/prweb/PRRestService/mp/01/getContent?AttachRef=SSD-102795459%2120251222T014859.011+GMT</t>
  </si>
  <si>
    <t>NSW-C、NSW-B</t>
  </si>
  <si>
    <t>VIC-003</t>
  </si>
  <si>
    <t>Fujitsu Noble Park 資料中心（Next Capital 收購中）</t>
  </si>
  <si>
    <t>Fujitsu Australia（現營運）；Next Capital 於 2026-07-20 簽約收購，預計 2026 下半年交割</t>
  </si>
  <si>
    <t>Fujitsu 自有土地與建物（DCD：owned and operated by Fujitsu）；買方為 Next Capital 第五期基金（A$3.75 億）</t>
  </si>
  <si>
    <t>5 Summit Road (3-5 Summit Road), Noble Park North VIC 3174</t>
  </si>
  <si>
    <t>Noble Park North</t>
  </si>
  <si>
    <t>3174</t>
  </si>
  <si>
    <t>City of Greater Dandenong（推定，未經官方來源確認）</t>
  </si>
  <si>
    <t>AFR（經 DCD 2026-07-20）稱 Noble Park 為 12MW；五站合計 25MW、約 7MW 已租給約 130 家客戶，即整體約 18MW 未租（推算），並稱可擴至合計 100MW（主要指 Greystanes 最高 60MW）。站點層級的已租或空置量未公布。Fujitsu 規格（Baxtel）：2 x 4MVA 主進線、2 x 1,800kW 柴油旋轉 UPS（N+1）、2,400kW 靜態 UPS、3 x 1,800kW 發電機（N+1），以此推算受保護 IT 容量遠低於 12MW，與 AFR 數字不一致。</t>
  </si>
  <si>
    <t>出租性待確認：既有 Fujitsu 對外出租的主機代管/託管設施，Next Capital 計畫整合為獨立澳洲平台並擴建；但站點層級 5MW 以上的空置容量缺乏公開證據，列入僅為回應 先前 對 Noble Park 的查詢。</t>
  </si>
  <si>
    <t>2026-07-20</t>
  </si>
  <si>
    <t>不適用（既有 1988 年建、2015 年升級的營運中設施）。DCD 與 Fujitsu 聲明：交割前一切照常營運。</t>
  </si>
  <si>
    <t>不適用</t>
  </si>
  <si>
    <t>不適用（交易預計 2026 下半年完成，不含 North Ryde）</t>
  </si>
  <si>
    <t>DCD 2026-07-20（引 AFR 與 Fujitsu LinkedIn 聲明）</t>
  </si>
  <si>
    <t>既有 Fujitsu 對外出租的主機代管/託管設施，Next Capital 計畫整合為獨立澳洲平台並擴建；但站點層級 5MW 以上的空置容量缺乏公開證據，列入僅為回應 先前 對 Noble Park 的查詢。</t>
  </si>
  <si>
    <t>約 130 家客戶（五站合計，AFR 經 DCD）；無單一大租戶公布</t>
  </si>
  <si>
    <t>容量：AFR/DCD 12MW 對 Fujitsu 電氣規格（進線 2 x 4MVA、UPS 與發電機約 1.8-3.6MW 級）不一致；面積：DCD 3,600 平方公尺，Baxtel 引 Fujitsu 稱機房 3,800 平方公尺、建物 6,700 平方公尺。Next Capital 官網新聞稿未提供站點街址或容量（已開啟閱讀）
地址備註：Baxtel 標示 5 Summit Rd；DatacenterMap 標示 3-5 Summit Road（其頁面郵遞區號誤植為 3101）；OSM 建物標籤為 Fujitsu Data Centre, 3-5 Summit Road, Noble Park North 3174。土地 18,400 平方公尺、建物 6,700 平方公尺、機房 3,800 平方公尺（Baxtel 引 Fujitsu 規格）。</t>
  </si>
  <si>
    <t>https://nextcapital.com.au/next-capital-buys-fujitsu-australian-data-centres/</t>
  </si>
  <si>
    <t>https://www.datacenterdynamics.com/en/news/fujitsu-sells-australian-data-center-business-to-next-capital/
https://baxtel.com/data-center/fujitsu-noble-park
https://www.datacentermap.com/australia/melbourne/fujitsu-melbourne/</t>
  </si>
  <si>
    <t>https://www.datacenterdynamics.com/en/news/fujitsu-sells-australian-data-center-business-to-next-capital/
https://baxtel.com/data-center/fujitsu-noble-park
https://www.datacentermap.com/australia/melbourne/fujitsu-melbourne/
https://nextcapital.com.au/next-capital-buys-fujitsu-australian-data-centres/
https://nominatim.openstreetmap.org/search?q=5+Summit+Road+Noble+Park+VIC</t>
  </si>
  <si>
    <t>VIC-C、VIC-A</t>
  </si>
  <si>
    <t>NSW-003</t>
  </si>
  <si>
    <t>Fujitsu Greystanes Data Centre（出售予 Next Capital）</t>
  </si>
  <si>
    <t>Fujitsu Australia → Next Capital（簽約 2026-07-20，預計 2026 稍後交割）</t>
  </si>
  <si>
    <t>Next Capital（買方，透過其第五支基金）</t>
  </si>
  <si>
    <t>6 Bellevue Circuit, Pemulwuy (Greystanes) NSW 2145</t>
  </si>
  <si>
    <t>Pemulwuy</t>
  </si>
  <si>
    <t>2145</t>
  </si>
  <si>
    <t>未確認（Cumberland 或 Parramatta）</t>
  </si>
  <si>
    <t>媒體稱 Greystanes 場址潛力最高 60 MW，不是現有可用容量；Fujitsu 五站組合合計約 25 MW、約 7 MW 已租、可擴建到 100 MW。各站現況容量與空置量未公布。</t>
  </si>
  <si>
    <t>非建設案。Next Capital 表示交割後將投資擴建並逐站評估擴充，但未公布投資額或容量目標；無申請或開工證據。</t>
  </si>
  <si>
    <t>交割預計 2026 年稍後；擴建無時程</t>
  </si>
  <si>
    <t>W.Media／Fujitsu／Next Capital 2026-07-20</t>
  </si>
  <si>
    <t>Fujitsu 資料中心業務為 colocation 與託管服務；買方稱『available capacity and significant growth potential』。</t>
  </si>
  <si>
    <t>約 130 家客戶（含政府機關）；Fujitsu 交割後仍為客戶</t>
  </si>
  <si>
    <t>『up to 60MW』與整體組合 25 MW 容量矛盾；本場址的未租出容量沒有公開數字，列入是因為買方明確以『available capacity』與擴建作賣點。無街道地址。
地址備註：新聞只稱 Greystanes，未載街道；該場址為承租物業（leased），非 Fujitsu 自有。需查 Fujitsu／Next Capital 官方資料取得地址。</t>
  </si>
  <si>
    <t>https://w.media/next-capital-agrees-to-acquire-fujitsus-australian-data-centre-business/
https://bebeez.eu/2026/07/20/fujitsu-sells-australian-data-center-business-to-next-capital/</t>
  </si>
  <si>
    <t>NSW-C</t>
  </si>
  <si>
    <t>VIC-004</t>
  </si>
  <si>
    <t>STACK MEL02（Truganina；Baxtel 另列 MEL02A/MEL02B）</t>
  </si>
  <si>
    <t>STACK Infrastructure</t>
  </si>
  <si>
    <t>STACK Infrastructure（2022 年接手 Hickory 的開發案）；施工方 Hickory（據 DCM wiki）</t>
  </si>
  <si>
    <t>411 Palmers Road, Truganina VIC 3029</t>
  </si>
  <si>
    <t>Truganina</t>
  </si>
  <si>
    <t>3029</t>
  </si>
  <si>
    <t>Wyndham City Council</t>
  </si>
  <si>
    <t>STACK 官網 MEL02 頁（已讀）：標題「250MW of critical capacity」，內文 252 MW、單一建築、227,000 sq ft（21,000 m²）技術面積、14 英畝、自有 132 kV 變電站（總容量 300+ MW）。Baxtel 把 MEL02 拆成 MEL02A（2026 建成）與 MEL02B（2027 規劃），與 STACK 官網的「1 building」不一致。</t>
  </si>
  <si>
    <t>2026-05-12</t>
  </si>
  <si>
    <t>Wyndham 規劃許可 WYP14917/24（2024-12-20 提出、2025-07-04 核發）；S72 修改 WYP14917/24.05 於 2026-05-12 核發（PlanningAlerts 已讀）。建築許可序列（依 DCM wiki 整理 Wyndham 紀錄；wiki 標註部分核發日早於提出日，日期僅供參考）：拆除 2025-07-30；樁基與地下管線前置工程 2025-09；主體結構（地面及 L1 樓板、地面至 L5 垂直構件）2025-12；變電站與 6 座變壓器防火牆 2026-02；新變電站與室內裝修 2026-03。</t>
  </si>
  <si>
    <t>2025-07（拆除許可 2025-07-30）</t>
  </si>
  <si>
    <t>MEL02A：2026（Baxtel）；MEL02B：2027（Baxtel）</t>
  </si>
  <si>
    <t>Baxtel（聚合器）；STACK 未公布日期</t>
  </si>
  <si>
    <t>STACK 為批發/超大規模出租業者，MEL02 未公布租戶；是否能分租 5 MW 須直接詢問。</t>
  </si>
  <si>
    <t>Wyndham WYP14917/24（.05 修改）；MPA26/0049（TfV 轉介，2026-04-27）</t>
  </si>
  <si>
    <t>STACK 官網 1 棟 252 MW vs Baxtel MEL02A + MEL02B 兩階段；Baxtel 另列 MEL02A／MEL02B 分棟；STACK 官網僅列單棟 252 MW。
地址備註：取自 Wyndham 申請 WYP14917/24.05（PlanningAlerts 頁面「411 Palmers Road Truganina」）；STACK MEL01 在同路 369-399 Palmers Road。</t>
  </si>
  <si>
    <t>https://planningalerts.org.au/applications/3442743
https://www.planningalerts.org.au/applications/3442743</t>
  </si>
  <si>
    <t>https://www.stackinfra.com/locations/asia-pacific/melbourne/mel02/</t>
  </si>
  <si>
    <t>https://baxtel.com/data-center/stack-melbourne-mel02
https://baxtel.com/data-center/stack-mel02b
https://datacentremoratorium.net/index.php/Resources:STACK_MEL02_Campus
https://www.datacenterdynamics.com/en/news/stack-tops-out-swiss-data-center-completes-construction-in-melbourne/</t>
  </si>
  <si>
    <t>https://planningalerts.org.au/applications/3442743
https://www.stackinfra.com/locations/asia-pacific/melbourne/mel02/
https://baxtel.com/data-center/stack-melbourne-mel02
https://baxtel.com/data-center/stack-mel02b
https://datacentremoratorium.net/index.php/Resources:STACK_MEL02_Campus
https://www.planningalerts.org.au/applications/3442743
https://www.datacenterdynamics.com/en/news/stack-tops-out-swiss-data-center-completes-construction-in-melbourne/</t>
  </si>
  <si>
    <t>VIC-A、VIC-B</t>
  </si>
  <si>
    <t>WA-001</t>
  </si>
  <si>
    <t>CDC Maddington Campus (MA1-MA4), Perth</t>
  </si>
  <si>
    <t>CDC Data Centres (CDC)</t>
  </si>
  <si>
    <t>CDC Data Centres（股東：Infratil 49.72%，Infratil ASX 2026-07-06；澳洲 Future Fund 約 34.6%，The West Australian 2025-08-11）</t>
  </si>
  <si>
    <t>307, 323 and 329 Kenwick Road and 582 Bickley Road, Maddington WA 6109</t>
  </si>
  <si>
    <t>Maddington</t>
  </si>
  <si>
    <t>6109</t>
  </si>
  <si>
    <t>City of Gosnells</t>
  </si>
  <si>
    <t>(1) 園區總量：CDC 新聞稿（2025-08-11/12）稱完成後 up to 200 megawatts of high-density capacity；The West Australian 2025-09-10 稱獲批設施需約 200 MW 電力；Gosnells 市長 Terresa Lynes 於 ABC（2026-08-13）稱 eventually a 200-megawatt data centre。CDC 未說明是 IT 還是電力口徑。(2) 第一階段：Infratil/CDC 的 ASX 簡報（2026-05-05 公告第 4 頁；FY26 業績 2026-05-26 簡報第 11 頁，即 PDF 第 16 頁）標示 Perth 在建 34 MW（built MW，截至 2026-03-31），應為第一棟 MA1；同一簡報另列 Perth future build 至 FY34 為 101 MW，兩者合計 135 MW，低於 200 MW 標稱（口徑或範圍差異，未釐清）。(3) 2026-09-16 Infratil Investor Day 起改以 leasable capacity（ICT MW）披露，Perth 未另列 MW。(4) 首期投資 A$415m（CDC，2025-08）。(5) 全園區四棟二層樓，最高 24 m（CDC 官網）。</t>
  </si>
  <si>
    <t>2026-09-16</t>
  </si>
  <si>
    <t>(1) CDC 官網時間軸：DA 2025-09 核准、2025-10 場地整備與早期工程開始、2025-12 主體工程開始、2026-10 開始機房 fit-out、2027-01 開始營運。(2) CDC Maddington Project update September 2026（PDF，已讀）：第一棟（四棟之首）外殼幾乎完成、第一台塔吊已拆除、第二台本月拆除、永久電力已接通、污水管接駁即將開工、今年稍後開始系統測試。(3) Infratil Investor Day 簡報（ASX 2026-09-16；CDC 部分頁碼 6、9，即 PDF 第 105、108 頁）：第 6 頁 MA1 標示為在建、MA2 標示為 future development - land secured（以圖例顏色目視判讀）；第 9 頁附 Maddington 施工照片，稱 structure of CDC's inaugural Perth data centre nearing completion。(4) 政府：Metro Outer DAP 於 2025-09-10 核准（The West Australian、Business News 2025-09-10；Gosnells 市長 ABC 2026-08-13 證實 2025 年 9 月核准）。(5) CDC COO Glenn Uidam 於 2026-09-18 對 The West Australian 稱 Maddington 已施工數月，預計三四個月內開始營運。</t>
  </si>
  <si>
    <t>2025-10（場地整備與早期工程）；2025-12（主體工程）</t>
  </si>
  <si>
    <t>MA1：2027-01 開始營運（CDC 官網）；early 2027（CDC Project update 2026-09）。MA2-MA4：無官方日期（Baxtel 稱 Building 3 計畫 2029，屬聚合站，僅供參考）。</t>
  </si>
  <si>
    <t>營運商 CDC 官網及 Project update September 2026（一手，2026-10-03 讀取）；Infratil Investor Day（ASX 2026-09-16）稱在建資料中心將於 FY27-29 交付。</t>
  </si>
  <si>
    <t>CDC 是批發型出租營運商，但對台灣租戶有三項保留：(a) Infratil 2026-09-16 稱 CDC 在已簽約容量的地點全面施工，MA1（34 MW）很可能已被預租（推論，原文未明說）；(b) CDC COO 於 2026-09-18 對 The West Australian 稱 CDC 主要服務政府機構與水電等關鍵基礎設施營運商，並表示對不在核心範圍的客戶會說不；(c) 目前只有 MA1 在建，MA2 為土地已取得的未來開發，MA3-MA4 無資訊。</t>
  </si>
  <si>
    <t>Maddington 尚無公開具名租戶。CDC 全國客戶包括 RBA、CSIRO、Western Sydney Airport（The West Australian 2025-08-11）；CDC 稱 Maddington 針對政府、研究、國防、關鍵基礎設施客戶。</t>
  </si>
  <si>
    <t>Metro Outer DAP 2025-09-10 核准（City of Gosnells 建議核准）；DAP 申請編號未取得。The West Australian 2025-08-11 稱 CDC 於 2025-06 提出 DA。</t>
  </si>
  <si>
    <t>(1) 容量：CDC 稱最高 200 MW，Infratil 披露 Perth 在建 34 MW + 未來 101 MW = 135 MW（built MW，2026-03-31）。(2) 營運時間：2025-08 的 DCD/W.Media/Baxtel 稱 2026 年營運，CDC 官網與 2026-09 update 為 2027-01 / early 2027，以後者為準。(3) 地址：DatacenterMap 稱 307 Kenwick Rd，CDC 稱 Bickley Road 旁，無法調和。(4) 已知事實清單所稱 first building operational Jan 2027 與 CDC 官網一致，確認無誤。(5) 付費牆：The West Australian 與 Business News 僅讀到前段；(1) 金額：媒體（W.Media／Baxtel 2025-08）稱 A$415m 為第一階段投資，但 DAP 報告 Form 1 的 Value of Development 為 A$415m 且涵蓋全部四棟，口徑不同。(2) 營運時間：2025-08 媒體稱 2026 年營運，CDC 2026-09 官方更新改為 2027 年初，以後者為準。(3) 棟數／面積：Baxtel 稱 3 棟、19 英畝；DAP 文件為 4 棟、基地 76,037 sqm（約 18.8 英畝）。(4) 容量：CDC 稱完成後 200 MW，而 Infratil 圖表只顯示 Perth 在建 34 MW（WA-A 另引 future build 101 MW，合計 135 MW，與 200 MW 有差距，口徑未釐清）
地址備註：DAP/25/02926 地址為 Lots 1, 10, 1 (No. 307, 323, 329) Kenwick Road 與 Lot 500 (No. 582) Bickley Road，核准條件要求合併為單一地契；基地約 76,037 sqm（7.6 ha），位於 Kelvin Road 與 Kenwick Road 轉角，緊鄰 Tonkin Highway；CDC 對外只稱『the industrial area off Bickley Road』。屬 Maddington Kenwick Strategic Employment Area（MKSEA）Precinct 1。變電站在圖上標示 By Others，不含在本次核准內，需另案提出 DA。先前資料 所引 DatacenterMap 的 307 Kenwick Rd 即上述 Lot 1，已由 DAP 文件證實。</t>
  </si>
  <si>
    <t>https://announcements.asx.com.au/asxpdf/20260916/pdf/074490wlf78g7n.pdf
https://announcements.asx.com.au/asxpdf/20260526/pdf/06zymgqsx9p9y5.pdf
https://announcements.asx.com.au/asxpdf/20260505/pdf/06z8f5lpdqcb57.pdf
https://www.planning.wa.gov.au/docs/default-source/daps/minutes---no-102---city-of-gosnells.pdf?sfvrsn=9164d69f_1
https://www.planning.wa.gov.au/docs/default-source/daps/agenda---no-102---city-of-gosnells.pdf?sfvrsn=36d5cb68_1
https://www.planning.wa.gov.au/docs/default-source/daps/related-information---no-102---part-b---city-of-gosnells.pdf?sfvrsn=f47a3ead_1
https://www.planning.wa.gov.au/development-assessment-panels/daps-agendas-and-minutes/metro-outer-agenda-and-minutes</t>
  </si>
  <si>
    <t>https://cdc.com/locations/perth/maddington/
https://cdc.com/media/4y2fcog4/maddington-project-update-september-2026.pdf
https://cdc.com/locations/perth/
https://cdc.com/resources/news/cdc-announces-landmark-plan-to-drive-ai-and-advanced-technology-deployments-in-western-australia/
https://www.cdc.com/maddington</t>
  </si>
  <si>
    <t>https://thewest.com.au/business/construction/maddington-data-centre-development-green-light-for-415m-project-and-construction-tipped-to-start-soon-c-19977544
https://thewest.com.au/business/infrastructure/cdc-data-centres-unveils-plans-for-415m-maddington-data-centre-c-19636890
https://www.businessnews.com.au/article/Maddington-s-415m-data-centre-approved
https://www.abc.net.au/news/2026-08-13/councils-grapple-with-data-centre-applications/107029724
https://www.yourlocalexaminer.com.au/have-your-say-on-data-centre/
https://w.media/cdc-data-centres-plans-was-largest-ai-and-advanced-technology-campus/
https://www.datacenterdynamics.com/en/news/australias-cdc-plans-200mw-data-center-campus-outside-perth/
https://baxtel.com/data-center/cdc-maddington-perth
https://baxtel.com/news/cdc-plans-200mw-data-center-campus-outside-perth
https://www.projectory.com.au/article/415m-data-centre-development-approved-in-wa-to-support-digital-infrastructure-and-advanced-tech-capabilities
https://renewmap.com.au/resources/projects/wa/datacentre/</t>
  </si>
  <si>
    <t>https://cdc.com/locations/perth/maddington/
https://cdc.com/media/4y2fcog4/maddington-project-update-september-2026.pdf
https://cdc.com/locations/perth/
https://cdc.com/resources/news/cdc-announces-landmark-plan-to-drive-ai-and-advanced-technology-deployments-in-western-australia/
https://announcements.asx.com.au/asxpdf/20260916/pdf/074490wlf78g7n.pdf
https://announcements.asx.com.au/asxpdf/20260526/pdf/06zymgqsx9p9y5.pdf
https://announcements.asx.com.au/asxpdf/20260505/pdf/06z8f5lpdqcb57.pdf
https://www.abc.net.au/news/2026-08-13/councils-grapple-with-data-centre-applications/107029724
https://www.yourlocalexaminer.com.au/have-your-say-on-data-centre/
https://thewest.com.au/business/construction/maddington-data-centre-development-green-light-for-415m-project-and-construction-tipped-to-start-soon-c-19977544
https://thewest.com.au/business/infrastructure/cdc-data-centres-unveils-plans-for-415m-maddington-data-centre-c-19636890
https://w.media/cdc-data-centres-plans-was-largest-ai-and-advanced-technology-campus/
https://www.datacenterdynamics.com/en/news/australias-cdc-plans-200mw-data-center-campus-outside-perth/
https://www.projectmanagementplanet.com.au/post/cdcs-maddington-data-centre
https://baxtel.com/data-center/cdc-maddington-perth
https://www.planning.wa.gov.au/docs/default-source/daps/minutes---no-102---city-of-gosnells.pdf?sfvrsn=9164d69f_1
https://www.planning.wa.gov.au/docs/default-source/daps/agenda---no-102---city-of-gosnells.pdf?sfvrsn=36d5cb68_1
https://www.cdc.com/maddington
https://baxtel.com/news/cdc-plans-200mw-data-center-campus-outside-perth
https://renewmap.com.au/resources/projects/wa/datacentre/</t>
  </si>
  <si>
    <t>WA-A、WA-B</t>
  </si>
  <si>
    <t>VIC-005</t>
  </si>
  <si>
    <t>STACK MEL01C + MEL01D（Truganina；MEL01 園區第三、四棟）</t>
  </si>
  <si>
    <t>STACK Infrastructure；施工方 Hickory</t>
  </si>
  <si>
    <t>399 Palmers Road, Truganina VIC 3029</t>
  </si>
  <si>
    <t>STACK 官網 MEL01 頁（已讀）：園區 180 MW、4 棟；MEL01A、B 各 36 MW（已營運）；MEL01C、D 各 54 MW（各 506,000 sq ft）；園區變電站 66kV/11kV、總容量 135 MW。108 MW = 2×54。</t>
  </si>
  <si>
    <t>2025-11-26</t>
  </si>
  <si>
    <t>STACK 官網 MEL01 頁：園區 180 MW、四棟（A、B 各 36 MW 已營運；C、D 各 54 MW），未載各棟狀態。DCD 2025-11-26：MEL01B 竣工，C/D 各 54 MW。承建商 Hickory 專案頁把『MEL01C&amp;D』列在『Completed』類別（該頁稱位於 Laverton、單一三層建築，與 STACK 官網的 Truganina、兩棟不符），可能是土建完成、機電與啟用仍在進行。Baxtel：MEL01C 2026 年建成。缺少政府開工文件，需向 STACK 確認。</t>
  </si>
  <si>
    <t>未確認（2025-07 之後）</t>
  </si>
  <si>
    <t>MEL01C：2026-Q4；MEL01D：2027-Q2</t>
  </si>
  <si>
    <t>Baxtel（聚合器；先前資料列 MEL01C 2026-Q4、MEL01D 2027-Q2；本次僅親見 MEL01C「Year Built 2026」）。STACK 未公布</t>
  </si>
  <si>
    <t>STACK 批發/超大規模出租；MEL01 租戶未公布。MEL01A（2023-08）與 MEL01B（2025-11 竣工）各 36 MW 已營運，未見公開的剩餘容量證據，故不另列。</t>
  </si>
  <si>
    <t>Wyndham 規劃許可（編號未取得）</t>
  </si>
  <si>
    <t>Hickory 專案頁稱 MEL01C&amp;D 位於「Laverton」且為單一三層建築；STACK 稱位於 Truganina、為兩棟各 54 MW；Hickory 專案頁稱 C&amp;D 為單一三層建築且位於 Laverton，STACK 官網為兩棟各 54 MW、位於 Truganina。
地址備註：DCM wiki 登記園區為 369-399 Palmers Road；Baxtel 與 DatacenterHawk 用 399 Palmers Road。</t>
  </si>
  <si>
    <t>https://www.stackinfra.com/locations/asia-pacific/melbourne/mel01/
https://www.stackinfra.com/about/news-press/press-releases/stack-infrastructure-secures-aud-1-3-billion-in-green-financing-to-accelerate-expansion-of-mel01-hyperscale-campus-in-melbourne/
https://www.hickory.com.au/project/mel01cd-2/</t>
  </si>
  <si>
    <t>https://www.datacenterdynamics.com/en/news/stack-tops-out-swiss-data-center-completes-construction-in-melbourne/
https://baxtel.com/data-center/stack-mel01c
https://datacentremoratorium.net/index.php/Resources:STACK_MEL01_Campus</t>
  </si>
  <si>
    <t>https://www.stackinfra.com/locations/asia-pacific/melbourne/mel01/
https://www.stackinfra.com/about/news-press/press-releases/stack-infrastructure-secures-aud-1-3-billion-in-green-financing-to-accelerate-expansion-of-mel01-hyperscale-campus-in-melbourne/
https://www.hickory.com.au/project/mel01cd-2/
https://www.datacenterdynamics.com/en/news/stack-tops-out-swiss-data-center-completes-construction-in-melbourne/
https://baxtel.com/data-center/stack-mel01c
https://baxtel.com/data-center/stack-mel01b
https://datacentremoratorium.net/index.php/Resources:STACK_MEL01_Campus</t>
  </si>
  <si>
    <t>TAS-001</t>
  </si>
  <si>
    <t>Firmus Project Southgate — Launceston (St Leonards) AI Factory 園區</t>
  </si>
  <si>
    <t>Firmus Technologies（自營 AI 雲／AI factory 業者）</t>
  </si>
  <si>
    <t>Firmus Technologies（澳洲註冊；官方稱自行設計、建造、擁有並營運；規劃申請代理 Pitt&amp;Sherry）；投資人含 NVIDIA、Ellerston Capital（W.Media 2025-09-26）</t>
  </si>
  <si>
    <t>23 Killafaddy Road, St Leonards TAS 7250</t>
  </si>
  <si>
    <t>St Leonards</t>
  </si>
  <si>
    <t>7250</t>
  </si>
  <si>
    <t>City of Launceston</t>
  </si>
  <si>
    <t>Firmus Southgate 官網（firmus.co/infrastructure/southgate，2026-10-03 讀取）寫 84 MW Critical IT Load、PUE 小於 1.10。Stage 1a 44 MW、Stage 1b 合計約 90 MW（Firmus 2025-07 發布；DCD 2025-09-02）；Stage 2 另有 300 MW 計畫但『須取得核准』，未見任何申請文件，故不列入本筆。Aurora Energy 與 Firmus 簽 3 年零售協議（2026-03-25）：自 2026-08 起爬升，2026-11 起最高 104 MW。DatacenterMap 標 400 MW 為聚合器數字，疑為塔州三站合計（Firmus 對國會稱三站合約容量約 444 MW），不採用。</t>
  </si>
  <si>
    <t>出租性待確認：Firmus 自述『design, build, own and operate』（國會調查意見書 #120，2026-09），運算硬體為自有；對外銷售的是專屬 AI 運算容量（dedicated AI infrastructure capacity）與 GPU 雲（NVIDIA DGX Cloud Lepton，2025-06-12），未見出租機房空間（colocation／powered shell／wholesale）的公開要約。已公布的大客戶合約在墨爾本（Firmus 與 CDC Data Centres 合作，約 18,400 GB300）與東南亞（OpenAI、Meta），並非 Tasmania。對需要 ≥5 MW『可租機房容量』的台灣客戶，只能走與 Firmus 洽談專屬容量合約這條路，故標 uncertain，是否保留請 先前 決定。</t>
  </si>
  <si>
    <t>2026-09-08</t>
  </si>
  <si>
    <t>(1) Firmus 官網 Tasmania Community Hub（2026-10-03 讀取）稱 Launceston 是『our anchor site — under construction now』；(2) Firmus 新聞稿 2026-03-02（firmus.co/newsroom，另見 ITWire 同日轉載）稱 Tasmania 綠地 AI Factory 園區施工中、預計 2026 年底完工；(3) ABC 2026-06-15 報導現場已有施工機具、預計『early next year』啟用；(4) 塔州政府 2026-09-08 提交國會的文件（Pulse Tasmania 2026-09-09 報導）將 St Leonards 列為 under construction；(5) Minister Felix Ellis 2026-08-31 函確認 St Leonards AI factory 已完成規劃核准程序（該函措辭仍稱 proposed to operate）；(6) Aurora 新聞稿 2026-03-25 稱供電自 2026-08 起爬升。未取得動工通知書、CEMP 等官方動工文件（塔州制度下無公開對應文件）。</t>
  </si>
  <si>
    <t>未知（2025-09 媒體稱『即將動工』；2026-03-02 公司稱已在施工）</t>
  </si>
  <si>
    <t>公司：2026 年底（2026-03-02）；ABC 2026-06-15：2027 年初；Aurora 供電爬升 2026-08～2026-11（最高 104 MW）</t>
  </si>
  <si>
    <t>operator（Firmus 新聞稿 2026-03-02）／press（ABC 2026-06-15）／Aurora Energy 新聞稿 2026-03-25</t>
  </si>
  <si>
    <t>Firmus 自述『design, build, own and operate』（國會調查意見書 #120，2026-09），運算硬體為自有；對外銷售的是專屬 AI 運算容量（dedicated AI infrastructure capacity）與 GPU 雲（NVIDIA DGX Cloud Lepton，2025-06-12），未見出租機房空間（colocation／powered shell／wholesale）的公開要約。已公布的大客戶合約在墨爾本（Firmus 與 CDC Data Centres 合作，約 18,400 GB300）與東南亞（OpenAI、Meta），並非 Tasmania。對需要 ≥5 MW『可租機房容量』的台灣客戶，只能走與 Firmus 洽談專屬容量合約這條路，故標 uncertain，是否保留請 先前 決定。</t>
  </si>
  <si>
    <t>Tasmania 場址無公開客戶／租戶。Firmus 全公司客戶：未具名『先前ing global technology company』（墨爾本，2026-03-02）、OpenAI 與 Meta（東南亞場址，2026-09）、Fireworks AI（Firmus AI Cloud，2026-08）；NVIDIA 為投資人與夥伴。</t>
  </si>
  <si>
    <t>City of Launceston 規劃許可（特別議會會議 2025-09-01 背書，Pulse Tasmania／DCD 2025-09-02；W.Media 2025-09-26 另稱『7 月核准』）；DA 編號未取得</t>
  </si>
  <si>
    <t>(1) 容量：Stage 1a 44 MW／1b 合計約 90 MW（Firmus 2025；DCD 2025-09-02）vs 官網 84 MW critical IT vs Aurora 協議上限 104 MW vs 國會問答『100 MW』（tasgreensmps 頁）vs DatacenterMap 400 MW（聚合器，疑為三站合計）。(2) GPU 數：36,800 GB300（Firmus 2026-03-02）vs 36,000（W.Media 2025-09-26，兩階段合計）vs AFR 2026-06-08 標題『26,000 Nvidia chips』（僅見標題，未開啟全文）。(3) 投資額：Stage 1a A$2.1bn（2025）vs Aurora 新聞稿 A$5bn（2026-03-25）。(4) 完工時間：2026 年中（2025-09 說法）→2026 年底（2026-03）→2027 初（ABC 2026-06-15）。(5) 核准日：特別議會會議 2025-09-01（Pulse、DCD 2025-09-02）vs W.Media 2025-09-26 稱『7 月核准』。(6) Baxtel 清單頁把 Launceston Campus 標成 Operational 20 MW（聚合器，無佐證）；Oxford Economics 函稱 Launceston 是 Firmus『first operating Australian site』，應指 2019 年研發站。
地址備註：門牌取自 DatacenterMap／Baxtel 頁面與 Pulse Tasmania 報導；用地約 5 公頃。City of Launceston 的 DA 原件與地號未取得（該議會網站對自動抓取回 403），建議 先前 向議會規劃登記冊核對。另有 Firmus 自 2019 年起的 Launceston 研發小站（容量未公布，推定小於 5 MW，不列入）。</t>
  </si>
  <si>
    <t>https://parliament.tas.gov.au/__data/assets/pdf_file/0012/110730/2026-08-13-ProfRazay.pdf
https://www.parliament.tas.gov.au/__data/assets/pdf_file/0012/110064/Aurora-Energy-Media-Release-Firmus-Technologies-25-March-2026_Redacted.pdf
https://www.parliament.tas.gov.au/__data/assets/pdf_file/0010/112231/120.-Firmus-combined.pdf
https://www.parliament.tas.gov.au/__data/assets/pdf_file/0012/112260/152.-Hydro-Tasmania-Submission.pdf</t>
  </si>
  <si>
    <t>https://firmus.co/infrastructure/southgate
https://firmus.co/ourcommitments/tasmaniancommunity
https://firmus.co/newsroom/firmus-signs-multi-year-agreement-with-global-hyperscale-customer-at-project-southgate
https://firmus.co/newsroom/tasmanian-world-first-ai-factory-zone-clears-path-for-firmus-project-southgate
https://firmus.co/newsroom/firmus-technologies-expands-regional-ai-access-through-nvidia-dgx-cloud-lepton</t>
  </si>
  <si>
    <t>https://www.abc.net.au/news/2026-06-15/firmus-ai-company-tasmania-biggest-power-user-three-sites/106783142
https://www.abc.net.au/news/2026-07-03/firmus-ai-data-centres-is-tasmania-ready/106869862
https://www.abc.net.au/news/2026-09-09/six-new-confidential-data-centre-proposals-tasmania-revealed/107131974
https://pulsetasmania.com.au/news/document-reveals-six-secret-ai-data-centre-proposals-for-tasmania/
https://pulsetasmania.com.au/news/launceston-council-approves-major-2-1-billion-ai-data-centre/
https://www.datacenterdynamics.com/en/news/firmus-gets-go-ahead-for-ai-data-center-project-in-launceston-tasmania/
https://w.media/firmus-wins-approval-to-build-2-1bn-ai-factory-in-launceston/
https://w.media/firmus-raises-aud-330-million-for-tasmania-ai-factory/
https://itwire.com/it-industry-news/deals/firmus-signs-multi-year-agreement-with-global-hyperscale-customer-202603020801.html
https://tasgreensmps.org/parliament/questions/firmus-technologies-launceston-ai-data-centre/
https://www.datacentermap.com/australia/launceston/project-southgate/
https://baxtel.com/data-center/firmus-launceston-campus</t>
  </si>
  <si>
    <t>https://parliament.tas.gov.au/__data/assets/pdf_file/0012/110730/2026-08-13-ProfRazay.pdf
https://www.parliament.tas.gov.au/__data/assets/pdf_file/0012/110064/Aurora-Energy-Media-Release-Firmus-Technologies-25-March-2026_Redacted.pdf
https://www.parliament.tas.gov.au/__data/assets/pdf_file/0010/112231/120.-Firmus-combined.pdf
https://www.parliament.tas.gov.au/__data/assets/pdf_file/0012/112260/152.-Hydro-Tasmania-Submission.pdf
https://firmus.co/infrastructure/southgate
https://firmus.co/ourcommitments/tasmaniancommunity
https://firmus.co/newsroom/firmus-signs-multi-year-agreement-with-global-hyperscale-customer-at-project-southgate
https://firmus.co/newsroom/tasmanian-world-first-ai-factory-zone-clears-path-for-firmus-project-southgate
https://firmus.co/newsroom/firmus-technologies-expands-regional-ai-access-through-nvidia-dgx-cloud-lepton
https://www.abc.net.au/news/2026-06-15/firmus-ai-company-tasmania-biggest-power-user-three-sites/106783142
https://www.abc.net.au/news/2026-07-03/firmus-ai-data-centres-is-tasmania-ready/106869862
https://www.abc.net.au/news/2026-09-09/six-new-confidential-data-centre-proposals-tasmania-revealed/107131974
https://pulsetasmania.com.au/news/document-reveals-six-secret-ai-data-centre-proposals-for-tasmania/
https://pulsetasmania.com.au/news/launceston-council-approves-major-2-1-billion-ai-data-centre/
https://www.datacenterdynamics.com/en/news/firmus-gets-go-ahead-for-ai-data-center-project-in-launceston-tasmania/
https://w.media/firmus-wins-approval-to-build-2-1bn-ai-factory-in-launceston/
https://w.media/firmus-raises-aud-330-million-for-tasmania-ai-factory/
https://itwire.com/it-industry-news/deals/firmus-signs-multi-year-agreement-with-global-hyperscale-customer-202603020801.html
https://tasgreensmps.org/parliament/questions/firmus-technologies-launceston-ai-data-centre/
https://www.datacentermap.com/australia/launceston/project-southgate/
https://baxtel.com/data-center/firmus-launceston-campus</t>
  </si>
  <si>
    <t>TAS-A</t>
  </si>
  <si>
    <t>VIC-006</t>
  </si>
  <si>
    <t>Vantage MEL1（Tullamarine）</t>
  </si>
  <si>
    <t>Vantage Data Centers（APAC 業務屬 DigitalBridge 的 Skyline JV，Aware Super 持少數股權）</t>
  </si>
  <si>
    <t>Vantage Data Centers</t>
  </si>
  <si>
    <t>43-45 Tullamarine Park Road, Tullamarine VIC 3043</t>
  </si>
  <si>
    <t>Tullamarine</t>
  </si>
  <si>
    <t>3043</t>
  </si>
  <si>
    <t>Brimbank City Council（DCM wiki 列；未查證，Tullamarine 亦涉 Hume）</t>
  </si>
  <si>
    <t>Vantage 官網（已讀）：單一資料中心、7 英畝（3 ha）、64 MW critical IT、25,000 m²、場內 66 kV 變電站、Jemena 供電；Baxtel 的 48 MW／三棟為舊版文案。</t>
  </si>
  <si>
    <t>2026-10</t>
  </si>
  <si>
    <t>Brimbank 公開規劃登記冊（資料截至 2025-07-22，已讀）：P435/2021『Use and development of the land for a data centre and removal of easements』（1/7、2/7、5 Allied Dr 與 43-45 Tullamarine Park Rd）2021-10-29 核發；Pt 3 修訂『alter the height and layout of the data centre』2024-12-05 受理、2025-03-18 核發。Vantage 官網文案為將來式（will provide）；Baxtel 標 Under Construction、2026 年建成；DCM wiki 列 Operating。沒有具日期的施工事件，狀態待查。登記冊未具名 Vantage，營運商取自 DCM wiki 對這些地址的標註。</t>
  </si>
  <si>
    <t>2026（Baxtel，聚合器）</t>
  </si>
  <si>
    <t>聚合器</t>
  </si>
  <si>
    <t>Vantage 為批發型，官網稱專為 AI 工作負載設計。</t>
  </si>
  <si>
    <t>Brimbank P435/2021（Pt 3 修訂 2025-03-18 核發）</t>
  </si>
  <si>
    <t>狀態：施工中（Baxtel）vs 營運中（DCM wiki）vs 官網將來式；MW 64（官網）vs 48（Baxtel）；MW：64（官網/RenewMap/DCM wiki）vs 48（Baxtel）；狀態：Under construction（Baxtel）vs Operating（DCM wiki）；棟數：1 棟（官網）vs 3 棟（Baxtel）。Vantage 官網 APAC 地點只列 Melbourne（MEL1），沒有 MEL-C。
地址備註：Baxtel 與 DCM wiki：43-45 Tullamarine Park Rd；wiki 另列 5 Allied Drive, Tullamarine。Vantage 官網稱距墨爾本機場約 6 公里、鄰 NEXTDC M2 與 AirTrunk MEL2。</t>
  </si>
  <si>
    <t>https://vantage-dc.com/data-centers/melbourne/
https://vantage-dc.com/data-center-locations/apac/melbourne-australia/</t>
  </si>
  <si>
    <t>https://baxtel.com/data-center/vantage-melbourne-mel1
https://datacentremoratorium.net/index.php/Resources:Vantage_MEL1</t>
  </si>
  <si>
    <t>https://vantage-dc.com/data-centers/melbourne/
https://records.brimbank.vic.gov.au/ExternalLinkAPI/api/document/?docKey=UHZYRmNFYWVDaUN0clNmekJwVXhMUExwUGpQcFE0VVFXVnp1NkdSYlZpc0lsS2NCZlVOWUxOVXBncy9DSUhHZg2
https://datacentremoratorium.net/index.php/Resources:Vantage_MEL1
https://vantage-dc.com/data-center-locations/apac/melbourne-australia/
https://baxtel.com/data-center/vantage-melbourne-mel1
https://datacentremoratorium.net/index.php/Resources:Data_Centres_in_Greater_Melbourne</t>
  </si>
  <si>
    <t>NSW-004</t>
  </si>
  <si>
    <t>GreenSquare DC SYD1 — Stage 1（既有資料中心建築改造，Norwest）</t>
  </si>
  <si>
    <t>GreenSquare DC (GSDC)</t>
  </si>
  <si>
    <t>GreenSquare DC</t>
  </si>
  <si>
    <t>3 Brookhollow Avenue, Norwest NSW 2153</t>
  </si>
  <si>
    <t>Norwest</t>
  </si>
  <si>
    <t>2153</t>
  </si>
  <si>
    <t>The Hills Shire</t>
  </si>
  <si>
    <t>15 MW 引自 先前資料（Stage 1 15 MW），我方未能獨立驗證；W.Media 2026-09-21 僅稱 SYD1 為『100MW-plus campus』；範疇界定函說明現址原有 4 MW 資料中心（D93/318，1993 年核准）。</t>
  </si>
  <si>
    <t>2026-09-21</t>
  </si>
  <si>
    <t>W.Media 2026-09-21：Stage 1 為既有資料中心建築的 adaptive reuse，建築正升級以支援高密度運算；首批客戶 Sharon AI 預計部署約 8,200 片 NVIDIA Blackwell Ultra GPU，初始營運目標 2026 Q4。先前資料 另稱總承包商為 Erilyan。因屬既有建築改造，Planning Portal 無對應 SSD 開工文件。</t>
  </si>
  <si>
    <t>未知（改造工程進行中）</t>
  </si>
  <si>
    <t>2026-Q4（初始營運，W.Media 2026-09-21）</t>
  </si>
  <si>
    <t>W.Media 2026-09-21 引述 GreenSquare</t>
  </si>
  <si>
    <t>GreenSquare 為批發型出租業者；但 Stage 1 首批容量已由 Sharon AI 長期合約錨定（合約容量未公開），剩餘可租量不明。</t>
  </si>
  <si>
    <t>Sharon AI（Nasdaq 上市、NVIDIA Cloud Partner；首階段錨定客戶，2026-09 簽約）</t>
  </si>
  <si>
    <t>既有建築改造（D93/318，1993 年核准）；未見 SSD。Stage 2 見 SSD-81928961</t>
  </si>
  <si>
    <t>完工時間：先前資料稱 Q3 2026，W.Media 稱初始營運 2026 Q4。首批客戶已簽，對 5 MW 新租戶而言 Stage 1 剩餘量可能很小；是否已完工：先前資料 2026-Q3 完工，Baxtel 稱已營運，無營運商確認；總量：先前資料 110 MW、官網 100MW+ IT、SSD EIS 的第二期 IT 96 MW；先前資料「Stage 1 15 MW」——與規劃小組 EDC/Stage 1 敘述的 14.9 MW 一致。
地址備註：Lot 2021 DP 831173，約 51,867 m2；位於 Norwest Business Park，Norwest 地鐵站以東約 500 m。Stage 1 與 Stage 2（）同一地址。</t>
  </si>
  <si>
    <t>https://www.planningportal.nsw.gov.au/major-projects/projects/brookhollow-avenue-data-centre-expansion-norwest
https://www.planningportal.nsw.gov.au/planning-panel/alterations-and-additions-existing-data-centre</t>
  </si>
  <si>
    <t>https://www.greensquaredc.com/locations
https://greensquaredc.com/locations/</t>
  </si>
  <si>
    <t>https://w.media/greensquare-signs-sharon-ai-as-first-customer-for-syd1-data-centre-campus/
https://baxtel.com/data-center/greensquaredc-sydney-syd1</t>
  </si>
  <si>
    <t>https://www.planningportal.nsw.gov.au/major-projects/projects/brookhollow-avenue-data-centre-expansion-norwest
https://majorprojects.planningportal.nsw.gov.au/prweb/PRRestService/mp/01/getContent?AttachRef=PDA-81670721%2120250328T083256.004+GMT
https://w.media/greensquare-signs-sharon-ai-as-first-customer-for-syd1-data-centre-campus/
https://www.planningportal.nsw.gov.au/planning-panel/alterations-and-additions-existing-data-centre
https://www.greensquaredc.com/locations
https://api.apps1.nsw.gov.au/eplanning/data/v0/OnlineDA
https://greensquaredc.com/locations/</t>
  </si>
  <si>
    <t>NSW-C、NSW-A、NSW-B</t>
  </si>
  <si>
    <t>NSW-005</t>
  </si>
  <si>
    <t>CDC Marsden Park Data Centre Campus（Hollinsworth Road）</t>
  </si>
  <si>
    <t>CDC Data Centres（Canberra Data Centres）</t>
  </si>
  <si>
    <t>CDC Data Centres Pty Ltd（SSD 申請人，核准通知書所載）；股東含 Infratil（CDC 官網新聞標題）</t>
  </si>
  <si>
    <t>105 and 113 Hollinsworth Road, Marsden Park NSW 2765</t>
  </si>
  <si>
    <t>Marsden Park</t>
  </si>
  <si>
    <t>2765</t>
  </si>
  <si>
    <t>Blacktown</t>
  </si>
  <si>
    <t>入口網站/核准文件口徑為耗電 504 MW，六棟四層樓、720 MVA 變電站（先前資料讀取）；CDC 2024-10-25 新聞稿稱 504 MW 為 ICT capacity（口徑不同，IT 負載可能較低）；CDC 官網 Marsden Park 頁寫五棟四層加一棟兩層。前置議會 DA-24-00542（2024-11-14 核准，CIV A$53.94m）僅為 5 MW 設施。Baxtel 另列 79 MW、Q2 2026，屬聚合站估計。</t>
  </si>
  <si>
    <t>2026-07-27</t>
  </si>
  <si>
    <t>入口網站 SSD-70889211 後續文件（於 2026-10-03 逐筆列出並從檔案識別碼解出上傳日）：Letter for SSDA Works Commencement（檔名 260714，上傳 2026-07-22）、CEMP Approval Letter（2026-05-12）、Approval of Staging Request（2026-04-24）、Approval of Updated Staging Request（2026-06-12）、ESCP 核准（2026-07-27）。CDC 官網新聞（2024-10-25）已稱 minor earthworks underway。</t>
  </si>
  <si>
    <t>2024-10（CDC 稱輕微土方，新聞稿 2024-10-25）；SSD 工程開工函 2026-07-14；CDC 官網排程的 early/civil works 自 2025-11 起</t>
  </si>
  <si>
    <t>分期交付 2027-09 至 2029-12（staggered handover through 2029）</t>
  </si>
  <si>
    <t>CDC 官網 Marsden Park 頁排程（未標日期，2026-10-03 讀取）：early/civil 2025-11 至 2027-06、structural 2026-07 至 2027-11、services/fit-out 2027-02 至 2028-11、commissioning/handover 2027-09 至 2029-12</t>
  </si>
  <si>
    <t>CDC 為批發型主機代管；2025 年簽下 555 MW、30 年的美國客戶合約（CDC 官網新聞標題，是否落在本園區未證實），Marsden Park 容量可能大多已預訂，需向 CDC 確認未預訂部分。</t>
  </si>
  <si>
    <t>未公布；CDC 與一家美國客戶簽有 555 MW 合約（與本園區關係未證實）</t>
  </si>
  <si>
    <t>SSD-70889211（2025-11-27 核准）；前置 DA-24-00542 / PPSSCC-562（2024-11-14 核准）</t>
  </si>
  <si>
    <t>MW 口徑不一：入口網站 504 MW 為耗電、CDC 新聞稿 504 MW 為 ICT capacity；Baxtel 79 MW 且 Q2 2026 啟用，與 CDC 官網的 2027-09 起分期交付不符，以 CDC 官網為準；Portal 標題「504 MW power consumption」vs 評估報告「720 MW 最大電力 / 504 MW IT」；先前資料採 504 MW power consumption——應改註為 IT load
地址備註：SSD-70889211 與前置議會 DA-24-00542（PPSSCC-562）皆列 105 與 113 Hollinsworth Road；專用變電站亦在 Hollinsworth Road（CDC 官網）。</t>
  </si>
  <si>
    <t>https://www.planningportal.nsw.gov.au/major-projects/projects/marsden-park-data-centre
https://www.planningportal.nsw.gov.au/planning-panel/canberra-data-centre
https://majorprojects.planningportal.nsw.gov.au/prweb/PRRestService/mp/01/getContent?AttachRef=SSD-70889211%2120251128T050853.709+GMT
https://majorprojects.planningportal.nsw.gov.au/prweb/PRRestService/mp/01/getContent?AttachRef=SSD-70889211-PA-23%2120260722T061549.935+GMT
https://majorprojects.planningportal.nsw.gov.au/prweb/PRRestService/mp/01/getContent?AttachRef=SSD-70889211-PA-21%2120260612T050533.584+GMT</t>
  </si>
  <si>
    <t>https://www.cdc.com.au/locations/sydney-and-regional-nsw/marsden-park/
https://www.cdc.com.au/resources/news/cdc-data-centres-breaks-ground-on-new-state-of-the-art-data-centre-development-in-marsden-park-industrial-precinct/</t>
  </si>
  <si>
    <t>https://baxtel.com/data-center/cdc-marsden-park-campus</t>
  </si>
  <si>
    <t>https://www.planningportal.nsw.gov.au/major-projects/projects/marsden-park-data-centre
https://www.planningportal.nsw.gov.au/planning-panel/canberra-data-centre
https://www.cdc.com.au/locations/sydney-and-regional-nsw/marsden-park/
https://www.cdc.com.au/resources/news/cdc-data-centres-breaks-ground-on-new-state-of-the-art-data-centre-development-in-marsden-park-industrial-precinct/
https://baxtel.com/data-center/sydney
https://majorprojects.planningportal.nsw.gov.au/prweb/PRRestService/mp/01/getContent?AttachRef=SSD-70889211%2120251128T050853.709+GMT
https://majorprojects.planningportal.nsw.gov.au/prweb/PRRestService/mp/01/getContent?AttachRef=SSD-70889211-PA-23%2120260722T061549.935+GMT
https://majorprojects.planningportal.nsw.gov.au/prweb/PRRestService/mp/01/getContent?AttachRef=SSD-70889211-PA-21%2120260612T050533.584+GMT</t>
  </si>
  <si>
    <t>NSW-A、NSW-B</t>
  </si>
  <si>
    <t>NSW-006</t>
  </si>
  <si>
    <t>NEXTDC S4 Horsley Park（SSD-63741210）</t>
  </si>
  <si>
    <t>NEXTDC Limited</t>
  </si>
  <si>
    <t>NEXTDC Limited（申請人）；總包 Multiplex（lead 資料）</t>
  </si>
  <si>
    <t>16 Johnston Crescent, Horsley Park NSW 2175</t>
  </si>
  <si>
    <t>Horsley Park</t>
  </si>
  <si>
    <t>2175</t>
  </si>
  <si>
    <t>Fairfield City（部分工程在 Blacktown）</t>
  </si>
  <si>
    <t>NEXTDC FY26 簡報（2026-08-27）：S4 升級至 365 MW IT，其中 250 MW 在建、115 MW 規劃；NSW 核准書載 294 MW；Multiplex 新聞稿稱 350 MW；RenewMap 記 232 MW，口徑各不相同。</t>
  </si>
  <si>
    <t>2026-09-23</t>
  </si>
  <si>
    <t>SSD 核准 2025-12-24；CEMP Rev 3 與核准函 2026-02-23；HV 輸電線分階段核准 2026-05-28；「NXT S4 – TG Works – DPHI Condition A13」2026-05-20；Mod 1（設計修改）核准 2026-08-07、Mod 2（隔音牆增高）核准 2026-09-23。Multiplex 2026-03 宣布開工（先前資料，未重新開啟）。portal 上無「Notification of Commencement」文件。</t>
  </si>
  <si>
    <t>2026-03（Multiplex，lead 資料）；CEMP 2026-02-23 核准。</t>
  </si>
  <si>
    <t>評估報告：全案約 5 年／54 個月、四階段——Stage 1 Building C + HV 開關站/330 kV 變電站/輸電線/入口/水塔；Stage 2 Building D；Stage 3 Building A；Stage 4 Building B。第一期約 2027 年中（Multiplex，先前資料）。</t>
  </si>
  <si>
    <t>DPHI SSD Assessment Report（2025-12-24）；Multiplex（透過 先前）</t>
  </si>
  <si>
    <t>NEXTDC 以租賃方式出租；但 先前 引用 FY26 數據：已簽約使用量 740 MW、前置訂單 565 MW、已建成 287.9 MW，容量幾乎已被預訂，新租戶需談後續階段。</t>
  </si>
  <si>
    <t>政府文件未揭露</t>
  </si>
  <si>
    <t>SSD-63741210；Mod 1、Mod 2；後續 Phase 2 = SSD-108864209</t>
  </si>
  <si>
    <t>容量來源互相矛盾：DPHI 評估報告 294 MW（修訂後）；Portal 列表 250 MW；Multiplex 350 MW；RenewMap 232 MW（=原 EIS）。建議以 294 MW（power consumption）為官方數字；MW：核准文件 294 MW（耗電）、Multiplex 350 MW、RenewMap 232 MW；先前資料未載明 294 MW，此為更正。
地址備註：資料中心基地 8.206 公頃（IN1）；另含 Johnston Crescent / Old Wallgrove Road 道路預留地 1.16 公頃的 2.6 km、2×330 kV 輸電線，及 TransGrid Sydney West 變電站 43.09 公頃擴建。</t>
  </si>
  <si>
    <t>https://www.planningportal.nsw.gov.au/major-projects/projects/nextdc-s4-data-centre-horsley-park
https://majorprojects.planningportal.nsw.gov.au/prweb/PRRestService/mp/01/getContent?AttachRef=SSD-63741210%2120251224T003217.140+GMT
https://www.planningportal.nsw.gov.au/major-projects/projects/nextdc-s4-modification-1-design-modifications
https://www.planningportal.nsw.gov.au/major-projects/projects/nextdc-s4-horsley-park-mod-2-acoustic-barrier-amendments</t>
  </si>
  <si>
    <t>VIC-007</t>
  </si>
  <si>
    <t>AirTrunk MEL2（Tullamarine，前 Honda 廠址；DFP 許可 PA2403452）</t>
  </si>
  <si>
    <t>AirTrunk（修訂／更正申請人為 Airtrunk Mel2 Pty Ltd；Blackstone／CPP Investments 控股）</t>
  </si>
  <si>
    <t>AirTrunk。原 DFP 申請人 EMKC3 Pty Ltd（經 Urbis）；AirTrunk 於 2025-12-24 公告收購該址；土地先由 Hines 自 Honda 購入（2022）及 A$187m 價格皆僅見 DCM wiki，未獨立查證</t>
  </si>
  <si>
    <t>85 Sharps Road, Tullamarine VIC 3043</t>
  </si>
  <si>
    <t>Brimbank City Council（DTP 官員報告：Brimbank Planning Scheme）</t>
  </si>
  <si>
    <t>AirTrunk 官網與 2025-12-24 新聞稿：354+ MW（官網另載 8.070 ha、GFA 45,578 m²、最多 32 間技術資料廳 42,240 m²、66 kV 雙回路供電）。DTP 官員報告：單棟、高 32.5 m（含設備 38.15 m）、GFA 45,578 m²。DCM wiki 稱 2026-06 修訂將資料廳由 8 間減為 5 間並調整屋頂設備，MW 是否受影響未知。AirTrunk 未說明 354 MW 口徑（IT／關鍵／耗電）。W.Media 標題寫 345 MW 為筆誤。</t>
  </si>
  <si>
    <t>2026-08-14</t>
  </si>
  <si>
    <t>DFP 許可 PA2403452：2024-12-20 受理、2025-02-04 公告、2025-03-28 核發（The Age：約 44 天、A$973m）；PA2403452-1 修訂 2026-06-26 核准；另有 S71 更正 2026-08-14 核准（2026-07-27 受理，申請人欄 Airtrunk Mel2 Pty Ltd，頁面已讀）。Brimbank 公開規劃登記冊（資料截至 2025-07-22，已讀）：VicSmart P47/2025（85 Sharps Rd，『carry out works (clearing, excavation and trenching)』，2025-02-14 受理、2025-02-27 核發，屬前業主階段的早期工程）。至 2026-10-03 未找到 AirTrunk 開工通知、動土新聞或建築許可，因此判定主體施工尚無硬證據。</t>
  </si>
  <si>
    <t>未公布（主體工程）；早期工程許可見 2025-02-27</t>
  </si>
  <si>
    <t>2027-H2（首期開放，多期建設）</t>
  </si>
  <si>
    <t>AirTrunk 新聞稿 2025-12-24；CRN 2026-01-06（預定 2027 下半年啟用）</t>
  </si>
  <si>
    <t>AirTrunk 為超大規模批發型業者，客群為全球雲端與 AI 客戶；官網稱 carrier neutral。5 MW 級租戶是否可行須直接洽詢，容量可能以大型整租為主。</t>
  </si>
  <si>
    <t>DFP PA2403452（permit 2025-03-28；PA2403452-1 修訂 2026-06-26；更正 2026-08-14）；Brimbank VicSmart P47/2025（早期工程，2025-02-27 核發）</t>
  </si>
  <si>
    <t>先前資料稱 PA2403452 申請人未知：已確認即 AirTrunk MEL2（官網 GFA 45,578 m²、8.070 ha 與官員報告完全一致）。容量 354+ MW（AirTrunk）vs 345 MW（W.Media 標題）；資料廳 8 間（原許可）vs 5 間（2026-06 修訂，wiki）；狀態三說：CRN「2027 下半年營運」（隱含將/已開工）、Baxtel「planned」、RenewMap「construction」。本次查證結論：許可 2025-03-28 已核准、設計於 2026-06-26 剛改（8→5 棟），AirTrunk 2025-12-24 才完成購地，未見主體施工文件——判定 approved_not_started；若要趕上 2027-H2 營運，主體施工應在 2026 下半年啟動，建議向 AirTrunk 或 Brimbank 建築許可確認。先前資料 只列 PA2403452 為「unknown」，現確認為 AirTrunk MEL2。
地址備註：Lot 95 on PS 135452；Sharps Road 與 Keilor Park Drive 轉角，土地 8.07 ha，現有約 16,742 m² 兩層倉庫（前 Honda）。官員報告檔名曾誤寫 Sharps Street，指同址。DCM wiki 座標（-37.70658, 144.86374）屬社群來源，未採用。</t>
  </si>
  <si>
    <t>https://www.planning.vic.gov.au/planning-approvals/ministerial-permits-register/ministerial-permits/1ea17bd8-75be-ef11-b8e8-002248938a9c
https://www.planning.vic.gov.au/planning-approvals/ministerial-permits-register/ministerial-permits/739c637a-54d6-42c8-a673-5c590bae387a
https://sftpbspomppprod01.blob.core.windows.net/applicationfiles/1ea17bd8-75be-ef11-b8e8-002248938a9c_PA2403452%20-%2085%20Sharps%20Road,%20Tullamarine%20-%20Officer%20Report%20-%20REDACTED.pdf
https://records.brimbank.vic.gov.au/ExternalLinkAPI/api/document/?docKey=UHZYRmNFYWVDaUN0clNmekJwVXhMUExwUGpQcFE0VVFXVnp1NkdSYlZpc0lsS2NCZlVOWUxOVXBncy9DSUhHZg2
https://www.planning.vic.gov.au/planning-approvals/ministerial-permits-register/ministerial-permits/975c57aa-6b34-f111-88b4-7c1e5262e513</t>
  </si>
  <si>
    <t>https://airtrunk.com/data-centres/mel2/
https://airtrunk.com/airtrunk-expands-australian-platform-with-a-second-hyperscale-data-centre-campus-in-melbourne/
https://airtrunk.com/location/mel2-melbourne/</t>
  </si>
  <si>
    <t>https://www.crn.com.au/news/2026/data-centre/airtrunk-new-melbourne-location-mel2
https://www.datacenterdynamics.com/en/news/airtrunk-acquires-site-in-melbourne-australia-for-354mw-data-center/
https://www.theage.com.au/national/victoria/1b-data-centre-given-planning-tick-in-just-75-days-as-state-gets-cosy-with-big-tech-20260219-p5o3sl.html
https://w.media/airtrunk-to-add-345-mw-facility-in-aud-5bn-melbourne-investment/
https://datacenterdynamics.com/en/news/airtrunk-acquires-site-in-melbourne-australia-for-354mw-data-center
https://datacentremoratorium.net/index.php/Resources:AirTrunk_MEL2</t>
  </si>
  <si>
    <t>https://www.planning.vic.gov.au/planning-approvals/ministerial-permits-register/ministerial-permits/1ea17bd8-75be-ef11-b8e8-002248938a9c
https://sftpbspomppprod01.blob.core.windows.net/applicationfiles/1ea17bd8-75be-ef11-b8e8-002248938a9c_PA2403452%20-%2085%20Sharps%20Road,%20Tullamarine%20-%20Officer%20Report%20-%20REDACTED.pdf
https://records.brimbank.vic.gov.au/ExternalLinkAPI/api/document/?docKey=UHZYRmNFYWVDaUN0clNmekJwVXhMUExwUGpQcFE0VVFXVnp1NkdSYlZpc0lsS2NCZlVOWUxOVXBncy9DSUhHZg2
https://airtrunk.com/data-centres/mel2/
https://airtrunk.com/airtrunk-expands-australian-platform-with-a-second-hyperscale-data-centre-campus-in-melbourne/
https://www.crn.com.au/news/2026/data-centre/airtrunk-new-melbourne-location-mel2
https://www.datacenterdynamics.com/en/news/airtrunk-acquires-site-in-melbourne-australia-for-354mw-data-center/
https://www.theage.com.au/national/victoria/1b-data-centre-given-planning-tick-in-just-75-days-as-state-gets-cosy-with-big-tech-20260219-p5o3sl.html
https://datacentremoratorium.net/index.php/Resources:AirTrunk_MEL2
https://www.planning.vic.gov.au/planning-approvals/ministerial-permits-register/ministerial-permits/975c57aa-6b34-f111-88b4-7c1e5262e513
https://airtrunk.com/location/mel2-melbourne/
https://w.media/airtrunk-to-add-345-mw-facility-in-aud-5bn-melbourne-investment/</t>
  </si>
  <si>
    <t>NSW-007</t>
  </si>
  <si>
    <t>Goodman SYD01 — Lanceley Place Data Centre, Artarmon（SSD-66777221）</t>
  </si>
  <si>
    <t>Goodman（Goodman Property Services (Aust) Pty Ltd）</t>
  </si>
  <si>
    <t>Goodman Property Services (Aust) Pty Ltd（申請人）</t>
  </si>
  <si>
    <t>2-8 Lanceley Place and 14 Campbell Street, Artarmon NSW 2064</t>
  </si>
  <si>
    <t>Artarmon</t>
  </si>
  <si>
    <t>2064</t>
  </si>
  <si>
    <t>Willoughby City</t>
  </si>
  <si>
    <t>核准時為「80MVA」（Portal 與 Mod 2 報告皆如此稱）；評估報告表 1 把同一數字寫成「IT power consumption 80 MW」。Mod 2（2026-04-14 核准）將饋線容量提高到 90 MVA、發電機由 30×2.8 MW 增為 42×2.82 MW。CIV A$845,852,021、施工 669 人、營運 30 人。</t>
  </si>
  <si>
    <t>2026-08-11</t>
  </si>
  <si>
    <t>Goodman「A10 Notice of Commencement of Construction Works」（2026-05-27 日期，portal 上傳 2025-05-29）：預定 2025-07-17 開工；CEMP Rev 3 與核准函 2025-08-27；CEMP Rev 7 / CTMP v4 / ESCP v1 核准 2026-05-14；Mod 1（2025-12-11）、Mod 2（2026-04-14）、Mod 3（2026-08-11）皆已核准；外牆覆層通知 2026-04-01；夜間施工申請 2026-04-30 核准。</t>
  </si>
  <si>
    <t>2025-07-17（預定日，Goodman 通知函）</t>
  </si>
  <si>
    <t>評估報告：施工約 24 個月（→ 約 2027 年中）。Goodman SYD01 頁面（先前 的搜尋摘要，未重新開啟）：第一期 12.2 MW 排定 2028 Q2。</t>
  </si>
  <si>
    <t>DPHI SSD Assessment Report（2025-04-11）；Goodman（透過 先前）</t>
  </si>
  <si>
    <t>Goodman 開發並出租給超大規模客戶；政府文件未揭露租戶。第一期僅 12.2 MW，且排程已因電力移到 2028。</t>
  </si>
  <si>
    <t>SSD-66777221（核准 2025-04-11）；Mod 1/2/3</t>
  </si>
  <si>
    <t>營運商（Goodman 官網摘要）稱首期 12.2 MW 於 2028-Q2；NSW 評估報告估施工約 24 個月（自 2025-05 開工起算約 2027 年中）。以營運商說法為準。
地址備註：基地 14,024 m2（E4 工業區），位於 Gore Hill 科技園東側、皇家北岸醫院南約 200 m。</t>
  </si>
  <si>
    <t>https://www.planningportal.nsw.gov.au/major-projects/projects/lanceley-place-data-centre-artarmon
https://majorprojects.planningportal.nsw.gov.au/prweb/PRRestService/mp/01/getContent?AttachRef=SSD-66777221%2120250411T063539.397+GMT
https://majorprojects.planningportal.nsw.gov.au/prweb/PRRestService/mp/01/getContent?AttachRef=SSD-66777221-PA-5%2120250529T050113.400+GMT
https://majorprojects.planningportal.nsw.gov.au/prweb/PRRestService/mp/01/getContent?AttachRef=SSD-66777221-MOD-2%2120260414T055621.028+GMT</t>
  </si>
  <si>
    <t>https://baxtel.com/data-center/goodman-artarmon</t>
  </si>
  <si>
    <t>NSW-008</t>
  </si>
  <si>
    <t>DCI Data Centers Eastern Creek Expansion（SYD02；SSD-21342738）</t>
  </si>
  <si>
    <t>DCI Data Centers（申請人 NineZero DC Sub TC I Pty Ltd trading as DCI Data Centers）</t>
  </si>
  <si>
    <t>NineZero DC Sub TC I Pty Ltd（DCI；印尼資本）</t>
  </si>
  <si>
    <t>90 Peter Brock Drive, Eastern Creek NSW 2766</t>
  </si>
  <si>
    <t>Eastern Creek</t>
  </si>
  <si>
    <t>2766</t>
  </si>
  <si>
    <t>原核准（2023-09-01）32 MW、GFA 13,210 m2、高 35.7 m、27×2.65 MW 發電機。Mod 2（2026-08-12 核准）以更高機架密度把總用電由 32 MW 提高到 63 MW，並放大變電站、取消四層辦公樓。先前 所稱「SYD02 = 64 MW」與此吻合；SYD01 現有約 11 MW、最終 65 MW（先前資料）。</t>
  </si>
  <si>
    <t>2026-08-12</t>
  </si>
  <si>
    <t>Notice of Commencement（CC1）2025-06-19、CEMP（CC1）2025-06；Stage 2 開工通知 2025-10-10（CC2 2025-10-03）；CC3 通知 2026-05-20；CEMP Rev 04 核准函 2026-07-21。但 Mod 2 評估報告（2026-08）寫明：「已大致完成現場拆除，準備開始核准開發的施工」——故主體施工在 2026-08 尚在啟動期。</t>
  </si>
  <si>
    <t>拆除/早期工程 2025-06 起；主體工程 2026 中（Linesight，lead 資料）</t>
  </si>
  <si>
    <t>評估報告：施工 24 個月 + 試運轉 6 個月；四階段（資料儲存棟與變電站→內裝→辦公棟→人行橋）。Linesight：2028 初完工（先前資料）。</t>
  </si>
  <si>
    <t>DPHI SSD Assessment Report（2023-09-01）；Linesight（透過 先前）</t>
  </si>
  <si>
    <t>DCI 為託管/批發營運商，向外出租；是 2028 前可談的西雪梨中型容量（約 63 MW 新增）。租戶未揭露。</t>
  </si>
  <si>
    <t>SSD-21342738（核准 2023-09-01）；Mod 1（2025-09-18）、Mod 2（2026-08-12）</t>
  </si>
  <si>
    <t>先前資料「SYD02 = 64 MW、5 層、30,000 m2（Linesight）」與 DPHI：原 32 MW/GFA 13,210 m2，Mod 2 後 63 MW；差異為舊版媒體數字；更正 先前資料：最早的開工通知為 2025-06-19（非 2025-10-03）；SYD02 由 32 MW 提高到 63 MW（Mod 2，2026-08-05）。Portal 把本案歸類為『Warehouse or distribution centres』，不在 Data Storage 篩選清單。核准報告把既有場址稱 SYD01／SYD03 不一，建議以 SYD01（既有）、SYD02（本擴建）理解；規模：2022 新聞 36 MW 對 Linesight 現行 64 MW（曾 51 MW）；Baxtel 稱 Huntingwood 對政府資料 Eastern Creek
地址備註：Lot 34 DP 1131779、Lots 32/33 DP 1140168、Lot 25 DP 1122038；基地約 4.1 公頃，Raceway Precinct，鄰 Prospect Nature Reserve；現有 SYD01（原 Woolworths，Part 3A MP08_0108）。補足 先前 缺漏的街道地址。</t>
  </si>
  <si>
    <t>https://www.planningportal.nsw.gov.au/major-projects/projects/eastern-creek-data-centre-expansion-project
https://majorprojects.planningportal.nsw.gov.au/prweb/PRRestService/mp/01/getContent?AttachRef=SSD-21342738%2120230901T061348.447+GMT
https://majorprojects.planningportal.nsw.gov.au/prweb/PRRestService/mp/01/getContent?AttachRef=SSD-21342738-MOD-2%2120260812T003248.610+GMT
https://www.planningportal.nsw.gov.au/major-projects/projects/eastern-creek-data-centre-mod-2-power-consumption-increase</t>
  </si>
  <si>
    <t>https://www.linesight.com/projects/supporting-delivery-of-dcis-64mw-syd02-hyperscale-data-centre-in-sydney/</t>
  </si>
  <si>
    <t>https://baxtel.com/data-center/dci-syd02
https://cfotech.com.au/story/dci-data-centers-to-build-400m-facility-in-sydney</t>
  </si>
  <si>
    <t>https://www.planningportal.nsw.gov.au/major-projects/projects/eastern-creek-data-centre-expansion-project
https://majorprojects.planningportal.nsw.gov.au/prweb/PRRestService/mp/01/getContent?AttachRef=SSD-21342738%2120230901T061348.447+GMT
https://majorprojects.planningportal.nsw.gov.au/prweb/PRRestService/mp/01/getContent?AttachRef=SSD-21342738-MOD-2%2120260812T003248.610+GMT
https://www.planningportal.nsw.gov.au/major-projects/projects/eastern-creek-data-centre-mod-2-power-consumption-increase
https://www.linesight.com/projects/supporting-delivery-of-dcis-64mw-syd02-hyperscale-data-centre-in-sydney/</t>
  </si>
  <si>
    <t>NSW-B、NSW-C、NSW-A</t>
  </si>
  <si>
    <t>VIC-008</t>
  </si>
  <si>
    <t>DoverDC SM1A（South Morang；DFP 許可 PA2402997）</t>
  </si>
  <si>
    <t>DoverDC（Dover1 SM1A；許可持有人 PVAC Development Pty Ltd c/- Planning &amp; Property Partners）；營運／招租模式未公布</t>
  </si>
  <si>
    <t>PVAC Development Pty Ltd（DoverDC 體系）；DCD 稱一家 ASX 上市房地產投資集團持有兩案股權（未具名）</t>
  </si>
  <si>
    <t>525 and 535 McDonalds Road and 765 Plenty Road, South Morang VIC 3752</t>
  </si>
  <si>
    <t>South Morang</t>
  </si>
  <si>
    <t>3752</t>
  </si>
  <si>
    <t>City of Whittlesea</t>
  </si>
  <si>
    <t>DoverDC 官網（經 DCD 2026-08-26、W.Media）：三層、120 MW；DTP 官員報告：四層資料中心（含地下室燃料與水槽）GFA 28,465 m²＋兩層辦公 1,480 m²，高約 21–22.3 m，現場最多 285 人。2025-10-30 修訂（PA2402997-2）擴大建築面積並增加資料儲存容量。</t>
  </si>
  <si>
    <t>2026-08-26</t>
  </si>
  <si>
    <t>DFP PA2402997：2024-06-20 受理、2024-09-12 核發；PA2402997-1（2025-06-02，原生植被許可）與 -2（2025-10-30，增加建築面積與資料容量）。DCD／W.Media（2026-08）：預計 2026 年底或 2027 年初動工。Whittlesea 議會與居民（4,600+ 連署）反對。尚未動工。</t>
  </si>
  <si>
    <t>預計 2026 年底至 2027 年初（DoverDC，經 DCD）</t>
  </si>
  <si>
    <t>2028–2029（首期；DoverDC，經 DCD 2026-08-26）</t>
  </si>
  <si>
    <t>DCD 2026-08-26 引述 DoverDC；W.Media 2026-08</t>
  </si>
  <si>
    <t>DoverDC 為開發商，W.Media 描述為超大規模園區；未公布租戶與出租模式。</t>
  </si>
  <si>
    <t>DFP PA2402997（permit 2024-09-12；-1 2025-06-02；-2 2025-10-30）</t>
  </si>
  <si>
    <t>層數：DCD（引官網）三層 vs DTP 官員報告四層（2025-10 另有擴大面積的修訂）；realestatesource 2026-07-22 推測 Stockland 為幕後，與許可申請人 PVAC／DoverDC 不符，視為錯誤；地方反對：維州議會請願已逾 4,600 簽名（由綠黨議員發起），綠黨提出暫停新資料中心的法案已在議會被否決（DCD 2026-08-26）。DatacenterMap 對本案郵遞區號寫成 3082，South Morang 應為 3752。許可資料由 先前 提供，我方未能自行開啟登記冊；55 MW（PVAC 原核准，搜尋摘要）vs 120 MW（Dover 2026-08）。PVAC 與 Dover 的關係（購入/合作）本次未取得一手說明
地址備註：三宗地（Lot 1 PS 712881T、Lot 1 TP 840734D、PC 367571U）；計畫單元 6.21 ha，DoverDC 稱建物約占 1 ha／3.5 ha 地塊；鄰 South Morang Terminal Station。</t>
  </si>
  <si>
    <t>https://www.planning.vic.gov.au/planning-approvals/ministerial-permits-register/ministerial-permits/1b31ed89-8d2e-ef11-840a-000d3acb3ea1
https://sftpbspomppprod01.blob.core.windows.net/applicationfiles/1b31ed89-8d2e-ef11-840a-000d3acb3ea1_PA2402997-525%20MCDONALDS%20ROAD%20SOUTH%20MORANG%20-%20Officer%20Report%20-%20FINAL.pdf
https://www.planning.vic.gov.au/planning-approvals/ministerial-permits-register
https://planning.vic.gov.au/planning-approvals/ministerial-permits-register/ministerial-permits/1b31ed89-8d2e-ef11-840a-000d3acb3ea1</t>
  </si>
  <si>
    <t>https://www.datacenterdynamics.com/en/news/application-filed-for-200mw-data-center-in-melbourne-australia/
https://w.media/whittlesea-seeks-greater-oversight-as-dover-plans-200mw-victorian-facility/
https://www.realestatesource.com.au/green-light-for-data-centre-half-the-size-of-the-rialto/
https://www.datacentermap.com/australia/melbourne/dover-sm1a/
https://datacentremoratorium.net/index.php/Resources:Dover_SM1A</t>
  </si>
  <si>
    <t>https://www.planning.vic.gov.au/planning-approvals/ministerial-permits-register/ministerial-permits/1b31ed89-8d2e-ef11-840a-000d3acb3ea1
https://sftpbspomppprod01.blob.core.windows.net/applicationfiles/1b31ed89-8d2e-ef11-840a-000d3acb3ea1_PA2402997-525%20MCDONALDS%20ROAD%20SOUTH%20MORANG%20-%20Officer%20Report%20-%20FINAL.pdf
https://www.datacenterdynamics.com/en/news/application-filed-for-200mw-data-center-in-melbourne-australia/
https://w.media/whittlesea-seeks-greater-oversight-as-dover-plans-200mw-victorian-facility/
https://www.realestatesource.com.au/green-light-for-data-centre-half-the-size-of-the-rialto/
https://datacentremoratorium.net/index.php/Resources:Dover_SM1A
https://www.datacentermap.com/australia/melbourne/dover-sm1a/
https://nominatim.openstreetmap.org/search?q=765+Plenty+Road+South+Morang+VIC
https://planning.vic.gov.au/planning-approvals/ministerial-permits-register/ministerial-permits/1b31ed89-8d2e-ef11-840a-000d3acb3ea1</t>
  </si>
  <si>
    <t>VIC-B、VIC-C、VIC-A</t>
  </si>
  <si>
    <t>NSW-009</t>
  </si>
  <si>
    <t>Starwood / Doma / Telstra InfraCo — Minchinbury Data Centre</t>
  </si>
  <si>
    <t>Starwood Capital Group 與 Doma Infrastructure Group（開發、建設、營運）</t>
  </si>
  <si>
    <t>Telstra InfraCo 提供土地與連網；Starwood（受控關係企業）與 Doma 負責融資、開發、建設與管理</t>
  </si>
  <si>
    <t>Minchinbury, Western Sydney NSW 2770（街道地址未公開）</t>
  </si>
  <si>
    <t>Minchinbury</t>
  </si>
  <si>
    <t>2770</t>
  </si>
  <si>
    <t>聯合新聞稿：62 MW IT 負載、90 MVA 電力包絡；Tier III+；支援液冷與 AI 級機櫃密度；可選 core &amp; shell、powered shell 或 build-to-suit。</t>
  </si>
  <si>
    <t>2025-11-12</t>
  </si>
  <si>
    <t>無硬證據。新聞稿（AAP/Cision 2025-11-12）稱 2026 年初開工、2028-Q1 初可交付；截至 2026-10-03 我找不到任何開工通知或承包商公告。Baxtel（聚合站）標為 Under Construction、2028，不能單獨採信。</t>
  </si>
  <si>
    <t>計畫 2026 年初（新聞稿）；未證實</t>
  </si>
  <si>
    <t>2028-Q1 初（Ready for Service）</t>
  </si>
  <si>
    <t>Starwood / Doma / Telstra InfraCo 聯合新聞稿（AAP 發布，2025-11-12；Mingtiandi 2025-11-15 報導）</t>
  </si>
  <si>
    <t>明確針對資料中心營運商、超大規模業者、AI 平台與 GPU 運算業者提供 core &amp; shell、powered shell、build-to-suit，屬租戶導向，與台灣客戶最相容。</t>
  </si>
  <si>
    <t>無</t>
  </si>
  <si>
    <t>未公布（新聞稿稱已取得 DA）</t>
  </si>
  <si>
    <t>狀態：新聞稿只說將於 2026 年初開工，Baxtel 稱已在建；地址未公開；42 Sargents Road 的 2020 年 DA 是否相關未證實。
地址備註：未能解決街道地址。新聞稿僅稱位於 Minchinbury、緊鄰 Eastern Creek 資料中心群，土地來自 Telstra InfraCo，並稱 Development Approval 已取得，但未給地址或 DA 編號。我已查：NSW Planning Portal 主要專案清單（50 筆 Data Storage 另加其他類型掃描）、Planning Panels 登錄（Blacktown 335 筆）、NSW ePlanning DA 資料庫（成本 A$10m 以上、2021-06 起），皆無對應項目。唯一相近：Sydney Central City Planning Panel 於 2020-02-28 核准 DA SPP-18-01554（PPS-2019CCI002），地點 42 Sargents Road, Minchinbury，兩層資料中心，CIV A$86.8m，當時土地所有者 Aldi Foods Pty Ltd、申請人 Urbis；是否為同一場址未證實，且 CIV 遠低於 62 MW 規模，可能是另一方案，僅供線索。</t>
  </si>
  <si>
    <t>https://www.planningportal.nsw.gov.au/planning-panel/data-centre</t>
  </si>
  <si>
    <t>https://www.aap.com.au/aapreleases/cision20251112ae20247</t>
  </si>
  <si>
    <t>https://www.mingtiandi.com/real-estate/data-centres/starwood-teams-with-doma-telstra-to-develop-62mw-sydney-data-centre/
https://www.datacenterdynamics.com/en/news/starwood-doma-and-telstra-plan-62mw-data-center-in-sydney/
https://baxtel.com/data-center/starwood-doma-minchinbury</t>
  </si>
  <si>
    <t>https://www.aap.com.au/aapreleases/cision20251112ae20247
https://www.mingtiandi.com/real-estate/data-centres/starwood-teams-with-doma-telstra-to-develop-62mw-sydney-data-centre/
https://www.planningportal.nsw.gov.au/planning-panel/data-centre
https://baxtel.com/data-center/starwood-doma-minchinbury</t>
  </si>
  <si>
    <t>NSW-A</t>
  </si>
  <si>
    <t>NSW-010</t>
  </si>
  <si>
    <t>Stockland / EdgeConneX SYD1（MPark）— 1-5 Khartoum Road Data Centre（Talavera Road DC；SSD-63235720）</t>
  </si>
  <si>
    <t>Stockland–EdgeConneX 50:50 合資（EdgeConneX 營運）</t>
  </si>
  <si>
    <t>Stockland Development Pty Ltd（SSD 申請人）</t>
  </si>
  <si>
    <t>1-5 Khartoum Road, Macquarie Park NSW 2113</t>
  </si>
  <si>
    <t>DPHI 評估報告（2026 年）：最大電力 76.4 MW（IT load 51.4 MW）；24 個 data halls 在六層（Portal 稱五層）；GFA 19,434 m2；高 45 m；28×3 MW 發電機；EDC A$718,259,656；施工 250 人、營運 50 人。Portal 標題的「35 MW、五層」是 SEARs 階段的舊描述。</t>
  </si>
  <si>
    <t>2026-06-11</t>
  </si>
  <si>
    <t>核准 2026-03-11（評估報告 2026-06-11 上傳）；Portal 無後審文件。W.Media（2026-03-11）：「施工時間尚未確認」；Stockland CEO（2026-03）稱真正花錢的建造「還有一段時間」。</t>
  </si>
  <si>
    <t>未定</t>
  </si>
  <si>
    <t>評估報告：施工 33 個月（拆除 3 + 土方 3 + 施工與試運轉 27 個月）。Baxtel（聚合站）寫 2029。</t>
  </si>
  <si>
    <t>DPHI SSD Assessment Report；Baxtel（僅線索）</t>
  </si>
  <si>
    <t>合資明言目標客戶為超大規模雲端與 AI；尚無租戶。風險：Baxtel 稱鄰近 MPark Stage 1 租給 AWS，且 Stockland 的雪梨據點可能優先服務 AWS（見 Davis Road 更正）。</t>
  </si>
  <si>
    <t>SSD-63235720（核准 2026-03-11）；Council concept DA LDA2022/0176（已退回議會）</t>
  </si>
  <si>
    <t>先前資料寫 35 MW、五層、推測為 EdgeConneX MPark Stage 2；核准文件為 76.4 MW（IT 51.4 MW）、24 data halls，更正。申請人確為 Stockland，與 EdgeConneX 的關聯依 Baxtel（聚合站）
地址備註：基地 10,015 m2（原多層停車場），臨 Talavera Road 與 Murrell Street；Stockland MPark Stage 2；南側緊鄰同申請人的 Building H。土地原屬 Johnson &amp; Johnson（Urban Developer）。</t>
  </si>
  <si>
    <t>https://www.planningportal.nsw.gov.au/major-projects/projects/1-5-khartoum-road-data-centre
https://majorprojects.planningportal.nsw.gov.au/prweb/PRRestService/mp/01/getContent?AttachRef=SSD-63235720%2120260611T061649.742+GMT
https://www.planningportal.nsw.gov.au/planning-panel/1-5-khartoum-road-concept-da</t>
  </si>
  <si>
    <t>https://w.media/?p=38408
https://theurbandeveloper.com/articles/stockland-data-centre-macquarie-park-mpark
https://baxtel.com/data-center/edgeconnex-syd1-mpark
https://w.media/stockland-finalises-edgeconnex-data-centre-jv-as-ceo-plots-more-investment/</t>
  </si>
  <si>
    <t>https://www.planningportal.nsw.gov.au/major-projects/projects/1-5-khartoum-road-data-centre
https://majorprojects.planningportal.nsw.gov.au/prweb/PRRestService/mp/01/getContent?AttachRef=SSD-63235720%2120260611T061649.742+GMT
https://w.media/?p=38408
https://theurbandeveloper.com/articles/stockland-data-centre-macquarie-park-mpark
https://baxtel.com/data-center/edgeconnex-syd1-mpark
https://w.media/stockland-finalises-edgeconnex-data-centre-jv-as-ceo-plots-more-investment/</t>
  </si>
  <si>
    <t>NSW-011</t>
  </si>
  <si>
    <t>DigiCo SYD1 Data Centre Expansion, Ultimo（SSD-69637456）</t>
  </si>
  <si>
    <t>DigiCo（DigiCo REIT / HDI SYD1 Property Holdings Limited）</t>
  </si>
  <si>
    <t>HDI SYD1 Property Holdings Limited（申請人）</t>
  </si>
  <si>
    <t>390-422 Harris Street and 273 Pyrmont Street, Ultimo NSW 2007</t>
  </si>
  <si>
    <t>Ultimo</t>
  </si>
  <si>
    <t>2007</t>
  </si>
  <si>
    <t>City of Sydney</t>
  </si>
  <si>
    <t>本 SSD 為增量：總用電由原有提高 47.5 MW 至 120 MW（IT load 88 MW）；加蓋兩層、高度增至 54.4 m、GFA 41,785 m2。EDC A$605.6m；施工 80 人、營運 45 人。DigiCo FY26（先前資料）：首批 20 MW 升級已完成（15 MW 至 2026-05），再有 LOI 52 MW，至 FY28 底 88 MW；未揭露可租/已租比例。</t>
  </si>
  <si>
    <t>NSW 規劃入口 2026-09-08 上傳「Condition A9a - Notice to Commence」，通知預定 2026-10-07 開工；截至 2026-10-03 尚未動工。先前已完成的 20 MW 屬較早階段。</t>
  </si>
  <si>
    <t>2026-10-07（預定）</t>
  </si>
  <si>
    <t>評估報告：施工期 21 個月（含 6 個月招標、3 個月進場、委任調試 7 個月）→ 約 2028-07；DigiCo：88 MW 於 FY28 底（2028-06）。</t>
  </si>
  <si>
    <t>DPHI SSD Assessment Report（2025-12-23）；DigiCo FY26 業績（透過 先前）</t>
  </si>
  <si>
    <t>DigiCo 為上市的託管營運商，新增容量對外出租；但 LOI 已覆蓋 52 MW，且這是現有營運館的擴建，需向 DigiCo 確認剩餘未簽約容量。</t>
  </si>
  <si>
    <t>未揭露（LOI 52 MW，對象未公布）</t>
  </si>
  <si>
    <t>SSD-69637456（核准 2025-12-23）；Mod 1 審查中（Prepare Mod Report）</t>
  </si>
  <si>
    <t>先前 以「Notice to Commence 已上傳」視為施工證據；原文實為「預定 2026-10-07 開工」的事前通知，故非已開工。W.Media（2026-05-06）：首 15 MW 已完成、餘 5 MW 2026 年中、再 10 MW 2027；無重大衝突；入口網站座標僅三位小數。
地址備註：評估報告寫「390-422 Harris Street」，Portal 地址欄寫「392-422 Harris Street」；現有 DigiCo SYD1（前 Global Switch Sydney），基地 1.1 公頃，位於 Darling Harbour 區。</t>
  </si>
  <si>
    <t>https://www.planningportal.nsw.gov.au/major-projects/projects/digico-syd1-data-centre-expansion
https://majorprojects.planningportal.nsw.gov.au/prweb/PRRestService/mp/01/getContent?AttachRef=SSD-69637456%2120251223T231353.781+GMT
https://majorprojects.planningportal.nsw.gov.au/prweb/PRRestService/mp/01/getContent?AttachRef=SSD-69637456-PA-4%2120260908T051808.581+GMT
https://www.planningportal.nsw.gov.au/major-projects/projects/digico-syd1-dc-mod-1-minor-design-refinements</t>
  </si>
  <si>
    <t>https://w.media/digico-to-sell-us-assets-as-it-pivots-capital-to-sydney-growth/
https://baxtel.com/data-center/digico-sydney-syd1-west</t>
  </si>
  <si>
    <t>https://www.planningportal.nsw.gov.au/major-projects/projects/digico-syd1-data-centre-expansion
https://majorprojects.planningportal.nsw.gov.au/prweb/PRRestService/mp/01/getContent?AttachRef=SSD-69637456%2120251223T231353.781+GMT
https://majorprojects.planningportal.nsw.gov.au/prweb/PRRestService/mp/01/getContent?AttachRef=SSD-69637456-PA-4%2120260908T051808.581+GMT
https://w.media/digico-to-sell-us-assets-as-it-pivots-capital-to-sydney-growth/</t>
  </si>
  <si>
    <t>SA-001</t>
  </si>
  <si>
    <t>DigiCo ADL1（Edinburgh Parks）棕地擴建 15 MW — 即 DigiCo FY26 所稱的 Adelaide brownfield project</t>
  </si>
  <si>
    <t>DigiCo Infrastructure REIT（ASX: DGT）；前身 iseek / YourDC</t>
  </si>
  <si>
    <t>DigiCo Infrastructure REIT（HMC Capital 管理；2024-12-17 以約 A$400m 完成收購 iseek）</t>
  </si>
  <si>
    <t>23-27 Woomera Avenue, Edinburgh SA 5111</t>
  </si>
  <si>
    <t>Edinburgh</t>
  </si>
  <si>
    <t>5111</t>
  </si>
  <si>
    <t>City of Salisbury</t>
  </si>
  <si>
    <t>15 MW 是新增 IT 容量，不是場址總量。證據鏈：2024-11-11 DigiCo Platform Update 列 ADL1 擴建 8 MW；2025-08-18 FY25 簡報仍為 additional 8MW；2026-02-20 HY26 簡報上調為 15MW（目標 10-12% yield on cost）；2026-08-21 FY26 簡報字面寫 additional 15MW of IT Capacity (up from 8MW)，其澳洲計費容量橋接圖為 41 + 52（SYD1 LOI）+ 15（ADL1）= 108 MW，可證 15 MW 為增量。ADL1 現有裝機容量未揭露；iseek 全集團（7 座，QLD/SA/NSW）在 2024-11 為 installed IT 6 MW、contracted 3 MW（52%），所以 ADL1 現有可租餘量不大。設計等級：既有 Tier III、擴建 Tier IV。</t>
  </si>
  <si>
    <t>新增 15 MW IT 尚待基石客戶簽約，沒有核准或動工證據；目標 FY28 底前開始計費。</t>
  </si>
  <si>
    <t>2026-08-21</t>
  </si>
  <si>
    <t>尚無動工證據，status 為最接近的分類（實際是已公告、待基石客戶簽約的擴建）。時間線：2024-11-11 Platform Update 列為 Design planning underway；2026-02-20 HY26 簡報稱 Commencements of ADL1 and BNE3 developments subject to cornerstone customer and capital partnering；2026-08-21 FY26 簡報稱專案處於 advanced customer discussions，簡報同頁預估 FY27-FY28 資本支出約 A$1.2bn（橋接圖涵蓋 SYD1 新增 52 MW 與 ADL1 15 MW，未單獨列出 ADL1 金額）。FY26 財報附註：2026-06-30 已簽約資本支出 A$121.1m（上年同期 A$5.7m），包含 SYD1 與 iseek 資產的工程，未指明是否含 ADL1。未找到 DA、建築許可或開工公告（PlanSA 被 Cloudflare 擋下，無法查詢）。</t>
  </si>
  <si>
    <t>未開工（至 2026-08-21 仍待基石客戶與資本夥伴）；DigiCo 規劃 FY27-FY28（2026-07 至 2028-06）分階段交付</t>
  </si>
  <si>
    <t>2028-06（FY28 年底前上線並計費；分階段，未公布各期 MW）</t>
  </si>
  <si>
    <t>營運商：DigiCo FY26 Results Presentation（2026-08-21；橋接圖標註 Targeted to be online and billing by the end of FY28，依圖面位置推定涵蓋 SYD1 新增與 ADL1）；媒體：Tech Partner（2026-08，稱 ADL1 15MW 擴建 delivered in phases across FY27 and FY28）</t>
  </si>
  <si>
    <t>DigiCo（前 iseek / YourDC）經營第三方 colocation；HY26 簡報稱專案 to support Government, Hyperscale and Co-location workloads，空間可滿足 a wide range of densities and security requirements。DigiCo 明示專案取決於 cornerstone customer，對需要 5 MW 以上的台灣租戶是可直接洽談的切入點，但 advanced customer discussions 代表窗口可能很短。</t>
  </si>
  <si>
    <t>擴建部分未揭露（正與基石客戶洽談）。ADL1/iseek 既有客戶涵蓋政府、hyperscale 與企業（iseek 全集團超過 500 家客戶，2024-11）；ADL1 原規劃 FY26 Q2 取得 HCF Certified Strategic（FY25 簡報），是否達成未查證。</t>
  </si>
  <si>
    <t>(1) 街號：OSM 23-27、DatacenterMap 23、Baxtel 27 Woomera。(2) 容量：Baxtel 與 RenewMap（DC1 Edinburgh Parks Data Centre）把 ADL1 列為 8 MW 營運中，但 DigiCo 文件顯示 8 MW 是 2024-11 至 2025-08 的擴建規模（現已上調為 15 MW），現有裝機未揭露，推測聚合網站誤植。(3) FY26 簡報字面 additional 15MW (up from 8MW) 容易被誤讀為場址總量，橋接圖 41+52+15=108 證明 15 MW 為增量。(4) 無核准或動工證據，與 status 欄位的 operating_with_spare 並不完全相符，請主管決定是否降級為 watch-list；(1) 門牌 23 與 27 Woomera Avenue 不一。(2) 8 MW 的意義不一：RenewMap 與 Baxtel 把 DC1 Edinburgh Parks / ADL1 列為 8 MW 營運中，SA-A 認為是把擴建規模誤植為現有容量；DatacenterMap 標題寫 15 MW。(3) 沒有任何規劃許可資料可證明擴建已核准。
地址備註：ADL1 位於 Edinburgh Parks 工業區（Adelaide 北部）。街號各源不同：OSM 建物標註 23-27 Woomera Avenue；DatacenterMap（僅搜尋摘要）23 Woomera Avenue</t>
  </si>
  <si>
    <t>https://www.defencesa.com/industry/industry-directory/yourdc-pty-ltd</t>
  </si>
  <si>
    <t>https://investorpa.com/announcement-pdf/20260821/330767.pdf
https://www.hmccapital.com.au/investment-strategies/digital-infrastructure/digico-infrastructure-reit/financial-reports-presentations/dgt-fy26-results-presentation/
https://www.hmccapital.com.au/investment-strategies/digital-infrastructure/digico-infrastructure-reit/financial-reports-presentations/hy26-results-presentation/
https://www.hmccapital.com.au/investment-strategies/digital-infrastructure/digico-infrastructure-reit/financial-reports-presentations/dgt-fy25-results-presentation/
https://www.hmccapital.com.au/investment-strategies/digital-infrastructure/digico-infrastructure-reit/financial-reports-presentations/digico-platform-update/
https://www.hmccapital.com.au/investment-strategies/digital-infrastructure/digico-infrastructure-reit/financial-reports-presentations/dgt-appendix-4e-and-fy26-financial-report/
https://www.digi-co.com.au/location/adelaide-adl1/
https://announcements.asx.com.au/asxpdf/20260821/pdf/07313trvmvdpsb.pdf
https://announcements.asx.com.au/asxpdf/20260821/pdf/07313ph24n944h.pdf</t>
  </si>
  <si>
    <t>https://www.techpartner.news/news/digico-posts-positive-fy26-results-shakes-up-leadership-team-628362
https://www.fool.com.au/2026/08/21/digico-infrastructure-reit-posts-fy26-earnings-beat-outlines-expansion-plans/
https://w.media/hmcs-acquisition-of-iseek-to-seed-its-global-digico-platform-strategy/
https://baxtel.com/data-center/digico-adelaide-adl1
https://www.datacentermap.com/australia/adelaide/yourdc-edinburgh/specs
https://baxtel.com/sites/digico-adelaide-adl1
https://www.datacentermap.com/australia/adelaide/yourdc-edinburgh/
https://www.datacenters.com/locations/australia/south-australia/adelaide</t>
  </si>
  <si>
    <t>https://investorpa.com/announcement-pdf/20260821/330767.pdf
https://www.hmccapital.com.au/investment-strategies/digital-infrastructure/digico-infrastructure-reit/financial-reports-presentations/
https://www.hmccapital.com.au/investment-strategies/digital-infrastructure/digico-infrastructure-reit/financial-reports-presentations/hy26-results-presentation/
https://www.hmccapital.com.au/investment-strategies/digital-infrastructure/digico-infrastructure-reit/financial-reports-presentations/dgt-fy25-results-presentation/
https://www.hmccapital.com.au/investment-strategies/digital-infrastructure/digico-infrastructure-reit/financial-reports-presentations/digico-platform-update/
https://www.hmccapital.com.au/investment-strategies/digital-infrastructure/digico-infrastructure-reit/financial-reports-presentations/dgt-appendix-4e-and-fy26-financial-report/
https://www.hmccapital.com.au/investment-strategies/digital-infrastructure/digico-infrastructure-reit/financial-reports-presentations/dgt-annual-report-2025/
https://announcements.asx.com.au/asxpdf/20260220/pdf/06wj5yyhn754y6.pdf
https://www.techpartner.news/news/digico-posts-positive-fy26-results-shakes-up-leadership-team-628362
https://www.fool.com.au/2026/08/21/digico-infrastructure-reit-posts-fy26-earnings-beat-outlines-expansion-plans/
https://baxtel.com/data-center/digico-adelaide-adl1
https://baxtel.com/data-centers/digico-infrastructure-reit
https://w.media/hmcs-acquisition-of-iseek-to-seed-its-global-digico-platform-strategy/
https://nominatim.openstreetmap.org/reverse?lat=-34.7404086&amp;lon=138.6440232&amp;format=json
https://geo.abs.gov.au/arcgis/rest/services/ASGS2021/LGA/MapServer/0/query
https://asx.api.markitdigital.com/asx-research/1.0/companies/dgt/announcements
https://itbrief.com.au/story/digico-posts-strong-fy25-results-with-aud-99m-ebitda-gains-key-certification
https://baxtel.com/news/digico-infrastructure-reit-signs-14mw-of-data-center-deals
https://w.media/iseek-acquires-yourdc-expands-australian-footprint/
https://announcements.asx.com.au/asxpdf/20260821/pdf/07313trvmvdpsb.pdf
https://announcements.asx.com.au/asxpdf/20260821/pdf/07313ph24n944h.pdf
https://announcements.asx.com.au/asxpdf/20260821/pdf/073136jvdkgcx0.pdf
https://baxtel.com/sites/digico-adelaide-adl1
https://baxtel.com/data-center/adelaide
https://www.datacentermap.com/australia/adelaide/yourdc-edinburgh/
https://www.datacenters.com/locations/australia/south-australia/adelaide</t>
  </si>
  <si>
    <t>SA-A、SA-B</t>
  </si>
  <si>
    <t>NT-001</t>
  </si>
  <si>
    <t>Project Ares（Energy North，Murranji Station 離網 1 GW 超大規模 AI 資料中心園區）</t>
  </si>
  <si>
    <t>Energy North Pty Ltd（總部新加坡）</t>
  </si>
  <si>
    <t>Energy North 由 Raggiana Global 持有（CEO／創辦人 Scott Criddle，前 Decmil CEO）；土地為 Murranji Station（約 447,500 ha 畜牧場，永久牧場租約；DCD 稱 2025-11 由 Viv Oldfield 以約 A$44m 購入）；同址另規劃 Project Sol（綠氫／綠氨，另行環評）</t>
  </si>
  <si>
    <t>Murranji Station（Elliott 西北約 52 公里），Elliott NT 0862；NT EPA 轉介表名義地址 18698A Stuart Highway, Daly Waters NT 0852</t>
  </si>
  <si>
    <t>Elliott</t>
  </si>
  <si>
    <t>0862</t>
  </si>
  <si>
    <t>Barkly Region（轄區議會未核實）</t>
  </si>
  <si>
    <t>EPBC 2026/10560 轉介書：總 IT 容量 1 GW，分兩期，Phase 1 約 500 MW IT、Phase 2 補足餘量；配套太陽能約 3,000 MWp、BESS 約 16 GWh、燃氣約 1,038 MW（可轉氫），完全離網、Tier III。DCD（2026-07-01）：首期投資約 A$11.9bn（資金來源不明）；Energy North 稱長期可擴至 5 GW 以上。</t>
  </si>
  <si>
    <t>離網燃氣、位置偏遠（達爾文以南約 683 公里）、尚無租戶與融資；2028 年前不應視為可租。</t>
  </si>
  <si>
    <t>2026-10-03</t>
  </si>
  <si>
    <t>尚未動工。提交證據：(1) EPBC 轉介 2026/10560（RenewEconomy 2026-07-01 稱 2026-06 提交；公眾意見期至 2026-07-13；EPBC 入口網站 2026-10-03 讀取時狀態為 Awaiting additional information）；(2) 轉介書載明同時依 NT《Environment Protection Act 2019》以『proponent-initiated EIS』提出，NT EPA 受理意見至 2026-08-20，NT EPA 網站已有『Notice of Decision EP2026/052 Project Ares』與 draft SOR 的 PDF（被 Cloudflare 擋住，未能開啟，決定內容不明）；(3) 已獲聯邦 Major Project Status（Energy North 說明這不是批准）。Energy North 稱 FEL-2／Pre-FEED 完成、邁向 FEED，FID 待最終批准。</t>
  </si>
  <si>
    <t>未開工（FID 未決；Baxtel 推測 2027 年中，聚合資料）</t>
  </si>
  <si>
    <t>首期供電目標 2028 年中（Energy North FAQ，視批准與 FID）；專案頁稱 FID 後 12-18 個月；施工約 3 年分階段至全面完工</t>
  </si>
  <si>
    <t>Energy North 官網 FAQ／專案頁（營運商自述，未標日期）；Baxtel（聚合，低權重）</t>
  </si>
  <si>
    <t>Energy North 是開發商而非終端使用者；官網稱專案為滿足『global hyperscale customers』而設計，EPBC 轉介書的營運人力含『data centre tenant operations』，表示規劃由承租客戶進駐。目前沒有任何簽約客戶（RenewEconomy：客戶處於早期洽談），租賃模式（colocation／wholesale／build-to-suit）營運商文件未明說；第三方 ecosistemastartup 稱採 colocation，未被營運商文件證實。風險：距城市極遠（達爾文以南約 683 km）、離網且以燃氣為主要早期電源（燃氣供應的商業安排尚未敲定）、無公布融資、環評與聯邦資料中心再生能源政策未定、環保團體強烈反對。</t>
  </si>
  <si>
    <t>無（未公開）</t>
  </si>
  <si>
    <t>EPBC 2026/10560；NT EPA EP2026/052</t>
  </si>
  <si>
    <t>(1) 距離：DCD 與 Baxtel 稱 Elliott 西北約 50 km，RenewEconomy 稱約 52 km；(2) 燃氣容量：EPBC 約 1,038 MW，DCD 稱 900 MW 至 1.1 GW；(3) 時程：FAQ 稱首電 2028 年中，專案頁與 RenewEconomy 稱 FID 後 12-18 個月，Baxtel 稱 2027 年中動工、2028 年啟用、2031 年前擴建；(4) 面積：DCD 稱牧場 447,500 ha，EPBC 專案範圍 186,000 ha，擾動範圍 19,150 ha；(5) 職位：EPBC 稱營運人力 200-300 FTE（Phase 1）至 350-500 FTE（全規模），Climate Council 引述 200-500，皆為營運商自述；（1）轉介表摘要稱『單一整合建置、交付完整 1 GW IT』，但規格表又拆為 Phase 1 500 MW IT + Phase 2 500 MW IT；摘要另寫 'Phase 1 delivers 500 megawatts (MW) of firm power alongside the full 1 GW IT campus'，措辭不一致，故 first_phase_mw 取規格表的 500。（2）官網寫首次供電在 FID 後 12–18 個月，轉介報告寫 FID 2027-07-31 後約 11 個月（2028-06-28）首次供電。（3）官網寫 '5 GW+' 長期潛力，政府文件僅 1 GW
地址備註：專案區約 186,000 公頃，位於 Murranji Station 內，NT EPA 通知書稱在 Elliott 西北約 52 公里、Daly Waters 西南約 100 公里（達爾文以南約 683 公里）。沒有街道地址，也沒有可靠座標；地圖上的點釘在 Elliott 鎮，僅供方向參考，實際位置差約 50 公里。</t>
  </si>
  <si>
    <t>https://epbcpublicportal.environment.gov.au/all-referrals/project-referral-summary/?id=f4f8aae0-956b-f111-ab0b-000d3aca9bcb
https://ntepa.nt.gov.au/__data/assets/pdf_file/0003/1622280/notice-of-decision-ep2026-052-project-ares.pdf
https://ntepa.nt.gov.au/__data/assets/pdf_file/0019/1622107/project-ares-draft-sor.pdf
https://ntepa.nt.gov.au/your-business/public-registers/environmental-impact-assessments-register/assessments-in-progress-register/project-ares
https://ntepa.nt.gov.au/__data/assets/pdf_file/0014/1622102/referral-form.pdf
https://ntepa.nt.gov.au/__data/assets/pdf_file/0015/1622103/referral-report.pdf
https://ntepa.nt.gov.au/news/2026/public-comment-is-sought-on-new-referral-project-ares
https://ntepa.nt.gov.au/your-business/public-registers/environmental-impact-assessments-register
https://territorycoordinator.nt.gov.au/news-and-insights/beetaloo-digital-advances-plans-for-weddell-data-centre</t>
  </si>
  <si>
    <t>https://energy-north.com/projects/project-ares/
https://energy-north.com/project-ares-your-questions-answered/
https://energy-north.com/
https://www.energynorth.com.au</t>
  </si>
  <si>
    <t>https://www.datacenterdynamics.com/en/news/gigawatt-scale-behind-the-meter-data-center-campus-proposed-in-australias-northern-territories/
https://reneweconomy.com.au/plan-to-power-off-grid-data-centre-with-solar-gas-and-a-16-gigawatt-hour-battery-seek-federal-green-tick/
https://www.climatecouncil.org.au/resources/six-reasons-proposed-project-ares-data-centre-big-alarm-bells/
https://ntindependent.com.au/opinion-behind-the-meter-the-unanswered-questions-behind-the-barklys-ai-data-centre/
https://altenergy.com.au/newsandviews/show/168/rocky-path-ahead-for-data-centre-regulation
https://www.energy-storage.news/energy-north-submits-1gw-off-grid-hyperscale-data-centre-with-16gwh-of-battery-storage-to-australias-epbc-act/
https://baxtel.com/data-center/energy-north-project-ares
https://esdnews.com.au/northern-territory-commits-land-to-gas-backed-data-centre/
https://ntindependent.com.au/nt-government-backs-proposed-2gw-data-centre-at-weddell/</t>
  </si>
  <si>
    <t>https://epbcpublicportal.environment.gov.au/all-referrals/project-referral-summary/?id=f4f8aae0-956b-f111-ab0b-000d3aca9bcb
https://energy-north.com/
https://energy-north.com/projects/project-ares/
https://energy-north.com/project-ares-your-questions-answered/
https://www.datacenterdynamics.com/en/news/gigawatt-scale-behind-the-meter-data-center-campus-proposed-in-australias-northern-territories/
https://reneweconomy.com.au/plan-to-power-off-grid-data-centre-with-solar-gas-and-a-16-gigawatt-hour-battery-seek-federal-green-tick/
https://www.climatecouncil.org.au/resources/six-reasons-proposed-project-ares-data-centre-big-alarm-bells/
https://ntindependent.com.au/opinion-behind-the-meter-the-unanswered-questions-behind-the-barklys-ai-data-centre/
https://altenergy.com.au/newsandviews/show/168/rocky-path-ahead-for-data-centre-regulation
https://ecosistemastartup.com/?p=93254
https://baxtel.com/data-center/energy-north-project-ares
https://nominatim.openstreetmap.org/search（OSM 地理編碼：Murranji、Elliott）
https://ntepa.nt.gov.au/your-business/public-registers/environmental-impact-assessments-register/assessments-in-progress-register/project-ares
https://ntepa.nt.gov.au/__data/assets/pdf_file/0003/1622280/notice-of-decision-ep2026-052-project-ares.pdf
https://ntepa.nt.gov.au/__data/assets/pdf_file/0014/1622102/referral-form.pdf
https://ntepa.nt.gov.au/__data/assets/pdf_file/0015/1622103/referral-report.pdf
https://ntepa.nt.gov.au/news/2026/public-comment-is-sought-on-new-referral-project-ares
https://ntepa.nt.gov.au/your-business/public-registers/environmental-impact-assessments-register
https://territorycoordinator.nt.gov.au/news-and-insights/beetaloo-digital-advances-plans-for-weddell-data-centre
https://www.energynorth.com.au
https://esdnews.com.au/northern-territory-commits-land-to-gas-backed-data-centre/
https://ntindependent.com.au/nt-government-backs-proposed-2gw-data-centre-at-weddell/</t>
  </si>
  <si>
    <t>NT-B、NT-A</t>
  </si>
  <si>
    <t>SA-002</t>
  </si>
  <si>
    <t>IREN Bundey Data Centre Campus（Bundey 資料中心園區，南澳 Mid North）</t>
  </si>
  <si>
    <t>IREN Limited（申請實體 TAS 1 Holdings Pty Ltd，ABN 23 652 889 579）</t>
  </si>
  <si>
    <t>IREN Limited（Nasdaq: IREN）100% 持有 TAS 1；土地由地主持有，TAS 1 持有購買選擇權（CT 5915/155）；ElectraNet 持有 Bundey 變電站（CT 6270/132）；EPBC 轉介書由顧問 JBS&amp;G 代為提交</t>
  </si>
  <si>
    <t>Lot 69 Bundey Church Road, Bundey SA 5320</t>
  </si>
  <si>
    <t>Bundey</t>
  </si>
  <si>
    <t>5320</t>
  </si>
  <si>
    <t>Regional Council of Goyder</t>
  </si>
  <si>
    <t>EPBC 轉介書：800 MW 資料中心，三個資料大廳各最高 200 MW IT，三座一次變電站（132/33 kV）加一座 330/132 kV 大宗變電站。RenewEconomy（2026-08-24）換算為 800 MW 併網負載、約 550 MW IT。IREN 與 ElectraNet 的輸電連接協議含 4 個 330 kV 饋線出口，稱可支撐最高 800 MW 且不需電網升級（IREN 新聞稿 2026-06-03/04）。800 MW 是併網或總負載口徑，不是可出租 IT MW；各期 MW 未公布。</t>
  </si>
  <si>
    <t>出租性待確認：IREN 在 EPBC 轉介書自述為 vertically integrated AI cloud provider，官網解決方案目前只列 AI Cloud（GPU 雲），未見對外批發或託管（colocation）招租說明；新聞稿稱服務全球與區域 AI 需求及南澳自身算力需求。因此對要租 5 MW 以上機房電力的客戶，較可能只能購買 GPU 雲容量而非租用機房，需直接向 IREN 確認是否提供批發大廳或專用容量。SA-A 將此案列為 excluded（captive）；我保留為 planned_filed 並標 uncertain，因為這是南澳唯一正式送件的 5 MW 以上案件，由主管裁決。</t>
  </si>
  <si>
    <t>2026-07-30</t>
  </si>
  <si>
    <t>尚無施工證據。已有的正式文件：(1) 2026-03 向 SA Department of State Development 提出 s131 Crown sponsorship 正式申請並補件，EPBC 轉介書稱 TAS 1 已取得 DSD 的 sponsorship，可走 Crown development 與 essential infrastructure 路徑（PDI Act s131）；(2) 2026-07-30 向聯邦提出 EPBC 轉介（表單 Application Number 03559，估計 2026-11-01 開工）；(3) 2026-06 與 ElectraNet 簽署輸電連接協議。Crown 開發申請（DA）本身尚未公開提出，法定公眾諮詢（由 DHUD 辦理）尚未開始；ABC 2026-06-19 也寫尚未提交 DA。IREN 稱 early works 與採購將與監管核准並行。</t>
  </si>
  <si>
    <t>預計 2026-11-01（EPBC 轉介書的估計開工日，待核准，未實際開工）</t>
  </si>
  <si>
    <t>首期通電自 2028 起；整體施工約 6 至 8 年（分期並行）</t>
  </si>
  <si>
    <t>IREN 新聞稿 2026-06-03/04（2028 起通電）；EPBC 轉介書 2026-07-30（施工 6-8 年）</t>
  </si>
  <si>
    <t>IREN 在 EPBC 轉介書自述為 vertically integrated AI cloud provider，官網解決方案目前只列 AI Cloud（GPU 雲），未見對外批發或託管（colocation）招租說明；新聞稿稱服務全球與區域 AI 需求及南澳自身算力需求。因此對要租 5 MW 以上機房電力的客戶，較可能只能購買 GPU 雲容量而非租用機房，需直接向 IREN 確認是否提供批發大廳或專用容量。SA-A 將此案列為 excluded（captive）；我保留為 planned_filed 並標 uncertain，因為這是南澳唯一正式送件的 5 MW 以上案件，由主管裁決。</t>
  </si>
  <si>
    <t>未公布。IREN 在美國德州場址已與 Microsoft 簽約（US$9.7bn GPU 雲合約，W.Media 報導），那不是 Bundey。</t>
  </si>
  <si>
    <t>EPBC 轉介（表單 Application Number 03559，commencement 2026-07-30；入口網站檔名為 00-2026-10605 Referral.pdf，故推測編號為 EPBC 2026/10605，尚未在入口網站頁面核實）；DSD s131 Crown sponsorship（2026-03 申請、已獲 sponsorship）；Crown DA 編號尚無</t>
  </si>
  <si>
    <t>(1) 申請狀態：ABC 2026-06-19 稱尚未提交 DA， 稱未見州級 s131 紀錄；EPBC 轉介書（政府入口網站文件）明載 s131 Crown sponsorship 申請已於 2026-03 提交且已取得 sponsorship，兩者指不同階段（Crown DA 未提、sponsorship 已獲）。(2) 容量口徑：EPBC 為三廳各最高 200 MW IT（合計可到 600 MW），RenewEconomy 為約 550 MW IT，800 MW 為併網負載。(3) 面積：IREN 官網寫 1,300 英畝（約 526 公頃），EPBC 園區主體 565.2 公頃、全範圍 610.4 公頃。(4) 距 Adelaide：各源 75 km、78 英里、125 km、126 km 不一。(5) 開發階段：IREN 官網標 Planned；Baxtel 曾標 Operational（SA-A 指出有誤）。
地址備註：EPBC 轉介書 2.2.1 的場址地址欄寫「Lot 69 Bundey Church Road Bundey」（Lot 號，非街號）。園區範圍 610.4 公頃：園區主體 565.2 公頃（三筆相連自由地，同一地契 CT 5915/155）加上約 2 km x 250 m、45.3 公頃的輸電線走廊通往 ElectraNet 的 Bundey 變電站（走廊另涉 CT 6300/200、CT 6300/199）。出入口：北側 Bundey Church Road 三處、西側 Sutherlands Road 兩處（均為未鋪面道路）；距 Robertstown 東北約 15 km、距 Adelaide 北北東約 126 km；最近主要道路 Goyder Highway 在北方約 11.5 km；SA Water 供水接點在 Pipeline Road 與 Bower Boundary Road 附近；分區為 Rural Intensive Enterprise Zone。郵遞區號 5320 取自 Wikipedia（引用 Location SA），未以 Australia Post 核對。Bundey 地區中心點約 -33.89, 139.30（Wikipedia），僅供參考，不是場址座標。</t>
  </si>
  <si>
    <t>https://epbcpublicportal.environment.gov.au/_entity/sharepointdocumentlocation/5c72ac54-e89c-f111-b8db-70a8a5564bc0/2ab10dab-d681-4911-b881-cc99413f07b6?file=00-2026-10605+Referral.pdf
https://statedevelopment.sa.gov.au/downloads/data-centre-crown-sponsorship-form</t>
  </si>
  <si>
    <t>https://iren.com/data-centers/bundey
https://www.pv-magazine-australia.com/press-releases/iren-announces-first-australian-data-centre-campus-800-mw-in-south-australia/
https://iren.gcs-web.com/news-releases/news-release-details/iren-announces-first-australian-data-center-campus-800mw-south</t>
  </si>
  <si>
    <t>https://reneweconomy.com.au/australias-biggest-data-centre-to-require-4-substations-2-grid-scale-power-lines-and-lots-of-diesel-backup/
https://w.media/iren-targets-bundey-transmission-hub-for-800mw-australian-data-centre-campus/
https://www.abc.net.au/news/2026-06-19/proposed-data-centre-in-south-australia-dividing-locals/106810776
https://www.geoffbrock.com.au/2026/08/iren-community-drop-in-sessions-bundey-data-centre/
https://www.abc.net.au/news/2026-06-23/sa-push-for-ai-data-centres-in-sa-in-new-strategy/106830536
https://www.afr.com/companies/financial-services/iren-plans-10-billion-south-australian-ai-data-centre-20260603-p603o9</t>
  </si>
  <si>
    <t>https://epbcpublicportal.environment.gov.au/_entity/sharepointdocumentlocation/5c72ac54-e89c-f111-b8db-70a8a5564bc0/2ab10dab-d681-4911-b881-cc99413f07b6?file=00-2026-10605+Referral.pdf
https://statedevelopment.sa.gov.au/downloads/data-centre-crown-sponsorship-form
https://iren.com/data-centers/bundey
https://iren.com/
https://www.pv-magazine-australia.com/press-releases/iren-announces-first-australian-data-centre-campus-800-mw-in-south-australia/
https://reneweconomy.com.au/australias-biggest-data-centre-to-require-4-substations-2-grid-scale-power-lines-and-lots-of-diesel-backup/
https://w.media/iren-targets-bundey-transmission-hub-for-800mw-australian-data-centre-campus/
https://www.abc.net.au/news/2026-06-19/proposed-data-centre-in-south-australia-dividing-locals/106810776
https://www.geoffbrock.com.au/2026/08/iren-community-drop-in-sessions-bundey-data-centre/
https://www.abc.net.au/news/2026-06-23/sa-push-for-ai-data-centres-in-sa-in-new-strategy/106830536
https://en.wikipedia.org/wiki/Bundey,_South_Australia</t>
  </si>
  <si>
    <t>SA-B</t>
  </si>
  <si>
    <t>VIC-009</t>
  </si>
  <si>
    <t>DoverDC SM1B／SM2（South Morang，165 Williamsons Road；DFP 申請 PA2604586）</t>
  </si>
  <si>
    <t>DoverDC（申請人 Dover1 SM2 Pty Ltd）</t>
  </si>
  <si>
    <t>Dover1 SM2 Pty Ltd（Level 12, 468 St Kilda Road, Melbourne）</t>
  </si>
  <si>
    <t>165 Williamsons Road, South Morang VIC 3752</t>
  </si>
  <si>
    <t>DoverDC 官網（經 DCD、W.Media）：SM1B 為三層、200 MW 單棟，約 1.8 ha；兩案（SM1A＋SM1B）合計最多 320 MW。</t>
  </si>
  <si>
    <t>2026-08-13</t>
  </si>
  <si>
    <t>DFP PA2604586：2026-08-13 受理（頁面已讀，無決定）；Whittlesea 議會 2026-08-18 提出關切。</t>
  </si>
  <si>
    <t>未核准（W.Media：預計 2026 年底至 2027 年初動工）</t>
  </si>
  <si>
    <t>2028 年底至 2029 年初（W.Media，兩案）</t>
  </si>
  <si>
    <t>W.Media 2026-08</t>
  </si>
  <si>
    <t>同 。</t>
  </si>
  <si>
    <t>DFP PA2604586（待決）</t>
  </si>
  <si>
    <t>受理日 2026-08-13（DTP 頁）vs 8 月 14 日（DCD 報導）；收件日：先前 記為 2026-08-13，W.Media 記為 2026-08-14。命名：登記冊/申請人用 Dover1 SM2，Dover 官網與 DCD 用 SM1B。DatacenterMap 的郵遞區號誤植為 3752/3082 混用，South Morang 正確為 3752。Whittlesea 市議會 2026-08-18 會議表達對透明度與監管的疑慮（W.Media）
地址備註：毗鄰 South Morang Terminal Station 與 South Morang Substation，約 8.7 ha 地塊。</t>
  </si>
  <si>
    <t>https://www.planning.vic.gov.au/planning-approvals/ministerial-permits-register/ministerial-permits/4b779b5c-ef96-f111-8075-7ced8d33fb5a
https://www.planning.vic.gov.au/planning-approvals/ministerial-permits-register</t>
  </si>
  <si>
    <t>https://www.datacenterdynamics.com/en/news/application-filed-for-200mw-data-center-in-melbourne-australia/
https://w.media/whittlesea-seeks-greater-oversight-as-dover-plans-200mw-victorian-facility/
https://www.datacentermap.com/australia/melbourne/dover-sm1b/</t>
  </si>
  <si>
    <t>https://www.planning.vic.gov.au/planning-approvals/ministerial-permits-register/ministerial-permits/4b779b5c-ef96-f111-8075-7ced8d33fb5a
https://www.datacenterdynamics.com/en/news/application-filed-for-200mw-data-center-in-melbourne-australia/
https://w.media/whittlesea-seeks-greater-oversight-as-dover-plans-200mw-victorian-facility/
https://datacentremoratorium.net/index.php/Resources:Dover_SM2
https://www.datacentermap.com/australia/melbourne/dover-sm1b/
https://nominatim.openstreetmap.org/search?q=165+Williamsons+Road+South+Morang+VIC</t>
  </si>
  <si>
    <t>VIC-B、VIC-A、VIC-C</t>
  </si>
  <si>
    <t>WA-002</t>
  </si>
  <si>
    <t>CDC Hazelmere Campus (proposed), Perth</t>
  </si>
  <si>
    <t>CDC Data Centres（The West Australian 2026-09-18 稱 CDC 約自 2022 年起持有 Bushmead Road 土地）</t>
  </si>
  <si>
    <t>178-196 Bushmead Road, Hazelmere WA 6055</t>
  </si>
  <si>
    <t>Hazelmere</t>
  </si>
  <si>
    <t>6055</t>
  </si>
  <si>
    <t>City of Swan</t>
  </si>
  <si>
    <t>The West Australian（Ryan Johnson，2026-09-18）：CDC 計畫在 Bushmead Road 興建兩棟各 96 MW、四層樓的資料中心，合計 192 MW，並稱比 GreenSquareDC 已撤案的 120 MW 方案多 60% 電力容量。CDC 官網與 2026-09 社區更新僅稱兩棟四層樓，未列 MW。COO 稱分階段興建，投資額暫無。口徑（IT 或電力）未說明。Perth is OK! 引用反對團體稱高度 38 m。</t>
  </si>
  <si>
    <t>2026-10-01</t>
  </si>
  <si>
    <t>尚未施工。Perth is OK!（2026-10-01）：City of Swan CEO Stephen Cain 確認 CDC 的 DA 已提交，但目前暫停、待補充資料後才會公開徵詢意見。CDC 官網與 Hazelmere Community update September 2026（PDF，已讀）時間軸：2026 年提交 DA 並開始場地整備；2027 主體工程與 fit-out；2028 開始營運；2029 全面營運（dates may change）。WA DAP All Current Applications（截至 2026-09-29，已讀）尚無任何資料中心案，與 DA 在議會端暫停的說法相符，無法由政府登記冊獨立證實提交日期。</t>
  </si>
  <si>
    <t>尚未開始（CDC 計畫 2026 年底場地整備、2027 初主體工程）</t>
  </si>
  <si>
    <t>2028 開始營運；2029 全面營運</t>
  </si>
  <si>
    <t>營運商 CDC：Hazelmere Community update September 2026 及 cdc.com/locations/perth/hazelmere（一手，2026-10-03 讀取）</t>
  </si>
  <si>
    <t>同 Maddington：CDC 主要服務政府與關鍵基礎設施客戶（COO，The West Australian 2026-09-18），對台灣民間租戶不一定開放。另有高度社區反對風險：前一案 GreenSquareDC 收到約 1,890 份公眾意見（約 1,829 份反對），2026-05 撤案；Trillion Trees Australia 已公開反對 CDC 案（原生植被、黑鳳頭鸚鵡棲地）。City of Swan 已於 2026-09-09 通過制定資料中心地方規劃政策動議。</t>
  </si>
  <si>
    <t>無公開租戶。</t>
  </si>
  <si>
    <t>City of Swan 收件（編號未公布）；預期由 Metro Outer DAP 決定（GreenSquareDC 前案即走此途徑）。</t>
  </si>
  <si>
    <t>(1) 提交時間：CDC 官網與 2026-09 更新寫 2026 年將提交 DA；The West Australian（2026-09-18）稱兩週內提交；Perth is OK!（2026-10-01）稱已提交但暫停；Echo（2026-09-24）仍稱早期溝通階段。未見政府登記冊佐證。(2) 規模：2x96 MW 僅見於 The West Australian（付費牆，僅讀前段）；CDC 官網無 MW。CDC Perth 頁稱 Perth 完成後 over 200 megawatts，未釐清是否含 Hazelmere。(3) 高度：CDC 稱四層，反對團體稱 38 m；(1) 申請時點：CDC 網頁時程把『Submit development application』放在 2026 年（2026-09），並稱『will soon lodge』；DPLH 清單卻顯示 DAP/26/03103 已於 2026-04-07 收件；City of Swan CEO 稱已提交但暫停。可能是 2026-04 先登記、後續補件／CDC 對外措辭落後，或另有申請人，需向 DAP Secretariat／City of Swan 確認。(2) 容量：192 MW（The West Australian，經 WA-A）、200 MW（RenewMap）、CDC 無官方 MW，三者皆未經 WA-B 驗證。(3) 高度：CDC 稱四層，反對團體稱 38 m（Perth is OK!）。(4) DPLH 清單不顯示申請人，與 CDC 的對應為推定
地址備註：CDC Hazelmere 官網、Echo（2026-09-24）、Perth is OK!（2026-10-01）均載 178-196 Bushmead Road，位於 Hazelmere 工業區；距已撤案的 GreenSquareDC 場址（Stirling Crescent lots 14 and 15）約 2 km。地段編號未公布。另：The West Australian（SQM 專欄，2026-09-22）報導 CDC 以 A$15,326,350 購入 50 Hazelmere Circus, Hazelmere（辦公室加高桁架倉庫），並稱 CDC 在 Hazelmere、Wangara、Maddington 皆持有物業；該地用途未說明，是否與 Bushmead Road 案相鄰不明。</t>
  </si>
  <si>
    <t>https://www.planning.wa.gov.au/docs/default-source/daps-docs-other/current-applications.pdf
https://www.planning.wa.gov.au/docs/default-source/daps-docs-website/current-applications.pdf?sfvrsn=ebbf7a78_310
https://www.planning.wa.gov.au/development-assessment-panels/current-development-assessment-panels-applications-and-information</t>
  </si>
  <si>
    <t>https://cdc.com/locations/perth/hazelmere/
https://cdc.com/media/v2detpiy/cdc-hazelmere-community-update_sep-2026.pdf
https://cdc.com/locations/perth/
https://www.cdc.com/locations/perth/hazelmere/</t>
  </si>
  <si>
    <t>https://perthisok.com/news/new-hazelmere-data-centre-plans-cdc/
https://thewest.com.au/business/cdc-courts-hazelmere-residents-with-192mw-data-centre-after-greensquares-11b-plan-collapsed-c-22889611
https://echonewspaper.com.au/news/community-engagement-begins-for-new-hazelmere-data-centre/
https://echonewspaper.com.au/news/swan-backs-data-centre-policy-push/
https://renewmap.com.au/resources/projects/wa/datacentre/</t>
  </si>
  <si>
    <t>https://cdc.com/locations/perth/hazelmere/
https://cdc.com/media/v2detpiy/cdc-hazelmere-community-update_sep-2026.pdf
https://perthisok.com/news/new-hazelmere-data-centre-plans-cdc/
https://thewest.com.au/business/cdc-courts-hazelmere-residents-with-192mw-data-centre-after-greensquares-11b-plan-collapsed-c-22889611
https://echonewspaper.com.au/news/community-engagement-begins-for-new-hazelmere-data-centre/
https://echonewspaper.com.au/news/swan-backs-data-centre-policy-push/
https://www.planning.wa.gov.au/docs/default-source/daps-docs-other/current-applications.pdf
https://www.planning.wa.gov.au/docs/default-source/daps-docs-website/current-applications.pdf?sfvrsn=ebbf7a78_310
https://www.planning.wa.gov.au/development-assessment-panels/current-development-assessment-panels-applications-and-information
https://www.cdc.com/locations/perth/hazelmere/
https://renewmap.com.au/resources/projects/wa/datacentre/</t>
  </si>
  <si>
    <t>NSW-012</t>
  </si>
  <si>
    <t>Gateway Capital Frederick Street Data Centre, St Leonards / Artarmon（SSD-139545990）</t>
  </si>
  <si>
    <t>Gateway Capital（與 Lendlease 負責建造/營運，W.Media）</t>
  </si>
  <si>
    <t>Gateway Capital Holdings Pty Ltd（Scoping 申請人；2023 年以 A$118.5m 自 Dexus 購入，與 Invesco 合資）</t>
  </si>
  <si>
    <t>12 Frederick Street, St Leonards NSW 2065 (portal lists Artarmon)</t>
  </si>
  <si>
    <t>2065</t>
  </si>
  <si>
    <t>Scoping Report（2026-08）：總電力需求 81 MW；五層、11 個 data halls、GFA 16,634 m2、PUE &lt;1.3、44 台發電機、2 座 33 kV 變電站；W.Media：A$1bn。</t>
  </si>
  <si>
    <t>2026-09-15</t>
  </si>
  <si>
    <t>尚未核准。Scoping 2026-08-06；SEARs 簽發 2026-09-15；Portal 現狀 Prepare EIS。W.Media 稱仍在「中期考慮」階段。</t>
  </si>
  <si>
    <t>Scoping：Stage 1 拆除 2027 Q4</t>
  </si>
  <si>
    <t>Scoping：Stage 2 施工 2028 Q3–2030 Q4</t>
  </si>
  <si>
    <t>Scoping Report（Urbis，2026-08）</t>
  </si>
  <si>
    <t>W.Media：無錨定客戶，屬批發/多租戶模式——是少數仍可談預租的標的，但最早 2030 年底才交付。</t>
  </si>
  <si>
    <t>無（W.Media 2026-08-26）</t>
  </si>
  <si>
    <t>SSD-139545990（Prepare EIS）</t>
  </si>
  <si>
    <t>先前 沒有申請人——現證實為 Gateway Capital；先前資料 只列 Frederick Street, Artarmon（SSD-139545990）而未知 proponent；現確認為 Gateway Capital。申請已提出但業主態度保守（中期考慮），實際動工時程不確定；先前資料清單寫 Artarmon；SEARs 寫 St Leonards（Willoughby LGA）
地址備註：基地 1.82 公頃，原兩棟大型倉庫/室內運動設施；鄰皇家北岸醫院與 Gore Hill 科技園。</t>
  </si>
  <si>
    <t>https://www.planningportal.nsw.gov.au/major-projects/projects/frederick-street-data-centre
https://majorprojects.planningportal.nsw.gov.au/prweb/PRRestService/mp/01/getContent?AttachRef=PDA-137556738%2120260806T061124.974+GMT</t>
  </si>
  <si>
    <t>https://w.media/gateway-considers-81mw-data-centre-at-sydneys-st-leonards/
https://baxtel.com/data-center/gateway-sydney</t>
  </si>
  <si>
    <t>https://www.planningportal.nsw.gov.au/major-projects/projects/frederick-street-data-centre
https://majorprojects.planningportal.nsw.gov.au/prweb/PRRestService/mp/01/getContent?AttachRef=PDA-137556738%2120260806T061124.974+GMT
https://w.media/gateway-considers-81mw-data-centre-at-sydneys-st-leonards/</t>
  </si>
  <si>
    <t>VIC-010</t>
  </si>
  <si>
    <t>Goodman Truganina 資料中心（433 Mount Atkinson Road；聯邦 AIPP 稱 MEL02 Building A；DFP 申請 PA2604503）</t>
  </si>
  <si>
    <t>Goodman（開發，未公布營運商）</t>
  </si>
  <si>
    <t>Goodman Property Services (Aust) Pty Ltd（土地向 ESR 購入，前 Logos）</t>
  </si>
  <si>
    <t>433 Mount Atkinson Road, Truganina VIC 3029</t>
  </si>
  <si>
    <t>Melton City Council（依 DCM wiki）</t>
  </si>
  <si>
    <t>登記冊未載 MW，僅『兩層、三棟資料中心』。聯邦 AIPP 摘要（2026-09-14）：首棟，約 180 MVA，資本支出 A$500m–1bn，園區 36 ha。180 MVA 換算 IT MW 會更低。</t>
  </si>
  <si>
    <t>2026-09-14</t>
  </si>
  <si>
    <t>DFP PA2604503：2026-06-30 受理，登記冊無決定。AIPP 摘要（已讀）：FID 預計 2026-10、長交期設備採購 2026-11 起、2027-04 開工、Phase 1 與 2 於 2029-06 試運轉、預計完工 2030-12-12。</t>
  </si>
  <si>
    <t>2027-04（計畫，AIPP）</t>
  </si>
  <si>
    <t>2029-06（Phase 1 &amp; 2 試運轉）；2030-12-12 全部完工</t>
  </si>
  <si>
    <t>聯邦 AIPP 摘要 2026-09-14（Goodman 提交）</t>
  </si>
  <si>
    <t>Goodman 以出租予超大規模客戶為主，租戶未公布；AIPP 稱將聘 Design &amp; Construct Partner。</t>
  </si>
  <si>
    <t>DFP PA2604503（待決）；AIPP 參考碼 V9Z4B5-C6T4X4</t>
  </si>
  <si>
    <t>AIPP 與 433 Mount Atkinson Road 的對應是推定（其他資料 同樣推定）；先前資料稱 433 Mount Atkinson Road「reported Goodman」——申請人欄確認為 Goodman Property Services。AIPP 的「MEL02」與 STACK 的 MEL02 同名但是不同專案；AIPP 與 PA2604503 的對應為推定。au.goodman.com 回 403，Goodman 官網頁未能開啟；申請日：先前 記為 2026-06-30，DCD/W.Media 稱 July 2026 提交。租賃模式為依 Goodman 慣例推定，非本案原文
地址備註：AIPP 只寫『Truganina，36 ha 工業開發區』，與 433 Mount Atkinson Road 的對應為推定。</t>
  </si>
  <si>
    <t>https://www.planning.vic.gov.au/planning-approvals/ministerial-permits-register/ministerial-permits/fdc8d827-6b74-f111-ab0f-7c1e522a8afb
https://www.industry.gov.au/sites/default/files/aip/2026-09/mel02-building-a-aipp-summary.pdf
https://www.planning.vic.gov.au/planning-approvals/ministerial-permits-register</t>
  </si>
  <si>
    <t>https://au.goodman.com/property-lease-site/MEL02</t>
  </si>
  <si>
    <t>https://www.datacenterdynamics.com/en/news/au11-billion-data-center-project-proposed-outside-melbourne-australia/
https://www.realestatesource.com.au/data-centre-giant-buys-350m-melbourne-site/
https://datacentremoratorium.net/index.php/Resources:Goodman_Truganina
https://w.media/victorias-data-centre-pipeline-grows-with-four-new-melbourne-proposals/</t>
  </si>
  <si>
    <t>https://www.planning.vic.gov.au/planning-approvals/ministerial-permits-register/ministerial-permits/fdc8d827-6b74-f111-ab0f-7c1e522a8afb
https://www.industry.gov.au/sites/default/files/aip/2026-09/mel02-building-a-aipp-summary.pdf
https://www.datacenterdynamics.com/en/news/au11-billion-data-center-project-proposed-outside-melbourne-australia/
https://www.realestatesource.com.au/data-centre-giant-buys-350m-melbourne-site/
https://datacentremoratorium.net/index.php/Resources:Goodman_Truganina
https://w.media/victorias-data-centre-pipeline-grows-with-four-new-melbourne-proposals/
https://nominatim.openstreetmap.org/search?q=433+Mount+Atkinson+Road+Truganina+VIC</t>
  </si>
  <si>
    <t>NSW-013</t>
  </si>
  <si>
    <t>AirTrunk SYD3 — 51 Huntingwood Drive Data Centre（SSD-41589232）</t>
  </si>
  <si>
    <t>AirTrunk（依申請人 EMKC Cubed Management Pty Ltd 與圖檔代碼 ATSYD3 推定；政府文件未直呼 AirTrunk）</t>
  </si>
  <si>
    <t>EMKC Cubed Management Pty Ltd（原 SSD 申請人）；Mod 2 由建商 AW Edwards Pty Ltd 代為申請</t>
  </si>
  <si>
    <t>51 Huntingwood Drive, Huntingwood NSW 2148</t>
  </si>
  <si>
    <t>Huntingwood</t>
  </si>
  <si>
    <t>2148</t>
  </si>
  <si>
    <t>原核准（2023-09-15）：400 MW、七層、10 個 data shells、GFA 122,546 m2、316 台柴油發電機、CIV A$1,074,990,484、施工 1,333 人。Mod 2（2026-08-28 核准）：10 shells 併為 5 shells（A–E，30 個 data halls），GFA 降至 64,346 m2，但申請理由是「提高整體電力容量」（以更高機架密度；MW 數字未在評估報告列出）——400 MW 同意書未改。</t>
  </si>
  <si>
    <t>2026-08-28</t>
  </si>
  <si>
    <t>CEMP 核准 2023-10-17；分階段核准 2023-10-15；「A10/A11 Notice of Commencement – Stage 2 construction works」（AW Edwards 致規劃部，2024-08-22）：Stage 2 於 2024-10-01 開工；Stage 2 管理計畫核准 2024-11-08；ESCP 更新 2026-04-24；Mod 2 核准 2026-08-28。媒體：Bouygues/AW Edwards 取得約 A$1.3bn 後續階段合約（先前資料）。</t>
  </si>
  <si>
    <t>Stage 1：2023-10（CEMP 核准）；Stage 2：2024-10-01（AW Edwards 函）。</t>
  </si>
  <si>
    <t>同意書規定三階段、每階段 24 個月；Stage 2 起於 2024-10-01。未見營運商公布完工日。</t>
  </si>
  <si>
    <t>DPHI SSD Assessment Report（2023-09-15）；AW Edwards 開工通知（2024-08-22）</t>
  </si>
  <si>
    <t>AirTrunk 為批發型超大規模營運商，對第三方出租；但此站規模大、多半由超大規模客戶預租，尚無任何政府文件顯示尚未預租的容量。</t>
  </si>
  <si>
    <t>SSD-41589232（Mod 1 撤回；Mod 2 核准 2026-08-28）</t>
  </si>
  <si>
    <t>先前資料「ATSYD3 檔名＝AirTrunk SYD3」；政府文件只顯示申請人 EMKC Cubed Management Pty Ltd（與 Apollo Place 同一申請人，後者核准函收件人為「Trustee for Airtrunk Lane Cove Trust」），故 AirTrunk 歸屬屬合理推定。Mod 2 報告內部稱該棟為「SYD02 building」，命名與 先前 的 SYD3 不一致；AirTrunk 為申請人屬先前資料依圖檔代號 ATSYD3 推定，入口網站文件未直接顯示公司名；Baxtel 另有 SYD2（營運中）與 Kemps Creek 條目，請勿與 SYD3 混淆
地址備註：Lot 1 DP 857249；位於 Great Western Hwy 與 M4 之間；基地約 9 公頃（原為 Endeavour Energy 辦公室）。</t>
  </si>
  <si>
    <t>https://www.planningportal.nsw.gov.au/major-projects/projects/51-huntingwood-drive-data-centre
https://majorprojects.planningportal.nsw.gov.au/prweb/PRRestService/mp/01/getContent?AttachRef=SSD-41589232%2120230915T074128.135+GMT
https://majorprojects.planningportal.nsw.gov.au/prweb/PRRestService/mp/01/getContent?AttachRef=SSD-41589232-PA-14%2120240822T035712.620+GMT
https://majorprojects.planningportal.nsw.gov.au/prweb/PRRestService/mp/01/getContent?AttachRef=SSD-41589232-MOD-2%2120260828T070329.740+GMT
https://www.planningportal.nsw.gov.au/major-projects/projects/51-huntingwood-drive-data-centre-mod-2-design-updates</t>
  </si>
  <si>
    <t>https://baxtel.com/data-center/airtrunk-syd3-sydney-west</t>
  </si>
  <si>
    <t>VIC-011</t>
  </si>
  <si>
    <t>CDC Laverton Campus（Laverton North，CDC 墨爾本第二園區）</t>
  </si>
  <si>
    <t>CDC Data Centres（自建自營；股東結構本次未查證）</t>
  </si>
  <si>
    <t>20-38 Leakes Road, Laverton North VIC 3026</t>
  </si>
  <si>
    <t>Laverton North</t>
  </si>
  <si>
    <t>CDC 官網墨爾本頁（2026-10-03 讀取）：Laverton 完工後將增加「over 400 MW」，Brooklyn 完工後「over 350 MW」，墨爾本合計 780 MW 以上。2025-02-17 動土新聞稿稱「新的 150 MW 園區」，應為第一階段。Baxtel（聚合器）列 Campus One 150 MW、Campus Two 300 MW。CDC 未說明 MW 是 IT 負載、關鍵負載或耗電量（CDC 在雪梨的 MW 多以 power consumption 表述），基準不明。</t>
  </si>
  <si>
    <t>2026-06-18</t>
  </si>
  <si>
    <t>(1) CDC 新聞稿：2025-02-17 動土，稱已在 Laverton 開工興建 150 MW 園區（cdc.com 已讀）。(2) Wyndham 規劃許可 WYP14790/24（2024-10-02 受理）的後續動作：.07「第三棟資料中心大樓」S72 修改約 2026-02-18 受理（PlanningAlerts 已讀）；.06 為「LA1 Data Centre」增設發電機 plenum（2026-01-16 提出、2026-06-15 核發）；WYP15649/26 土方工程許可（2026-05-01 提出、2026-06-18 核發）——後兩項日期取自 DCM wiki 對 Wyndham 紀錄的整理，未直接開啟 Wyndham 入口網站。(3) CDC 官網墨爾本頁（2026-10-03 讀取）稱 Laverton 園區「currently under construction」。</t>
  </si>
  <si>
    <t>2025-02-17</t>
  </si>
  <si>
    <t>2027（首期；CDC 未公布）</t>
  </si>
  <si>
    <t>Baxtel（聚合器，Laverton 頁列 Expected Completion 2027，已讀）；CDC 官方未公布完工日期</t>
  </si>
  <si>
    <t>CDC 為出租型（批發/超大規模/政府）業者，Laverton 租戶未公布。CDC 與一家美國客戶簽有 555 MW、30 年合約（Infratil，先前資料；涵蓋哪些園區未證實），Laverton 容量可能大量預售；5 MW 租戶須直接詢問 CDC 是否有小型模組。</t>
  </si>
  <si>
    <t>Laverton 未公布（同公司 Brooklyn 園區有 Firmus，客戶為 Meta）</t>
  </si>
  <si>
    <t>Wyndham WYP14790/24（含 .06 / .07 修改）；WYP15649/26</t>
  </si>
  <si>
    <t>容量：150 MW（2025-02 動土稿）vs over 400 MW（CDC 官網 2026-10）vs Baxtel 150+300 MW；建議以 CDC 官網為園區完工規模、150 MW 為第一期。另：Invest Victoria 2026-03 新聞「CDC officially opens its first Melbourne campus」指的是 Brooklyn，不是 Laverton（DJSIR 2026-02-26 稿可佐證）；MW：150（CDC 動土稿）vs 逾 400（CDC 官網，其他代理讀取）
地址備註：街址取自 Wyndham 市議會申請 WYP14790/24（PlanningAlerts 頁面，受理日 2024-10-02，描述為 utility installation (data centre)）與 Baxtel；CDC 新聞稿只稱 Laverton。注意：同區 AusNet 的 Laverton North 輸電工程是服務 114-146 Leakes Road 的另一座資料中心（見 PAC1 紀錄），不要混淆。</t>
  </si>
  <si>
    <t>https://www.planningalerts.org.au/applications/3206534
https://www.planningalerts.org.au/applications/3436259
https://djsir.vic.gov.au/news-and-articles/cdcs-data-centres-fueling-jobs-and-growth-in-the-west</t>
  </si>
  <si>
    <t>https://cdc.com/resources/news/cdc-brings-27bn-groundbreaking-opportunity-to-melbournes-south-west/
https://cdc.com/locations/melbourne/</t>
  </si>
  <si>
    <t>https://baxtel.com/data-center/cdc-laverton-campus
https://datacentremoratorium.net/index.php/Resources:CDC_Laverton_Campus
https://www.datacenterdynamics.com/en/news/australias-cdc-opens-data-center-campus-in-melbourne/</t>
  </si>
  <si>
    <t>https://www.planningalerts.org.au/applications/3206534
https://www.planningalerts.org.au/applications/3436259
https://cdc.com/resources/news/cdc-brings-27bn-groundbreaking-opportunity-to-melbournes-south-west/
https://cdc.com/locations/melbourne/
https://baxtel.com/data-center/cdc-laverton-campus
https://datacentremoratorium.net/index.php/Resources:CDC_Laverton_Campus
https://djsir.vic.gov.au/news-and-articles/cdcs-data-centres-fueling-jobs-and-growth-in-the-west
https://www.datacenterdynamics.com/en/news/australias-cdc-opens-data-center-campus-in-melbourne/</t>
  </si>
  <si>
    <t>VIC-012</t>
  </si>
  <si>
    <t>NEXTDC M3（West Footscray）— Stage 2／Stage 4 施工中（已核准階段）</t>
  </si>
  <si>
    <t>NEXTDC（承建 Kapitol）</t>
  </si>
  <si>
    <t>25 Indwe Street, West Footscray VIC 3012</t>
  </si>
  <si>
    <t>West Footscray</t>
  </si>
  <si>
    <t>Maribyrnong City Council</t>
  </si>
  <si>
    <t>NEXTDC FY26 簡報：M3 已交付 42 MW、另有 165 MW 在建（合計 207 MW）；官網稱規劃 225 MW；RenewMap 的 133 MW 是集團訂單簿數字，不可用。</t>
  </si>
  <si>
    <t>2026-02-25</t>
  </si>
  <si>
    <t>Kapitol 專案頁（2025-07）：M3 Stage 2 與 Stage 4 兩個工地六台塔吊，Stage 2 接近封頂；NEXTDC 1H26 ASX 新聞稿：capex A$1,285m 投入 S3、M3、KL1 等；The Age 2026-03-25：M3 自 2021 年起興建、居民抱怨施工粉塵。</t>
  </si>
  <si>
    <t>園區 2021；Stage 2/4 約 2024–2025</t>
  </si>
  <si>
    <t>未公布（擴建 PA2604231 預計 2027 年底，The Age）</t>
  </si>
  <si>
    <t>NEXTDC／The Age</t>
  </si>
  <si>
    <t>NEXTDC 新容量大量預售（1H26 合約利用率 416.6 MW、計費 119.8 MW）；5 MW 租戶需洽 NEXTDC。</t>
  </si>
  <si>
    <t>Maribyrnong 2021 規劃同意（編號未取得）；擴建見 DFP PA2604231</t>
  </si>
  <si>
    <t>容量口徑：NEXTDC 225 MW（現行總規劃）vs 150 MW（2021 舊稿）vs DCM wiki 320 MW vs RenewMap 133 MW（疑為預售訂單數）；(1) 先前資料 將 PA2403320（63 Sunshine Road, West Footscray；申請人 Contour Consultants）歸為 NEXTDC M3——本次不成立：該許可是 Goldsborough Mort 羊毛倉庫改建，官方文件未提 NEXTDC（見獨立紀錄）；M3 實際 DFP 申請為 PA2604231（NEXTDC Limited）。(2) MW：225（官網）/ 150（舊 masterplan）/ 320（DCM wiki）/ 133（RenewMap=預售訂單）
地址備註：25 Indwe Street 取自 DCM wiki；NEXTDC 擴建申請 PA2604231 列的土地為 1 Paramount Road、39 Indwe Street、11-13 Paramount Road、15 Paramount Road（Tottenham Employment Precinct）。定位時請以 PA2604231 地塊為準交叉比對。</t>
  </si>
  <si>
    <t>https://www.planning.vic.gov.au/planning-approvals/ministerial-permits-register/ministerial-permits/ef7039bf-cd0b-f111-8407-7c1e5262e60a</t>
  </si>
  <si>
    <t>https://www.nextdc.com/news/asx-release-1h26-record-results
https://www.nextdc.com/news/its-all-systems-go-victoria-nextdc-unveils-plans-150mw-hyperscale-campus-melbournes-west
https://www.kapitol.com/insights/project-news/project-update-m3-stage-2-and-4
https://www.nextdc.com/data-centres/m3-melbourne-data-centre</t>
  </si>
  <si>
    <t>https://www.theage.com.au/national/victoria/west-footscray-data-centre-bids-to-double-in-size-amid-nightmare-construction-20260324-p5uags.html
https://www.kapitol.com/insights/project-news/project-update-m3-stage-2-and-4
https://baxtel.com/data-center/nextdc-m3west-footscray
https://datacentremoratorium.net/index.php/Resources:NEXTDC_M3</t>
  </si>
  <si>
    <t>https://www.nextdc.com/news/asx-release-1h26-record-results
https://www.nextdc.com/news/its-all-systems-go-victoria-nextdc-unveils-plans-150mw-hyperscale-campus-melbournes-west
https://www.kapitol.com/insights/project-news/project-update-m3-stage-2-and-4
https://www.theage.com.au/national/victoria/west-footscray-data-centre-bids-to-double-in-size-amid-nightmare-construction-20260324-p5uags.html
https://datacentremoratorium.net/index.php/Resources:NEXTDC_M3
https://www.planning.vic.gov.au/planning-approvals/ministerial-permits-register/ministerial-permits/ef7039bf-cd0b-f111-8407-7c1e5262e60a
https://www.nextdc.com/data-centres/m3-melbourne-data-centre
https://datacentremoratorium.net/index.php/Resources:Data_Centres_in_Greater_Melbourne</t>
  </si>
  <si>
    <t>VIC-013</t>
  </si>
  <si>
    <t>NEXTDC M4（Fishermans Bend／Port Melbourne，127 Todd Road；DFP 許可 PA2504019）</t>
  </si>
  <si>
    <t>NEXTDC Limited（申請人 NEXTDC Limited c/- Urbis）</t>
  </si>
  <si>
    <t>127 Todd Road, Port Melbourne VIC 3207</t>
  </si>
  <si>
    <t>Port Melbourne</t>
  </si>
  <si>
    <t>3207</t>
  </si>
  <si>
    <t>City of Melbourne（Fishermans Bend；責任機關為規劃部長）</t>
  </si>
  <si>
    <t>NEXTDC 2026-01-19 新聞稿：M4 為 162 MW 園區（AI Factory、任務關鍵營運中心、技術卓越中心），直達晶片液冷、機櫃密度逾 1,000 kW；2025-06-12 新聞稿曾稱 up to 150 MW／50,000 m²。總投資 A$2bn，The Age 稱建造成本 A$911m。DTP 官員報告：單棟五層建築、三個主要資料廳組件，GFA 94,987 m²。ABC 引述規劃文件：現場柴油 3.5 ML、鋰電池 900 噸。</t>
  </si>
  <si>
    <t>2026-08-27</t>
  </si>
  <si>
    <t>NEXTDC FY26 簡報（2026-08-27）：M4 early works commenced with 10 MW in progress；DFP 許可 PA2504019 於 2026-01-16 核發。</t>
  </si>
  <si>
    <t>NEXTDC 為 colocation／批發型業者，M4 主打主權 AI 與國防客戶。NEXTDC 全公司合約利用率遠高於計費利用率（1H26：合約 416.6 MW、計費 119.8 MW），新容量多半預售，5 MW 租戶需向 NEXTDC 確認可用性。</t>
  </si>
  <si>
    <t>DFP PA2504019（permit 2026-01-16）</t>
  </si>
  <si>
    <t>容量：150 MW（NEXTDC 2025-06）→ 162 MW（2026-01）；成本：A$911m（The Age，建造）vs A$2bn（NEXTDC，整體投資）；150 MW（DCD）vs 162 MW（Mingtiandi、DCM wiki）。
地址備註：前 Westgate Park 印刷廠（News Corp 報廠，2024 年拆除），毗鄰 Westgate Park 濕地與 West Gate Freeway。</t>
  </si>
  <si>
    <t>https://www.planning.vic.gov.au/planning-approvals/ministerial-permits-register/ministerial-permits/76685df6-baaf-f011-bbd2-6045bdc32df2
https://sftpbspomppprod01.blob.core.windows.net/applicationfiles/76685df6-baaf-f011-bbd2-6045bdc32df2_REDACTED_PA2504019%20Officer%20Report%20-%20Signed%2016-01-26.pdf</t>
  </si>
  <si>
    <t>https://www.nextdc.com/news/m4-technology-campus-approved
https://www.nextdc.com/news/nextdc-announces-2-billion-ai-factory-and-technology-campus-at-fishermans-bend
https://www.nextdc.com/news/asx-release-1h26-record-results
https://www.nextdc.com/data-centres/m3-melbourne-data-centre</t>
  </si>
  <si>
    <t>https://www.theurbandeveloper.com/articles/nextdc-m4-digital-campus-fishermans-bend-approval
https://www.theage.com.au/national/victoria/1b-data-centre-given-planning-tick-in-just-75-days-as-state-gets-cosy-with-big-tech-20260219-p5o3sl.html
https://www.abc.net.au/news/2026-06-09/firefighter-concern-over-data-centres-in-melbourne-west/106762858
https://www.datacenterdynamics.com/en/news/nextdc-receives-development-approval-for-m4-campus-in-melbourne-australia/
https://www.mingtiandi.com/real-estate/data-centres/stockland-seeks-approval-for-250mw-melbourne-data-centre-campus/</t>
  </si>
  <si>
    <t>https://www.planning.vic.gov.au/planning-approvals/ministerial-permits-register/ministerial-permits/76685df6-baaf-f011-bbd2-6045bdc32df2
https://sftpbspomppprod01.blob.core.windows.net/applicationfiles/76685df6-baaf-f011-bbd2-6045bdc32df2_REDACTED_PA2504019%20Officer%20Report%20-%20Signed%2016-01-26.pdf
https://www.nextdc.com/news/m4-technology-campus-approved
https://www.nextdc.com/news/nextdc-announces-2-billion-ai-factory-and-technology-campus-at-fishermans-bend
https://www.nextdc.com/news/asx-release-1h26-record-results
https://www.theurbandeveloper.com/articles/nextdc-m4-digital-campus-fishermans-bend-approval
https://www.theage.com.au/national/victoria/1b-data-centre-given-planning-tick-in-just-75-days-as-state-gets-cosy-with-big-tech-20260219-p5o3sl.html
https://www.abc.net.au/news/2026-06-09/firefighter-concern-over-data-centres-in-melbourne-west/106762858
https://www.datacenterdynamics.com/en/news/nextdc-receives-development-approval-for-m4-campus-in-melbourne-australia/
https://www.mingtiandi.com/real-estate/data-centres/stockland-seeks-approval-for-250mw-melbourne-data-centre-campus/
https://www.nextdc.com/data-centres/m3-melbourne-data-centre</t>
  </si>
  <si>
    <t>VIC-014</t>
  </si>
  <si>
    <t>NEXTDC M2（Tullamarine）— 擴建階段施工中</t>
  </si>
  <si>
    <t>75 Sharps Road and 9 Barrie Road, Tullamarine VIC 3043</t>
  </si>
  <si>
    <t>NEXTDC FY26 簡報：M2 已交付 12 MW、另有 60 MW 在建（合計 72 MW）；官網稱全站 120 MW 以上（長期規劃）。</t>
  </si>
  <si>
    <t>NEXTDC FY26 簡報（2026-08-27）：M2 Melbourne 12 MW delivered with remaining 60 MW in progress。無政府施工文件，施工細節未公開。</t>
  </si>
  <si>
    <t>Kapitol 頁面稱 Stage 6 原定 2025 年完工，但 NEXTDC 於 2025-12-31 仍列 30 MW 推進中，實際日期未公布</t>
  </si>
  <si>
    <t>NEXTDC 為商業託管營運商，但同簡報顯示維州已簽約容量為已建成容量的 261%，新增容量幾乎全數預售，需直接詢問是否有未簽約區塊。</t>
  </si>
  <si>
    <t>Brimbank P589/2016（主許可，多次修訂）；P154/2025（修訂，2025-04-23 受理）</t>
  </si>
  <si>
    <t>M2 規模 60 MW（Kapitol）vs 150 MW（DCM wiki）；進行中 30 MW（NEXTDC）vs 單階段 8 MW（Kapitol）。
地址備註：街址取自 DCM wiki；M2 毗鄰 AirTrunk MEL2（85 Sharps Road）。</t>
  </si>
  <si>
    <t>https://www.nextdc.com/news/asx-release-1h26-record-results
https://www.kapitol.com/our-projects/industrial/nextdc-m2-data-centre-portfolio-2</t>
  </si>
  <si>
    <t>https://www.nextdc.com/news/asx-release-1h26-record-results
https://www.kapitol.com/our-projects/industrial/nextdc-m2-data-centre-portfolio-2
https://records.brimbank.vic.gov.au/ExternalLinkAPI/api/document/?docKey=UHZYRmNFYWVDaUN0clNmekJwVXhMUExwUGpQcFE0VVFXVnp1NkdSYlZpc0lsS2NCZlVOWUxOVXBncy9DSUhHZg2
https://datacentremoratorium.net/index.php/Resources:NEXTDC_M2</t>
  </si>
  <si>
    <t>VIC-B</t>
  </si>
  <si>
    <t>ACT-001</t>
  </si>
  <si>
    <t>CDC Hume 6 (HU6) - Hume Campus Two 擴建</t>
  </si>
  <si>
    <t>CDC Data Centres (Canberra Data Centres Pty Ltd)</t>
  </si>
  <si>
    <t>CDC Group 自建自營（Infratil 持股約 49.7%，依 Infratil FY2026 年報；其餘主要股東未於已讀資料中列名）</t>
  </si>
  <si>
    <t>62 Sawmill Circuit, Hume ACT 2620 (Block 99 Section 7)</t>
  </si>
  <si>
    <t>Hume</t>
  </si>
  <si>
    <t>2620</t>
  </si>
  <si>
    <t>Australian Capital Territory（ACT 無地方政府；由 ACT Government / Territory Planning Authority 審批）</t>
  </si>
  <si>
    <t>20 MW 來源：Infratil FY2026 年報（2026-05-29）第 18 頁地圖，CDC 坎培拉「興建中」容量 20MW（截至 2026-03-31）；CDC 2026-03-26 投資人簡報（ASX）顯示坎培拉僅 HU6 為興建中，故推定 20MW 即 HU6（推論）。DA 基礎設施報告（SUPP-202443633-INFRASTRUCTURE_REPORT-01）載 Hu6 計算最大需量約 20MVA（Evoenergy 11kV，4 路市電饋線取自 Hume 2 園區既有 2 座 switching station；備援電源由 HU5 的 11kV 發電機提供）。建築：2 層、GFA 8,281 m2、7 個資料機房（1F 4 間、2F 3 間）。CDC 未說明 MW 是 IT 或 critical 口徑，20MW 與 20MVA 也未必同義。</t>
  </si>
  <si>
    <t>2026-05-29</t>
  </si>
  <si>
    <t>（營運商/ASX 層）CDC 投資人簡報（Infratil 於 ASX 公告，2026-03-26）第 4 頁以「Data centre under construction」圖例標示 HU6，並稱全集團 5 座興建中、坎培拉僅 HU6；Infratil FY2026 年報（2026-05-29）第 18 頁：坎培拉興建中 20MW。（政府層）DA202443633 於 2025-06-12 附條件核准（Notice of Decision，delegate Fawzia Majid）；修正案 S205H（2025-11-28，Block 26 地下管線）與 S205E（2026-05-26，冷卻機組平台隔音牆、空橋縮短、增設立管等施工圖層級調整）均獲核准，顯示設計與施工持續推進。ACT 不公開開工通知，故無 notice of commencement。（彙整站層，僅線索）DatacenterMap 亦標示 Under Construction。</t>
  </si>
  <si>
    <t>未公布；DA 核准（2025-06-12）後、最晚 2026-03-26 前已動工</t>
  </si>
  <si>
    <t>無（CDC 官網 cdc.com/locations/canberra 只列 7 座營運中資料中心，未提 HU6；政府文件亦無完工日）</t>
  </si>
  <si>
    <t>CDC 是批發/託管業者；其坎培拉園區服務聯邦政府機構、國安單位、研究機構與產業夥伴（CDC 2026-08-26 聲明）。Infratil FY2026 年報：營收九成以上來自投資級對手方、加權平均租期約 27 年；CDC 採 demand-led 建置，容量多半預先簽約。HU6 是否仍有 5MW 以上未簽約容量，公開資料無法判斷，需直接向 CDC 洽詢。</t>
  </si>
  <si>
    <t>未公開（CDC 未列名坎培拉客戶）</t>
  </si>
  <si>
    <t>DA202443633（2025-06-12 附條件核准）；修正 DA202443633-S205H（2025-11-28）、DA202443633-S205E（2026-05-26）</t>
  </si>
  <si>
    <t>（1）DatacenterMap/Baxtel 把 HU6 歸在 5 Tralee St（Hume Campus Two 園區地址），DA 顯示新建築實際在 Block 99（62 Sawmill Circuit）。（2）CDC 官網仍寫 Hume Campus Two 只有 HU4、HU5，且坎培拉總量「250 MW +」，未提 HU6。（3）20MW（Infratil 圖）與約 20MVA（DA 計算需量）口徑不同，不可直接等同；CDC 官網 Hume Campus Two 只列 HU4、HU5（51 MW 運轉），未列在建的 HU6；Baxtel Canberra 市場頁寫 0 MW 在建（過時）。；容量只有約 20 MVA 的計算需量，IT MW 未公布；兩者不可直接等同。
地址備註：DA202443633 的地址欄寫「62 Sawmill Circuit, 5 Tralee Street, Hume」。新建築位於 Block 99 Section 7（62 Sawmill Circuit，面向 Sawmill Circuit），以空橋連接 Block 103 Section 7（5 Tralee Street）上既有的 HU4/HU5（CDC Hume Campus Two）；兩塊租約將合併。另有 Block 26 Section 7（未租賃領地，約 77 m2）供私有地下電力與通訊管線（DA 修正 S205H，2025-11-28 核准，另需 direct sale）。DatacenterMap 把 HU6 掛在園區地址 5 Tralee St。Block 103 Section 7 的多邊形中心點約為 lat -35.39589 / lon 149.16328。</t>
  </si>
  <si>
    <t>https://www.planning.act.gov.au/applications-and-assessments/development-applications/browse-das/development-application-details?da-number=202443633&amp;amendment-version=
https://dafinder.blob.core.windows.net/dadocuments/DOCs/NOTICEOFDECISION-202443633-SIGNED.pdf
https://dafinder.blob.core.windows.net/dadocuments/DOCs/NOTICEOFDECISION-202443633-S205D-SIGNED.pdf
https://dafinder.blob.core.windows.net/dadocuments/DOCs/NOTICEOFDECISION-202443633-S205E-SIGNED.pdf
https://dafinder.blob.core.windows.net/dadocuments/DOCs/SUPP-202443633-INFRASTRUCTURE_REPORT-01.pdf
https://dafinder.blob.core.windows.net/dadocuments/DOCs/DEVOUTCOMEREP-202443633-01.pdf
https://services1.arcgis.com/E5n4f1VY84i0xSjy/arcgis/rest/services/ACTGOV_DAFINDER_LIST_VIEW/FeatureServer/0/query
https://www.planning.act.gov.au/applications-and-assessments/development-applications/browse-das/development-application-details?da-number=202443633
https://dafinder.blob.core.windows.net/dadocuments/DOCs/SUPP-202443633-STATEMENT-01.pdf
https://dafinder.blob.core.windows.net/dadocuments/DOCs/DEVOUTCOMEREP-202443633-S205E-01.pdf</t>
  </si>
  <si>
    <t>https://announcements.asx.com.au/asxpdf/20260326/pdf/06xtcw1cnqqc5p.pdf
https://infratil.com/for-investors/financial-reports/annual-report-2026/
https://cdc.com/locations/canberra
https://cdc.com/resources/news/cdc-welcomes-act-governments-data-centre-framework-development/
https://cdc.com/au/canberra</t>
  </si>
  <si>
    <t>https://www.datacentermap.com/australia/canberra/cdc-hume-hu6/
https://baxtel.com/data-center/cdc-hume-5
https://region.com.au/new-200-million-data-centre-proposed-for-beard-fits-territory-standards-on-power-and-water/996833/</t>
  </si>
  <si>
    <t>https://www.planning.act.gov.au/applications-and-assessments/development-applications/browse-das/development-application-details?da-number=202443633&amp;amendment-version=
https://dafinder.blob.core.windows.net/dadocuments/DOCs/NOTICEOFDECISION-202443633-SIGNED.pdf
https://dafinder.blob.core.windows.net/dadocuments/DOCs/NOTICEOFDECISION-202443633-S205D-SIGNED.pdf
https://dafinder.blob.core.windows.net/dadocuments/DOCs/NOTICEOFDECISION-202443633-S205E-SIGNED.pdf
https://dafinder.blob.core.windows.net/dadocuments/DOCs/APP-202443633-02.pdf
https://dafinder.blob.core.windows.net/dadocuments/DOCs/SUPP-202443633-INFRASTRUCTURE_REPORT-01.pdf
https://dafinder.blob.core.windows.net/dadocuments/DOCs/SUPP-202443633-S205D-LETTER-01.pdf
https://dafinder.blob.core.windows.net/dadocuments/DOCs/DEVOUTCOMEREP-202443633-01.pdf
https://services1.arcgis.com/E5n4f1VY84i0xSjy/arcgis/rest/services/ACTGOV_DAFINDER_LIST_VIEW/FeatureServer/0/query
https://services1.arcgis.com/E5n4f1VY84i0xSjy/arcgis/rest/services/ACTGOV_BLOCKS/FeatureServer/0/query
https://announcements.asx.com.au/asxpdf/20260326/pdf/06xtcw1cnqqc5p.pdf
https://infratil.com/for-investors/financial-reports/annual-report-2026/
https://cdc.com/locations/canberra
https://cdc.com/resources/news/cdc-welcomes-act-governments-data-centre-framework-development/
https://www.datacentermap.com/australia/canberra/cdc-hume-hu6/
https://www.planning.act.gov.au/applications-and-assessments/development-applications/browse-das/development-application-details?da-number=202443633
https://dafinder.blob.core.windows.net/dadocuments/DOCs/SUPP-202443633-STATEMENT-01.pdf
https://dafinder.blob.core.windows.net/dadocuments/DOCs/DEVOUTCOMEREP-202443633-S205E-01.pdf
https://cdc.com/au/canberra
https://baxtel.com/data-center/cdc-hume-5
https://region.com.au/new-200-million-data-centre-proposed-for-beard-fits-territory-standards-on-power-and-water/996833/</t>
  </si>
  <si>
    <t>ACT-B、ACT-A</t>
  </si>
  <si>
    <t>QLD-001</t>
  </si>
  <si>
    <t>Supernode Brendale 資料中心園區（Quinbrook）</t>
  </si>
  <si>
    <t>Supernode（Quinbrook Infrastructure Partners 旗下投資組合公司）</t>
  </si>
  <si>
    <t>Quinbrook Infrastructure Partners</t>
  </si>
  <si>
    <t>83 Kremzow Road, Brendale QLD 4500</t>
  </si>
  <si>
    <t>Brendale</t>
  </si>
  <si>
    <t>4500</t>
  </si>
  <si>
    <t>Moreton Bay Regional Council（City of Moreton Bay）</t>
  </si>
  <si>
    <t>Quinbrook 官網：資料中心 potential 500 MW-IT（潛在量，不是已核准／已建量）。獲核准範圍為最多四座 hyperscale 資料中心（Qld 政府 2022-07-08 新聞稿、Quinbrook），核准的 MW 與各棟規模未在可開啟來源揭露。BESS 另計，不是資料中心：Stage 1-3 合計約 780 MW／3,073 MWh。較舊報導（搜尋摘要）曾稱 230 MW-IT 與 800 MW，口徑混亂。</t>
  </si>
  <si>
    <t>2022-07-08</t>
  </si>
  <si>
    <t>資料機房未動工，在建的是電池（BESS）。證據：(1) Qld 政府新聞稿 2022-07-08：council 規劃核准與 FIRB 核准已取得，電池工程預計 2023 年中開工。(2) Qld 政府新聞稿 2024-04-11：Stage One 250 MW／2 小時 BESS 財務關閉，Origin Energy 承租全部容量，資料儲存設施留待後續。(3) Quinbrook 官網（2026-10-03 讀取，無日期）：BESS Stage 1-2（520 MW／約 1,858 MWh）運轉中、Stage 3（250 MW／約 1,010 MWh，Stanwell tolling）施工中；Supernode DC 另列為獨立專案，頁面沒有動工、租戶或時程。</t>
  </si>
  <si>
    <t>BESS：2024-04-11 財務關閉並宣布開工（Quinbrook 時間軸稱 2024-06 動工）；資料機房：未開始</t>
  </si>
  <si>
    <t>BESS Stage 2-3 於 2026 至 2027 完工（Quinbrook）；資料中心無官方時程（Baxtel 聚合器稱 2028 至 2031，僅供線索）</t>
  </si>
  <si>
    <t>Quinbrook 官網（BESS，無日期）；Baxtel（資料中心，聚合器，僅線索）</t>
  </si>
  <si>
    <t>Qld 政府與 Quinbrook 描述為多租戶（multi-tenant）園區，最多四座 hyperscale 資料中心，並向資料中心營運商行銷（yourneighbourhood 2022-07-13；搜尋摘要稱 CBRE 受委託負責客戶接洽，未開啟來源）。目前沒有任何資料中心租戶，也沒有動工，不可能在近期交付。</t>
  </si>
  <si>
    <t>資料中心尚無公開租戶。BESS 的承租方為 Origin Energy（Stage 1-2）與 Stanwell Corporation（Stage 3），屬電池 tolling，不是資料機房租戶。</t>
  </si>
  <si>
    <t>Moreton Bay Regional Council 規劃許可（2022 年；DA 編號未查到）+ FIRB 核准（Qld 政府新聞稿 2022-07-08）</t>
  </si>
  <si>
    <t>(1) 『施工中』標示：Baxtel 標 Planned（預計 Q2 2026，應是 BESS 日期），部分搜尋摘要稱 site is under construction；實際在建的只有 BESS。(2) BESS 規模：2022 報導約 750 至 800 MW／2,000 MWh；現行 Quinbrook 為 780 MW／3,073 MWh，故知悉事實『up to 750 MW』已過時。(3) 資料中心容量：Quinbrook 現稱 potential 500 MW-IT，較舊報導 230 MW-IT。(4) BESS 運轉時間：Quinbrook p=2719 稱 Stage 1 於 2025-10 併網；p=1283 時間軸稱 2026-02 Stage 1 運轉、2026-07 Stage 2 運轉。(5) 狀態判定依據為 2022 年的 council 核准，核准是否仍有效（currency period）與 DA 編號未查證；(1) 投資額 2022 年 A$2.5bn 對 2026 年 Quinbrook 官網 A$3bn 以上（含資料中心後續階段）。(2) Supernode 官網專案網址 /project/metro-dc/ 實際內容是 BESS，/project/sunshine-dc/ 才是資料中心，易混淆。(3) 規劃許可為 2022 年取得，是否仍有效、DA 是否曾變更本次未驗證。(4) 800 MW 是供電容量，不能直接當 IT 容量
地址備註：地址來自 Baxtel（83 Kremzow Rd, Brendale，30 公頃／74 英畝）與 Baxtel 搜尋摘要；官方來源（Qld 政府新聞稿、Quinbrook）只稱 Brendale、South Pine 變電站旁的 30 公頃土地，未列門牌。</t>
  </si>
  <si>
    <t>https://statements.qld.gov.au/statements/95682
https://statements.qld.gov.au/statements/100095</t>
  </si>
  <si>
    <t>https://www.quinbrook.com/?p=1283
https://www.quinbrook.com/?p=2719
https://www.quinbrook.com/?p=1898
https://www.quinbrook.com/portfolio-companies/supernode/
https://supernode.com.au/project/sunshine-dc/
https://supernode.com.au/project/metro-dc/
https://www.quinbrook.com/portfolio/supernode/</t>
  </si>
  <si>
    <t>https://yourneighbourhood.com.au/2-5-billion-data-supernode-brendale-moreton-bay/
https://w.media/as-australian-data-centres-demand-more-power-what-might-be-the-future-role-of-batteries/
https://baxtel.com/data-center/supernode-brendale
https://w.media/quinbrook-infrastructure-partners-wins-approval-for-hyperscale-data-centres-in-australia/
https://www.datacenterdynamics.com/en/news/quinbrook-to-build-17-billion-data-center-2gwh-battery-storage-in-queensland-australia/
https://telconews.com.au/story/quinbrook-launches-2-5-billion-supernode-800mw-data-storage-project
https://www.theurbandeveloper.com/articles/quinbrook-brendale-brisbane-supernode-data-centre</t>
  </si>
  <si>
    <t>https://statements.qld.gov.au/statements/95682
https://statements.qld.gov.au/statements/100095
https://www.quinbrook.com/?p=1283
https://www.quinbrook.com/?p=2719
https://www.quinbrook.com/?p=1898
https://www.quinbrook.com/portfolio-companies/supernode/
https://yourneighbourhood.com.au/2-5-billion-data-supernode-brendale-moreton-bay/
https://w.media/as-australian-data-centres-demand-more-power-what-might-be-the-future-role-of-batteries/
https://baxtel.com/data-center/supernode-brendale
https://telconews.com.au/story/quinbrook-launches-2-5-billion-supernode-800mw-data-storage-project
https://supernode.com.au/
https://supernode.com.au/project/sunshine-dc/
https://supernode.com.au/project/metro-dc/
https://www.quinbrook.com/portfolio/supernode/</t>
  </si>
  <si>
    <t>QLD-A、QLD-B</t>
  </si>
  <si>
    <t>TAS-002</t>
  </si>
  <si>
    <t>Firmus Project Southgate — Bell Bay (Long Reach) AI Factory / Long Reach Data Centre</t>
  </si>
  <si>
    <t>Firmus Technologies（規劃申請代理 Pitt&amp;Sherry；土地所有人未確認：DCD 2026-06-18 稱 Gunns 資產後由 New Forests 取得，DA 文件顯示通行用地為 Crown land）</t>
  </si>
  <si>
    <t>Lot 1 East Tamar Highway, Long Reach TAS 7253</t>
  </si>
  <si>
    <t>Long Reach</t>
  </si>
  <si>
    <t>7253</t>
  </si>
  <si>
    <t>George Town Council</t>
  </si>
  <si>
    <t>Firmus 官網與 DCD 以約 288 MW『draw』表述，並非 IT 負載；IT 負載未公布。DA 內容：兩棟 data hall、兩層辦公樓、維修棚、變電站、冷卻設備、276 台備用柴油發電機、128 個車位。Firmus 對國會稱塔州三站合計合約容量約 444 MW（平均運轉率約 85%、約 377 MW、年用電約 3.3 TWh）。Baxtel／DatacenterMap 另把此站拆成 GEE01／GEE02 兩棟（聚合器）。Firmus 噪音報告（Project GEE01 Operational Noise Report，2026-05-06，Firmus 網站託管）載明：兩棟 data hall 共 36 個 HyperCube（每棟 18）、148 台冷卻器（每台設計點散熱 2,500 kW，合計約 370 MW 設計散熱能力，含冗餘，不等於 IT 容量）、276 台發電機；典型 IT 負載取標稱值的 75%。IT 標稱 MW 仍未公布。</t>
  </si>
  <si>
    <t>出租性待確認：議會規劃報告與 Firmus 提交的 DA 規劃報告（2026-05-08 Rev00，Pitt&amp;Sherry／Firmus 網站託管副本）都稱設施主要目的是提供數位處理與資料傳輸基礎設施給『external users』，但 Firmus 自述自建自有自營、運算硬體自有，對外銷售專屬 AI 運算容量／GPU 雲，未見出租機房空間（colocation／powered shell）的公開要約。此站尚無公開客戶。</t>
  </si>
  <si>
    <t>尚無動工證據。George Town Council 2026-08-25 例會（Minute 101/26）以 6 比 1 核准 DA 2026/29（許可證載明：許可須待 14 天上訴期屆滿，或 TASCAT 上訴被撤回／裁決後才生效；有效期 2 年內須實質動工；條件 3 要求動工前更新 bushfire／emergency 計畫並反映 276 台發電機；條件 18 容許分階段建設但須先核定 staging plan）。ABC 2026-09-15 稱已有 5 件 TASCAT 上訴（社區居民數件，加上 Firmus 於 2026-09-10 針對第 13 條發電機使用限制提出的上訴），依許可證註記，上訴裁決前許可不生效，因此目前不得視為可動工。Firmus 官網稱仍須完成能源供應安排；Hydro Tasmania 對 Firmus 444 MW 請求預計 2026 年底前決定。</t>
  </si>
  <si>
    <t>未動工</t>
  </si>
  <si>
    <t>未公布（Baxtel 稱 2027 年啟用、擴建至 2030，聚合器僅供參考）</t>
  </si>
  <si>
    <t>aggregator（Baxtel，僅為線索）；官方無時程</t>
  </si>
  <si>
    <t>議會規劃報告與 Firmus 提交的 DA 規劃報告（2026-05-08 Rev00，Pitt&amp;Sherry／Firmus 網站託管副本）都稱設施主要目的是提供數位處理與資料傳輸基礎設施給『external users』，但 Firmus 自述自建自有自營、運算硬體自有，對外銷售專屬 AI 運算容量／GPU 雲，未見出租機房空間（colocation／powered shell）的公開要約。此站尚無公開客戶。</t>
  </si>
  <si>
    <t>此站無公開客戶。Firmus 全公司客戶：未具名全球科技公司（墨爾本）、OpenAI 與 Meta（東南亞）、Fireworks AI（Firmus AI Cloud）。</t>
  </si>
  <si>
    <t>George Town Council DA 2026/29（報告日 2026-08-17；2026-08-25 核准，Minute 101/26）；TASCAT 上訴中</t>
  </si>
  <si>
    <t>(1) 備用發電機數量：Firmus 原申報 128 台，後更正為 276 台（ABC 2026-09-15；許可條件 3 要求更新計畫）。(2) 288 MW 為 draw，並非 IT 負載；Firmus 對國會稱三站合計約 444 MW 合約容量、平均運轉約 377 MW。(3) 時程：Baxtel 稱 2027 年啟用、擴建至 2030，官方（Firmus FAQ）未提供時程。(4) 議程報告載『Application Received 2026-06-22』，但同一報告載公告期自 2026-06-13 起，報告內部日期順序不一致。
地址備註：DA 地址為 Lot 1 East Tamar Highway（CT 152001/1，面積 590.7 ha），位於前 Bell Bay Gunns 紙漿廠整地平台、Williams Creek 與 Dirty Bay 之間、鐵路走廊西側，General Industrial 分區；經共用道路及 CT 136962/1、136962/2、11367/6（Crown land）接 East Tamar Highway，與 Forico 木片廠相鄰。Baxtel 寫 1 E Tamar Hwy, Bell Bay。</t>
  </si>
  <si>
    <t>https://georgetown.tas.gov.au/volumes/documents/Shared/Council-Meetings/2026/08.-August-2026/2026-08-25-Ordinary-Council-Meeting-Confirmed-Minutes-Public-Copy.pdf
https://georgetown.tas.gov.au/volumes/documents/Shared/Council-Meetings/2026/08.-August-2026/2026-08-25-Ordinary-Council-Meeting-Agenda.pdf
https://www.parliament.tas.gov.au/__data/assets/pdf_file/0010/112231/120.-Firmus-combined.pdf
https://www.parliament.tas.gov.au/__data/assets/pdf_file/0012/112260/152.-Hydro-Tasmania-Submission.pdf</t>
  </si>
  <si>
    <t>https://firmus.co/bell-bay-industrial-precinct-ai-factory-project
https://firmus.co/project-southgate-faqs
https://firmus.co/ourcommitments/tasmaniancommunity
https://cdn.sanity.io/files/q43wife6/production/78b5aa5a9b063a28510338ea87d12d2e79319892.pdf
https://cdn.sanity.io/files/q43wife6/production/f83cc940db9392a3e22304614085d6091ac71bcb.pdf</t>
  </si>
  <si>
    <t>https://www.abc.net.au/news/2026-08-30/ai-data-centre-tasmania-firmus-technology-george-town/107089468
https://www.abc.net.au/news/2026-09-15/firmus-technologies-lodge-tascat-appeal-for-generator-use/107144572
https://www.abc.net.au/news/2026-09-04/hydro-tasmania-assess-firmus-450-mw-energy-request/107116852
https://w.media/?p=42806
https://pulsetasmania.com.au/news/george-town-planners-recommend-approval-of-288mw-ai-data-centre/
https://www.theleader.com.au/story/9337393/ai-data-centre-approved-despite-community-concerns/
https://www.datacenterdynamics.com/en/news/firmus-targets-288mw-data-campus-in-tasmania/
https://baxtel.com/data-center/firmus-bell-bay-long-reach
https://www.datacentermap.com/australia/launceston/firmus-george-town-campus/</t>
  </si>
  <si>
    <t>https://georgetown.tas.gov.au/volumes/documents/Shared/Council-Meetings/2026/08.-August-2026/2026-08-25-Ordinary-Council-Meeting-Confirmed-Minutes-Public-Copy.pdf
https://georgetown.tas.gov.au/volumes/documents/Shared/Council-Meetings/2026/08.-August-2026/2026-08-25-Ordinary-Council-Meeting-Agenda.pdf
https://www.parliament.tas.gov.au/__data/assets/pdf_file/0010/112231/120.-Firmus-combined.pdf
https://www.parliament.tas.gov.au/__data/assets/pdf_file/0012/112260/152.-Hydro-Tasmania-Submission.pdf
https://firmus.co/bell-bay-industrial-precinct-ai-factory-project
https://firmus.co/project-southgate-faqs
https://firmus.co/ourcommitments/tasmaniancommunity
https://cdn.sanity.io/files/q43wife6/production/78b5aa5a9b063a28510338ea87d12d2e79319892.pdf
https://cdn.sanity.io/files/q43wife6/production/f83cc940db9392a3e22304614085d6091ac71bcb.pdf
https://www.abc.net.au/news/2026-08-30/ai-data-centre-tasmania-firmus-technology-george-town/107089468
https://www.abc.net.au/news/2026-09-15/firmus-technologies-lodge-tascat-appeal-for-generator-use/107144572
https://www.abc.net.au/news/2026-09-04/hydro-tasmania-assess-firmus-450-mw-energy-request/107116852
https://w.media/?p=42806
https://pulsetasmania.com.au/news/george-town-planners-recommend-approval-of-288mw-ai-data-centre/
https://www.theleader.com.au/story/9337393/ai-data-centre-approved-despite-community-concerns/
https://www.datacenterdynamics.com/en/news/firmus-targets-288mw-data-campus-in-tasmania/
https://baxtel.com/data-center/firmus-bell-bay-long-reach
https://www.datacentermap.com/australia/launceston/firmus-george-town-campus/</t>
  </si>
  <si>
    <t>VIC-015</t>
  </si>
  <si>
    <t>PAC1 Leakes Road Data Centre（Truganina；ACS/Coravel 體系）</t>
  </si>
  <si>
    <t>ACS Group 體系（申請人 Leakes Rd DC Pty Ltd，母公司 ACS；ACS 與 GIP 於 2026-07 推出 Coravel 資料中心平台）——依 DCM wiki 轉述 ASIC 文件推定，未經官方證實</t>
  </si>
  <si>
    <t>ACS（Actividades de Construcción y Servicios, S.A.）；GIP（BlackRock）——Coravel 50:50 合資（DCD 2026-07-16，已讀）</t>
  </si>
  <si>
    <t>114-146 Leakes Road, Truganina VIC 3029</t>
  </si>
  <si>
    <t>WSP 雨水報告（2025-03-14，經 DCM wiki 引述）：up to 210 MW IT capacity（240 MVA），含場內 220 kV 變電站並連至 AusNet Altona Terminal Station。DCD：ACS 簡報曾稱澳洲 220 MW；Coravel 稱 1.7 GW（1.2 GW IT）組合橫跨美、歐、澳。</t>
  </si>
  <si>
    <t>2026-07-09</t>
  </si>
  <si>
    <t>Wyndham 規劃許可 WYP15036/25（2025-03-28 提出、2025-09-25 核准，DCM wiki）；S72 修改 .02 審查中。DTP/DFP 許可 PA2504040（AusNet Transmission Group，2025-10-31 受理、2026-02-17 核發、2026-03-03 更正，許可頁已讀）涵蓋 Altona Terminal Station 至「PAC1 Leakes Road Data Centre」的 220 kV 電纜、客戶變電站及終端站工程；AusNet 專案頁（已讀）稱電網工程 2026 年中開工、預計 2027 完成，2026-07-09 公告 7 月中至 12 月施工（DCM wiki）。資料中心本體施工未見證據。</t>
  </si>
  <si>
    <t>電網工程：2026-07（AusNet）；資料中心本體：未確認</t>
  </si>
  <si>
    <t>2027（僅指電網接入）；本體未公布</t>
  </si>
  <si>
    <t>AusNet 專案頁（公用事業，已讀）</t>
  </si>
  <si>
    <t>Coravel 定位為面向超大規模客戶的開發/營運平台（DCD 報導其德州案已簽約約 140 MW 客戶）；PAC1 租戶未公布，推測批發出租。</t>
  </si>
  <si>
    <t>Wyndham WYP15036/25（.02 修改審查中）；DTP PA2504040（電網）</t>
  </si>
  <si>
    <t>先前資料稱 PAC1 營運商未識別；本次依 DCM wiki（轉述 ASIC 公司文件：申請人 Leakes Rd DC Pty Ltd，母公司 ACS）推定為 ACS/Coravel，DCD 與 GIP 稿證實 ACS 有澳洲約 220 MW 開發組合，但沒有任何官方文件直接寫出 PAC1=ACS。Baxtel 的 Vantage MEL-C 亦標「Leakes Rd」，無證據與此地相同；先前資料稱 PAC1 營運商未識別：本次依 DCM wiki（ASIC 文件）加 DCD 推定為 ACS／Coravel，沒有官方文件直接寫 PAC1 = ACS。Baxtel 另標 Vantage『MEL-C』在 Truganina，無證據與此地相同。
地址備註：Leakes Road 與 Delivery Drive 東北角，約 13.24 公頃，Lot 11 on PS739073B（WSP 雨水報告，經 DCM wiki 引述）。DTP 許可 PA2504040 的土地同時列 130 Cherry Lane, Laverton North（電纜/終端站側）。</t>
  </si>
  <si>
    <t>https://www.planning.vic.gov.au/planning-approvals/ministerial-permits-register/ministerial-permits/62cc5b40-f5b5-f011-bbd2-7ced8d337ed8
https://www.ausnetservices.com.au/projects-and-innovation/major-projects/laverton-north-transmission-works</t>
  </si>
  <si>
    <t>https://www.datacenterdynamics.com/en/news/blackrocks-gip-and-acs-name-data-center-joint-venture-coravel-sign-customer-in-texas/
https://www.global-infra.com/news/acs-is-joined-by-global-infrastructure-partners-to-launch-a-global-data-center-development-platform-with-initial-1-7-gw-portfolio/
https://datacentremoratorium.net/index.php/Resources:ACS_Truganina</t>
  </si>
  <si>
    <t>https://www.planning.vic.gov.au/planning-approvals/ministerial-permits-register/ministerial-permits/62cc5b40-f5b5-f011-bbd2-7ced8d337ed8
https://www.ausnetservices.com.au/projects-and-innovation/major-projects/laverton-north-transmission-works
https://www.datacenterdynamics.com/en/news/blackrocks-gip-and-acs-name-data-center-joint-venture-coravel-sign-customer-in-texas/
https://www.global-infra.com/news/acs-is-joined-by-global-infrastructure-partners-to-launch-a-global-data-center-development-platform-with-initial-1-7-gw-portfolio/
https://datacentremoratorium.net/index.php/Resources:ACS_Truganina
https://datacentremoratorium.net/index.php/Resources:Data_Centres_in_Greater_Melbourne</t>
  </si>
  <si>
    <t>NSW-014</t>
  </si>
  <si>
    <t>Goodman Project Apollo — Talavera Road Data Centre, Macquarie Park（SSD-74069708）</t>
  </si>
  <si>
    <t>Goodman（Goodman Property Services (Aust) Pty Limited）</t>
  </si>
  <si>
    <t>Goodman Property Services (Aust) Pty Limited（申請人）</t>
  </si>
  <si>
    <t>4-10 Talavera Road, Macquarie Park NSW 2113</t>
  </si>
  <si>
    <t>評估報告：總用電最高 135 MW（IT load 未載明）；八個 data halls、GFA 28,878 m2、高 45 m、66×2.8 MW 發電機。Portal 稱「initial load 約 90 MVA」，W.Media/DCD 稱 135 MW。EDC A$1.365bn；施工 400 人、營運 60 人。</t>
  </si>
  <si>
    <t>2026-09-03</t>
  </si>
  <si>
    <t>核准 2026-09-02（評估報告 2026-09-03 上傳）；Portal 無後審文件。</t>
  </si>
  <si>
    <t>未見</t>
  </si>
  <si>
    <t>評估報告：施工最長約 24 個月（拆除 3、土方 6、岩石開挖與管線 ≤12、結構與設備 3、內裝調試 12 個月，部分重疊）。</t>
  </si>
  <si>
    <t>DPHI SSD Assessment Report（2026-09-03）</t>
  </si>
  <si>
    <t>Goodman 稱設施「設計為可容納不同租戶需求」，無已知租戶。同意書要求營運前以「firmed renewable」電力補足全部營運用電（PPA + firming），並在施工後 6 個月內提出 PPA 進度證明——是租戶需分攤的成本。</t>
  </si>
  <si>
    <t>無（W.Media 2026-09-04）</t>
  </si>
  <si>
    <t>SSD-74069708（核准 2026-09-02）</t>
  </si>
  <si>
    <t>先前：「約 90 MVA initial load；申請人未顯示」→ 申請人為 Goodman，總用電 135 MW；先前資料寫『proponent not shown、約 90 MVA』；W.Media 確認 proponent 為 Goodman，容量 135 MW（Portal 初始 90 MVA 為分階段負載）；先前資料寫約 90 MVA 初始負載且未載明申請人；核准文件明示申請人為 Goodman、最大耗電 135 MW。與 Lane Cove West 的 Apollo Place（）是兩個不同專案
地址備註：基地 23,190 m2，原兩棟倉庫；位於 Macquarie Park TOD 加速重劃區；M2 另一側約 100 m 為最近住宅。</t>
  </si>
  <si>
    <t>https://www.planningportal.nsw.gov.au/major-projects/projects/project-apollo-data-centre-macquarie-park
https://majorprojects.planningportal.nsw.gov.au/prweb/PRRestService/mp/01/getContent?AttachRef=SSD-74069708%2120260903T232908.106+GMT</t>
  </si>
  <si>
    <t>https://w.media/goodman-wins-approval-for-135mw-macquarie-park-data-centre/
https://bebeez.eu/2026/09/07/goodman-group-gets-green-light-for-135mw-data-center-in-northern-sydney-australia/
https://www.mingtiandi.com/real-estate/data-centres/goodman-group-wins-government-approval-for-1b-data-centre-in-sydneys-north/
https://baxtel.com/data-center/goodman-project-apollo</t>
  </si>
  <si>
    <t>https://www.planningportal.nsw.gov.au/major-projects/projects/project-apollo-data-centre-macquarie-park
https://majorprojects.planningportal.nsw.gov.au/prweb/PRRestService/mp/01/getContent?AttachRef=SSD-74069708%2120260903T232908.106+GMT
https://w.media/goodman-wins-approval-for-135mw-macquarie-park-data-centre/</t>
  </si>
  <si>
    <t>NSW-015</t>
  </si>
  <si>
    <t>Goodman Project Duke — Kent Road, Mascot（SSD-71368959）</t>
  </si>
  <si>
    <t>Goodman Property Services (Aust) Pty Limited（申請人）；地主 Tallina Pty Ltd as Trustee of Goodman Kent Road Trust（DCD）</t>
  </si>
  <si>
    <t>2 Kent Road and 10-22 Kent Road, and 685 Gardeners Road, Mascot NSW 2020</t>
  </si>
  <si>
    <t>Mascot</t>
  </si>
  <si>
    <t>2020</t>
  </si>
  <si>
    <t>Bayside</t>
  </si>
  <si>
    <t>評估報告：總電力需求約 120 MW、IT load 最高 85 MW；九個 data halls、GFA 26,052 m2、高 40 m、72×2.4 MW 發電機。Portal/DCD 稱 90 MVA/90 MW。EDC A$1,177,672,175；施工 600 人、營運 30 人。</t>
  </si>
  <si>
    <t>2025-12-22</t>
  </si>
  <si>
    <t>核准 2025-12-22；Portal「後審文件」為空（無 CEMP、無開工通知）。</t>
  </si>
  <si>
    <t>評估報告：施工最長 110 週（拆除 3 個月、場整 6 個月、地下管線與結構 12 個月、立面與內裝 3 個月、景觀 1 個月）。Baxtel：2028（聚合站，僅線索）。</t>
  </si>
  <si>
    <t>DPHI SSD Assessment Report（2025-12-22）</t>
  </si>
  <si>
    <t>Goodman 持有土地並自行開發，未見預租；與 Equinix SY4/SY5 同區，鄰近雪梨機場，是市區內少數已核准的大型標的。</t>
  </si>
  <si>
    <t>SSD-71368959（核准 2025-12-22）</t>
  </si>
  <si>
    <t>容量：Portal 90 MVA、DCD 90 MW、評估報告 120 MW 總用電/85 MW IT。地址：Portal 寫「2 and 10-22 Kent Road」，評估報告另列 685 Gardeners Road；MW 僅有 MVA 口徑且未在 Notice of Decision 驗證；完工年僅聚合站。
地址備註：前 Eaton 倉庫（Goodman 以約 A$76m 購入，DCD）；三面臨 Gardeners Road、Kent Road、Ricketty Street；基地 22,923 m2，離雪梨機場 600 m。</t>
  </si>
  <si>
    <t>https://www.planningportal.nsw.gov.au/major-projects/projects/project-duke-data-centre
https://majorprojects.planningportal.nsw.gov.au/prweb/PRRestService/mp/01/getContent?AttachRef=SSD-71368959%2120251222T223948.276+GMT</t>
  </si>
  <si>
    <t>https://www.datacenterdynamics.com/en/news/goodman-files-to-build-90mw-data-center-on-eaton-warehouse-site-in-sydney-australia/
https://baxtel.com/data-center/goodman-project-duke</t>
  </si>
  <si>
    <t>https://www.planningportal.nsw.gov.au/major-projects/projects/project-duke-data-centre
https://majorprojects.planningportal.nsw.gov.au/prweb/PRRestService/mp/01/getContent?AttachRef=SSD-71368959%2120251222T223948.276+GMT
https://baxtel.com/data-center/goodman-project-duke</t>
  </si>
  <si>
    <t>ACT-002</t>
  </si>
  <si>
    <t>CDC Beard 2 (BE2) 資料中心（CDC Beard 園區第二期）</t>
  </si>
  <si>
    <t>CDC Data Centres（Canberra Data Centres Pty Ltd）</t>
  </si>
  <si>
    <t>CDC 自建自營（Infratil 為主要股東之一；其餘股東與持股比例本次未查證）</t>
  </si>
  <si>
    <t>23 Tantalum Street, Beard ACT 2620</t>
  </si>
  <si>
    <t>Beard</t>
  </si>
  <si>
    <t>ACT（無地方政府；ACT 規劃分區 Jerrabomberra district）</t>
  </si>
  <si>
    <t>ACT 政府 Environmental Significance Opinion（ESO，2026-05-13）與 ESO 申請表寫：12 個 data hall、總容量 84 MW，緊急發電機合計最多 20 MW（容量基準未說明，可能為 IT/critical）；W.Media（2026-09-30）引用同一數字。3 層、GFA 29,924 m2、建築基底約 10,357 m2；工程總成本 A$203,503,000（DA 申請表）。Stantec 噪音報告列 BE2 有 40 台發電機、66 台冷卻機（BE1 為 12 台、16 台），亦顯示 BE2 規模遠大於 BE1。CDC 官網 Canberra 頁 At a glance 寫 250 MW+ capacity（未說明是否含規劃中），並列已運轉 Hume One 21 MW、Hume Two 51 MW、Fyshwick 45 MW。</t>
  </si>
  <si>
    <t>2026-09-29</t>
  </si>
  <si>
    <t>尚無開工證據。ACT 規劃局於 2026-09-29 依 Planning Act 2023 s185 有條件核准 DA 202645149（登記冊：Decided / Approval Conditional）。核准條件第 2 項：取得 Icon Water Statement of Acceptance/Endorsement 之前不得動工（僅准拆除、除污、開挖、溝渠、管線與公用設施改遷等早期工程）；並須先送 Design Review（早期工程申請須在 Design Review 開始前提出）。Icon Water 在轉介意見中為 Not Supported（設計未通過其水管網保護審查，屬程序性要求：外部服務設計須先取得 in-principle 接受），規劃局以條件 3 處理，登記冊註記本核准偏離了機構意見。Stage 1 時預留的南側約 9,010 m2 空地已因 Beard 1 施工整平、無植被（Development Outcomes Report）。</t>
  </si>
  <si>
    <t>未開工（截至 2026-10-03）</t>
  </si>
  <si>
    <t>無（CDC 未公布）。類比參考：Beard 1 於 2023-10 取得規劃核准，至 2026-03-26 CDC 投資人簡報已標示為運轉中；僅供類比，不代表 BE2 時程。</t>
  </si>
  <si>
    <t>CDC 為出租型（託管/批發）資料中心營運商，BE2 屬其 Canberra 園區擴建，但公開資料未提供預租或可租比例。CDC 發言人（Region，2026-09-09）稱聚焦 the most critical customers across government, national critical infrastructure 及其任務關鍵夥伴；CDC 自稱 sovereign-owned and operated，Canberra 園區持有政府託管框架最高等級認證。公開資料未載明是否接受外資或非政府商業租戶，也未見明文的租戶國籍限制；需直接向 CDC 查詢（不作推測）。W.Media（2026-09-16）引述 Infratil：CDC 已部署 350 MW、合約容量合計 1.1 GW，整體容量多已預簽約。</t>
  </si>
  <si>
    <t>未公開。（CDC 整體：澳洲國防部 2022-08 與 CDC 簽 10 年、A$91.5m 資料中心服務合約，未指明站點。）</t>
  </si>
  <si>
    <t>ACT DA 202645149（Notice of Decision 2026-09-29，delegate Aaron Oshyer；ESO 日期 2026-05-13；Crown lease Vol 3017 Folio 455）</t>
  </si>
  <si>
    <t>容量：ESO 與 ESO 申請表寫 BE2 為 12 個 data hall、84 MW；Stantec 噪音報告同一份 DA 內卻寫 Beard 1 &amp; 2 將為兩棟各 20-25 MW、10 個 data hall（與 BE2 的 12 hall 不一致，疑為早期簡報殘留文字）。；Beard 1 容量三種說法：Stantec 交通報告 35 MW；cdc.com/au/canberra 39 MW；噪音報告 20-25 MW。；CDC 官網 Canberra 頁（2026-10 讀取）稱 Beard 園區仍是 Currently under construction；但 DA 文件（2026-08）稱 Stage 1 已建成、已運轉，CDC 2026-03-26 投資人簡報也標示 BE1 運轉中。；狀態：Region（2026-09-09）與 Canberra Times（2026-09-06）寫 DA 公眾意見開放至 9/18、尚待審；ACT 登記冊顯示已於 2026-09-29 有條件核准（W.Media 2026-09-30 已報導核准）。；門牌：Baxtel 將 Beard 1 標為 18 Tantalum St；ESO 申請表為 23 Tantalum Street（同一地塊 Block 25 Section 11）；（1）Canberra Times（更新 2026-09-06）稱 Stage 1「已在興建」；CDC 於本 DA 的開發成果報告（2026，隨 DA 提交）稱 Stage 1 已建成，CDC 2026-03-26 簡報亦把 BE1 標為營運中；CDC 官網仍寫 Beard「目前興建中」（官網資料過時）。（2）投資額 A$200m（Region）對 A$203.5m（DatacenterMap/DCD）。（3）84MW 只見於 ESO，CDC 官網與簡報均無 BE2 數字；Region 報導把 20MW 寫成現場發電機容量，與 ESO 的「合計最高 20MW」一致。
地址備註：地塊為 Block 25 Section 11 Beard（Crown lease Vol 3017 Folio 455，約 47,644 m2，與已運轉的 Beard 1 同一地塊）。門牌 23 Tantalum Street 取自 ACT 政府 ESO 申請表（DA 202645149 附件），W.Media 亦同；ACT DA 登記冊只列街名（Tantalum Street, Copper Crescent, Nickel Street）。基地位於 Tantalum Street 與 Nickel Street 轉角，出入口走 Tantalum Street 與 Copper Close/Copper Crescent。Baxtel 把 Beard 1 標為 18 Tantalum St。Canberra Times 標題中的 Jerrabomberra 是 ACT 的 district 名稱，不是 NSW 的 Jerrabomberra 郊區。地塊南端另預留約 3,830 m2 作未來變電站。</t>
  </si>
  <si>
    <t>https://www.planning.act.gov.au/applications-and-assessments/development-applications/browse-das/development-application-details?da-number=202645149
https://dafinder.blob.core.windows.net/dadocuments/DOCs/NOTICEOFDECISION-202645149-SIGNED.pdf
https://dafinder.blob.core.windows.net/dadocuments/DOCs/ENVSIGNIFICANCE-202645149-01.pdf
https://dafinder.blob.core.windows.net/dadocuments/DOCs/ESO-202645149-APPLICATION_FORM-01.pdf
https://dafinder.blob.core.windows.net/dadocuments/DOCs/DEVOUTCOMEREP-202645149-01.pdf
https://dafinder.blob.core.windows.net/dadocuments/DOCs/TRAFFICREPORT-202645149-01.pdf
https://dafinder.blob.core.windows.net/dadocuments/DOCs/NOISEREPORT-202645149-01.pdf
https://dafinder.blob.core.windows.net/dadocuments/DOCs/APP-202645149-04.pdf
https://services1.arcgis.com/E5n4f1VY84i0xSjy/arcgis/rest/services/ACTGOV_DAFINDER_LIST_VIEW/FeatureServer/0/query
https://www.cmtedd.act.gov.au/open_government/inform/act_government_media_releases/barr/2026/providing-a-clear-framework-for-data-centres-in-the-act
https://www.planning.act.gov.au/applications-and-assessments/development-applications/browse-das/development-application-details?da-number=202645149&amp;amendment-version=
https://www.planning.act.gov.au/__data/assets/pdf_file/0015/3063102/ESO202600012-Beard-Proposed-Data-Centre-Development-Beard-2.pdf
https://www.parliament.act.gov.au/__data/assets/pdf_file/0011/3110060/QTON-080-Answer-CED-ACT-data-centres-energy-consumption-CLAY.pdf</t>
  </si>
  <si>
    <t>https://cdc.com/au/canberra
https://cdc.com/resources/news/cdc-welcomes-act-governments-data-centre-framework-development/
https://announcements.asx.com.au/asxpdf/20260326/pdf/06xtcw1cnqqc5p.pdf
https://cdc.com/locations/canberra</t>
  </si>
  <si>
    <t>https://w.media/cdc-wins-approval-for-au203-5m-beard-2-data-centre-in-canberra/
https://region.com.au/new-200-million-data-centre-proposed-for-beard-fits-territory-standards-on-power-and-water/996833/
https://www.canberratimes.com.au/story/9344073/cdc-data-centres-unveil-jerrabomberra-stage-2-ahead-of-new-rules/
https://w.media/data-center-growth-lifts-infratil-earnings-guidance-for-fy-2027/
https://www.planningalerts.org.au/applications/3548117
https://begadistrictnews.com.au/story/9344073/cdc-data-centres-unveil-jerrabomberra-stage-2-ahead-of-new-rules
https://www.datacentermap.com/australia/canberra/cdc-beard-be1/</t>
  </si>
  <si>
    <t>https://www.planning.act.gov.au/applications-and-assessments/development-applications/browse-das/development-application-details?da-number=202645149
https://dafinder.blob.core.windows.net/dadocuments/DOCs/NOTICEOFDECISION-202645149-SIGNED.pdf
https://dafinder.blob.core.windows.net/dadocuments/DOCs/ENVSIGNIFICANCE-202645149-01.pdf
https://dafinder.blob.core.windows.net/dadocuments/DOCs/ESO-202645149-APPLICATION_FORM-01.pdf
https://dafinder.blob.core.windows.net/dadocuments/DOCs/DEVOUTCOMEREP-202645149-01.pdf
https://dafinder.blob.core.windows.net/dadocuments/DOCs/TRAFFICREPORT-202645149-01.pdf
https://dafinder.blob.core.windows.net/dadocuments/DOCs/NOISEREPORT-202645149-01.pdf
https://dafinder.blob.core.windows.net/dadocuments/DOCs/APP-202645149-04.pdf
https://services1.arcgis.com/E5n4f1VY84i0xSjy/arcgis/rest/services/ACTGOV_DAFINDER_LIST_VIEW/FeatureServer/0/query
https://w.media/cdc-wins-approval-for-au203-5m-beard-2-data-centre-in-canberra/
https://region.com.au/new-200-million-data-centre-proposed-for-beard-fits-territory-standards-on-power-and-water/996833/
https://www.canberratimes.com.au/story/9344073/cdc-data-centres-unveil-jerrabomberra-stage-2-ahead-of-new-rules/
https://cdc.com/au/canberra
https://cdc.com/resources/news/cdc-welcomes-act-governments-data-centre-framework-development/
https://announcements.asx.com.au/asxpdf/20260326/pdf/06xtcw1cnqqc5p.pdf
https://www.cmtedd.act.gov.au/open_government/inform/act_government_media_releases/barr/2026/providing-a-clear-framework-for-data-centres-in-the-act
https://w.media/data-center-growth-lifts-infratil-earnings-guidance-for-fy-2027/
https://w.media/canberra-data-centres-signs-a-new-10-year-deal-with-australian-defence/
https://www.planningalerts.org.au/applications/3548117
https://www.planning.act.gov.au/applications-and-assessments/development-applications/browse-das/development-application-details?da-number=202645149&amp;amendment-version=
https://dafinder.blob.core.windows.net/dadocuments/DOCs/SUPP-202645149-LETTER-01.pdf
https://www.planning.act.gov.au/__data/assets/pdf_file/0015/3063102/ESO202600012-Beard-Proposed-Data-Centre-Development-Beard-2.pdf
https://www.parliament.act.gov.au/__data/assets/pdf_file/0011/3110060/QTON-080-Answer-CED-ACT-data-centres-energy-consumption-CLAY.pdf
https://services1.arcgis.com/E5n4f1VY84i0xSjy/arcgis/rest/services/ACTGOV_BLOCKS/FeatureServer/0/query
https://begadistrictnews.com.au/story/9344073/cdc-data-centres-unveil-jerrabomberra-stage-2-ahead-of-new-rules
https://www.datacentermap.com/australia/canberra/cdc-beard-be1/
https://cdc.com/locations/canberra</t>
  </si>
  <si>
    <t>ACT-A、ACT-B</t>
  </si>
  <si>
    <t>VIC-016</t>
  </si>
  <si>
    <t>PGIM／GDCF Truganina 資料中心園區（1 Oroya Drive；DFP 許可 PA2504032）</t>
  </si>
  <si>
    <t>PGIM Real Estate（Global Data Center Fund，build-fill-sell 策略）；實際營運商未指定</t>
  </si>
  <si>
    <t>The Trust Company (Australia) Limited as trustee of GDCF Truganina Trust（PGIM／Prudential Financial 的 Global Data Center Fund）；申請顧問 Aurecon</t>
  </si>
  <si>
    <t>1 Oroya Drive and 435 Mount Atkinson Road, Truganina VIC 3029</t>
  </si>
  <si>
    <t>Melton City Council（DTP 官員報告 Key Information 欄）</t>
  </si>
  <si>
    <t>PGIM（Urban Developer 2026-02-17）：初期 80 MW，Morgan Laughlin 稱可建更多但取決於電力供應；園區分三期、首期投資 A$1.2bn。DTP 官員報告：開發價值 A$422m、單棟 8 層（34 m）、GFA 43,356 m²，含三層辦公樓。DFP 許可僅涵蓋首棟。</t>
  </si>
  <si>
    <t>DFP PA2504032：2025-10-28 受理、2026-05-06 核發（Form 4 與官員報告已讀）。realestatesource 2026-09-23 稱 PGIM 取得首棟最終核准。AusNet 另有 PA2604199（Truganina Terminal Station 至場內 220/33 kV 變電站的專線，預計施工 12–18 個月；依 DCM wiki 引述 AusNet 文件，未獨立開啟）。未見開工通知。</t>
  </si>
  <si>
    <t>Mingtiandi：GDCF 採 build-fill-sell 策略，鎖定低延遲超大規模客群，即建成後招租或出售；營運商尚未指定。</t>
  </si>
  <si>
    <t>DFP PA2504032（permit 2026-05-06）；AusNet 電網 PA2604199（經 DCM wiki）</t>
  </si>
  <si>
    <t>realestatesource 2026-07-22 寫『AirTrunk 是 1 Oroya Drive 背後的提案（約 1 GW、成本 A$6.45bn）』，與許可申請人（GDCF Truganina Trust）、PGIM 新聞及該媒體 2026-09-23 自家報導矛盾，視為錯誤。官員報告的 A$422m 為首棟建造價值，A$1.2bn 為首期整體投資；80 MW 僅二手轉述（AFR 原文未讀）；地址 1 Oroya Drive（DTP）vs 另含 435 Mount Atkinson Road（DCM wiki）；許可日期與 A$12 億數字取自 先前 的登記冊與 Urban Developer 紀錄，我方僅開啟 Baxtel 與 DatacenterMap，未自行開啟原始來源
地址備註：Riding Boundary Road 與 Oroya Drive 東南角，土地 20.7 ha（PGIM 以 A$165.6m 購入）；預留變電站位於東南角，不在本許可內。</t>
  </si>
  <si>
    <t>https://www.planning.vic.gov.au/planning-approvals/ministerial-permits-register/ministerial-permits/5615befd-9bb3-f011-bbd2-7ced8d337ed8
https://sftpbspomppprod01.blob.core.windows.net/applicationfiles/5615befd-9bb3-f011-bbd2-7ced8d337ed8_PA2504032-1%20Oroya%20Drive%20Truganina%20-%20DTP%20Planning%20Assessment-Officer%20Report.pdf
https://sftpbspomppprod01.blob.core.windows.net/applicationfiles/5615befd-9bb3-f011-bbd2-7ced8d337ed8_PA2504032-1%20Oroya%20Drive%20Truganina%20-%20Form%204.pdf
https://www.planning.vic.gov.au/planning-approvals/ministerial-permits-register</t>
  </si>
  <si>
    <t>https://www.theurbandeveloper.com/articles/us-fund-manager-pgim-buys-truganina-data-centre-site
https://www.mingtiandi.com/real-estate/data-centres/pgim-buys-melbourne-site-for-data-centre-campus-plans-850m-first-phase/
https://www.realestatesource.com.au/green-light-for-data-centre-half-the-size-of-the-rialto/
https://archive.is/20260211071111/https://www.afr.com/property/commercial/new-york-funds-giant-to-pour-1-2b-into-melbourne-data-centre-20260211-p5o1es
https://datacentremoratorium.net/index.php/Resources:PGIM_Truganina
https://baxtel.com/data-center/pgim-melbourne-campus
https://www.datacentermap.com/australia/melbourne/1-oroya-drive/</t>
  </si>
  <si>
    <t>https://www.planning.vic.gov.au/planning-approvals/ministerial-permits-register/ministerial-permits/5615befd-9bb3-f011-bbd2-7ced8d337ed8
https://sftpbspomppprod01.blob.core.windows.net/applicationfiles/5615befd-9bb3-f011-bbd2-7ced8d337ed8_PA2504032-1%20Oroya%20Drive%20Truganina%20-%20DTP%20Planning%20Assessment-Officer%20Report.pdf
https://www.theurbandeveloper.com/articles/us-fund-manager-pgim-buys-truganina-data-centre-site
https://www.mingtiandi.com/real-estate/data-centres/pgim-buys-melbourne-site-for-data-centre-campus-plans-850m-first-phase/
https://www.realestatesource.com.au/green-light-for-data-centre-half-the-size-of-the-rialto/
https://www.realestatesource.com.au/data-centre-giant-buys-350m-melbourne-site/
https://datacentremoratorium.net/index.php/Resources:PGIM_Truganina
https://datacentremoratorium.net/index.php/Resources:Data_Centres_in_Greater_Melbourne
https://baxtel.com/data-center/pgim-melbourne-campus
https://www.datacentermap.com/australia/melbourne/1-oroya-drive/</t>
  </si>
  <si>
    <t>NSW-016</t>
  </si>
  <si>
    <t>Goodman Project Pluto — 132 McCredie Road Data Centre（SSD-69223466）</t>
  </si>
  <si>
    <t>132 McCredie Road, Guildford West NSW 2161</t>
  </si>
  <si>
    <t>Guildford West</t>
  </si>
  <si>
    <t>2161</t>
  </si>
  <si>
    <t>Cumberland</t>
  </si>
  <si>
    <t>評估報告：總用電 100 MW、IT load 68 MW；九個 data halls、兩層（Portal 稱兩棟三層）、GFA 29,444 m2、高 25.8 m、68 台發電機。第一階段 34 MW（五個 data halls），第二階段再加四個 halls 至 68 MW（W.Media 2026-07-24）。EDC A$1,114,474,328；施工 467 人、營運 60 人。</t>
  </si>
  <si>
    <t>2026-07-24</t>
  </si>
  <si>
    <t>核准 2026-07-23（評估報告 2026-07-24 上傳）；Portal 無任何後審文件（無 CEMP、無開工通知）。</t>
  </si>
  <si>
    <t>評估報告：兩階段，每階段 18 個月（受電力可得性分階段）；未公布起始日。</t>
  </si>
  <si>
    <t>DPHI SSD Assessment Report（2026-07-24）</t>
  </si>
  <si>
    <t>Goodman 稱設施面向超大規模雲端與資料儲存營運商；W.Media 稱無已揭露租戶。為近期核准、尚無已知預租的中大型標的。</t>
  </si>
  <si>
    <t>無（W.Media 2026-07-24）</t>
  </si>
  <si>
    <t>SSD-69223466（核准 2026-07-23）</t>
  </si>
  <si>
    <t>Portal 標題「load capacity of 126 MW，兩棟三層」vs 評估報告「100 MW 總用電/68 MW IT，兩層」vs W.Media「68 MW」。先前 的 Baxtel「Goodman」歸屬已由評估報告證實；先前資料寫 126 MW 負載、兩棟三層；核准文件為 100 MW、兩層、9 data halls，以核准文件為準
地址備註：前 Castrol 廠址，可開發面積 71,710 m2；Portal 與 先前 拼為「Maccredie」，評估報告為「McCredie」。</t>
  </si>
  <si>
    <t>https://www.planningportal.nsw.gov.au/major-projects/projects/project-pluto-data-centre
https://majorprojects.planningportal.nsw.gov.au/prweb/PRRestService/mp/01/getContent?AttachRef=SSD-69223466%2120260724T063200.298+GMT</t>
  </si>
  <si>
    <t>https://w.media/nsw-approves-goodmans-aud-1-1bn-project-pluto-data-centre-in-western-sydney/
https://baxtel.com/data-center/goodman-project-pluto</t>
  </si>
  <si>
    <t>https://www.planningportal.nsw.gov.au/major-projects/projects/project-pluto-data-centre
https://majorprojects.planningportal.nsw.gov.au/prweb/PRRestService/mp/01/getContent?AttachRef=SSD-69223466%2120260724T063200.298+GMT
https://w.media/nsw-approves-goodmans-aud-1-1bn-project-pluto-data-centre-in-western-sydney/</t>
  </si>
  <si>
    <t>NSW-017</t>
  </si>
  <si>
    <t>Apollo Place Data Centre（APDC；AirTrunk Lane Cove West 擴建；SSD-67407231）</t>
  </si>
  <si>
    <t>AirTrunk（核准函收件人：The Trustee for Airtrunk Lane Cove Trust）</t>
  </si>
  <si>
    <t>EMKC Cubed Management Pty Ltd（SSD 申請人；評估報告稱其為受資料中心營運商委託的地產開發/資產管理公司）</t>
  </si>
  <si>
    <t>1 Apollo Place and part of 1 Sirius Road, Lane Cove West NSW 2066</t>
  </si>
  <si>
    <t>Lane Cove West</t>
  </si>
  <si>
    <t>2066</t>
  </si>
  <si>
    <t>Lane Cove</t>
  </si>
  <si>
    <t>評估報告：總用電 45 MW、IT load 41 MW；四個 data halls、GFA 9,328 m2、高 32.68 m、29×2 MW 發電機；電池/柴油/消防水依賴既有 SYD2 設施。EDC A$288.4m；施工 380 人、營運 44 人。</t>
  </si>
  <si>
    <t>2026-08-04</t>
  </si>
  <si>
    <t>SSD 核准 2025-10-09。DPHI 於 2026-08-04 核准 CEMP Rev E（條件 C2，含 CNVMP、CTMP、ESCP、Unexpected Finds、Remediation Action Plan），收件人為 AirTrunk Lane Cove Trust 的 Carl Nelson——這是開工前置的最後一類文件，但 portal 尚無開工通知。</t>
  </si>
  <si>
    <t>尚未見開工通知；CEMP 2026-08-04 核准後隨時可開工。</t>
  </si>
  <si>
    <t>評估報告：施工最長 94 週（土方 12–16 週 + 施工與內裝 60–80 週）；若 2026 Q4 開工，約 2028 中完工（推算，非官方日期）。</t>
  </si>
  <si>
    <t>DPHI SSD Assessment Report（2025-10-09）；完工日為本報告推算</t>
  </si>
  <si>
    <t>評估報告：由「已有多處雪梨資產、並營運相鄰 Lane Cove West Data Centre 的資料中心營運商」委託擴建，營運商向雲端/內容提供者或政府租戶出租容量；營運商未在報告中點名，AirTrunk 由 CEMP 核准函收件人認定。</t>
  </si>
  <si>
    <t>SSD-67407231（核准 2025-10-09）；同意書 SSD-9741 Mod 4 納入 APDC</t>
  </si>
  <si>
    <t>先前：「Proponent 未顯示；Baxtel 列 Goodman Project Apollo — 未驗證」——已更正：Apollo Place ≠ Goodman Project Apollo；申請人 EMKC Cubed Management，營運商為 AirTrunk（Lane Cove Trust）。DCD 搜尋摘要寫「AirTrunk 尚未確認」（2024-02，早期），政府文件已證實；先前資料/Baxtel 把 Goodman 的 Project Apollo 對應到此案；實際申請人是 EMKC Cubed Management，Goodman 的 Project Apollo 在 4-10 Talavera Road（）。營運商名稱未公開
地址備註：SP 80721（1 Apollo Place）與 Lot 1 DP 1271404 的東南部分；開發足跡 5,282 m2，併入 44,842 m2 合併基地，緊貼 AirTrunk SYD2（Lane Cove West Data Centre，SSD-9741，1 Sirius Road）；與 Goodman 的 Project Apollo（Macquarie Park）無關。</t>
  </si>
  <si>
    <t>https://www.planningportal.nsw.gov.au/major-projects/projects/apollo-place-data-centre
https://majorprojects.planningportal.nsw.gov.au/prweb/PRRestService/mp/01/getContent?AttachRef=SSD-67407231%2120251009T033248.267+GMT
https://majorprojects.planningportal.nsw.gov.au/prweb/PRRestService/mp/01/getContent?AttachRef=SSD-67407231-PA-2%2120260804T071034.216+GMT
https://www.planningportal.nsw.gov.au/major-projects/projects/lane-cove-west-data-centre-mod-4-apdc-inclusion</t>
  </si>
  <si>
    <t>https://datacenterdynamics.com/en/news/45mw-data-center-proposed-next-to-airtrunk-syd2-site</t>
  </si>
  <si>
    <t>https://www.planningportal.nsw.gov.au/major-projects/projects/apollo-place-data-centre
https://majorprojects.planningportal.nsw.gov.au/prweb/PRRestService/mp/01/getContent?AttachRef=SSD-67407231%2120251009T033248.267+GMT
https://majorprojects.planningportal.nsw.gov.au/prweb/PRRestService/mp/01/getContent?AttachRef=SSD-67407231-PA-2%2120260804T071034.216+GMT</t>
  </si>
  <si>
    <t>NSW-018</t>
  </si>
  <si>
    <t>Stockland / EdgeConneX — Road 1 Data Centre（Khartoum Road Data Centre Building H；SSD-80814238）</t>
  </si>
  <si>
    <t>Stockland–EdgeConneX 50:50 合資（推定；與 NSW-B-12 同申請人）</t>
  </si>
  <si>
    <t>1-5 Khartoum Road (new Road 1 / Road 23 frontage), Macquarie Park NSW 2113</t>
  </si>
  <si>
    <t>評估報告（2026-10-02）：最大電力 49 MW（IT load 34.3 MW）；八個 data halls、十層、高 72.8 m（Portal 73.4 m）、GFA 13,307 m2；EDC A$630,439,030；施工 250 人。</t>
  </si>
  <si>
    <t>2026-10-02</t>
  </si>
  <si>
    <t>核准 2026-10-01（評估報告 2026-10-02 上傳）；無後審文件。</t>
  </si>
  <si>
    <t>評估報告：施工 30 個月（場整 3 + 主體與道路 24 + 試運轉 3）。</t>
  </si>
  <si>
    <t>DPHI SSD Assessment Report（2026-10-02）</t>
  </si>
  <si>
    <t>與 同為 Stockland/EdgeConneX 合資標的（超大規模 + AI 客戶），無已知租戶。</t>
  </si>
  <si>
    <t>SSD-80814238（核准 2026-10-01）</t>
  </si>
  <si>
    <t>先前：「Road 1 — 申請人未顯示」→ 評估報告證實為 Stockland Development Pty Ltd（Khartoum Road Building H）。IDA 的 Stockland「Project A（City of Ryde）」可能就是本案（2026-03 時尚未核准），但為推測；先前資料寫 34.3 MW；核准文件為 49 MW 總耗電、34.3 MW 為 IT 負載
地址備註：基地 8,096 m2（原倉庫），位於 正南方；Portal 專案先前名稱「1-5 Khartoum Road Building H Data Centre」（舊網址已 301 轉址到 road-1-data-centre）。Portal 地址只寫「Macquarie Park」。</t>
  </si>
  <si>
    <t>https://www.planningportal.nsw.gov.au/major-projects/projects/road-1-data-centre
https://majorprojects.planningportal.nsw.gov.au/prweb/PRRestService/mp/01/getContent?AttachRef=SSD-80814238%2120261002T063830.858+GMT</t>
  </si>
  <si>
    <t>NSW-019</t>
  </si>
  <si>
    <t>Equinix SY10x xScale（Rosehill）</t>
  </si>
  <si>
    <t>Equinix</t>
  </si>
  <si>
    <t>Equinix Hyperscale 2 (SY10) Pty Limited（SSD 申請人）；Equinix 與 PGIM Real Estate 合資（PGIM 80%、Equinix 20%，2022-03 成立，US$575m）</t>
  </si>
  <si>
    <t>8 Grand Avenue, Rosehill NSW 2142</t>
  </si>
  <si>
    <t>Rosehill</t>
  </si>
  <si>
    <t>2142</t>
  </si>
  <si>
    <t>City of Parramatta</t>
  </si>
  <si>
    <t>核准文件（2024-12-16）：data centre building with an operational capacity of 31.2 MW；Equinix 2022-06-14 新聞稿：SY10x 完成後逾 28 MW，與 SY9x 合計逾 55 MW。</t>
  </si>
  <si>
    <t>出租性待確認：xScale 是 Equinix 與 PGIM 為超大規模客戶建置的長期租約設施，通常由單一或少數大客戶預租；是否向 5 MW 級第三方開放不明。</t>
  </si>
  <si>
    <t>2024-12-16</t>
  </si>
  <si>
    <t>入口網站 SSD-53338465 只有 EIS、RTS、Agency Advice、核准文件，沒有 Management Plans 或 Notifications（無開工通知、CEMP）。Baxtel 標為 Under Construction、2027，屬聚合站且無日期事件。</t>
  </si>
  <si>
    <t>未證實</t>
  </si>
  <si>
    <t>2027（僅 Baxtel；Equinix 未公布）</t>
  </si>
  <si>
    <t>Baxtel（聚合站）</t>
  </si>
  <si>
    <t>xScale 是 Equinix 與 PGIM 為超大規模客戶建置的長期租約設施，通常由單一或少數大客戶預租；是否向 5 MW 級第三方開放不明。</t>
  </si>
  <si>
    <t>SSD-53338465（2024-12-16 核准）</t>
  </si>
  <si>
    <t>施工狀態：Baxtel 稱在建（2027），入口網站無任何開工文件；地址：Baxtel 10 Grand Ave，核准文件 8 Grand Avenue；先前：「Equinix xScale SY9x/SY10x 在 Rosehill — mapping unverified」→ 評估報告證實申請人為 Equinix Hyperscale 2 (SY10) Pty Limited，即 SY10x。
地址備註：已解決：核准文件地址 8 Grand Avenue, Rosehill（Lot 10 DP 1275083）。相鄰的 SY9x 為 10 Grand Avenue（Planning Panel PPSSCC-64，DA 2020-07-31 核准，三層）；DataCenterMap 列 SY9x 為 8A Grand Avenue，Baxtel 把 SY10x 列為 10 Grand Ave，與政府文件不符，不採用。</t>
  </si>
  <si>
    <t>https://www.planningportal.nsw.gov.au/major-projects/projects/grand-avenue-data-centre-expansion-rosehill
https://www.planningportal.nsw.gov.au/planning-panel/data-centre-4
https://majorprojects.planningportal.nsw.gov.au/prweb/PRRestService/mp/01/getContent?AttachRef=SSD-53338465%2120241216T034941.727+GMT</t>
  </si>
  <si>
    <t>https://newsroom.equinix.com/2022-06-14-Equinix-and-PGIM-Real-Estate-Open-First-xScale-TM-Data-Centre-in-Sydney-for-Hyperscalers</t>
  </si>
  <si>
    <t>https://baxtel.com/data-center/equinix-sy10x</t>
  </si>
  <si>
    <t>https://www.planningportal.nsw.gov.au/major-projects/projects/grand-avenue-data-centre-expansion-rosehill
https://www.planningportal.nsw.gov.au/planning-panel/data-centre-4
https://newsroom.equinix.com/2022-06-14-Equinix-and-PGIM-Real-Estate-Open-First-xScale-TM-Data-Centre-in-Sydney-for-Hyperscalers
https://baxtel.com/data-center/equinix-sy10x
https://majorprojects.planningportal.nsw.gov.au/prweb/PRRestService/mp/01/getContent?AttachRef=SSD-53338465%2120241216T034941.727+GMT</t>
  </si>
  <si>
    <t>NSW-020</t>
  </si>
  <si>
    <t>DCI CBR01 — DCI Poplars Data Centre Project（Poplars Innovation Precinct, Jerrabomberra）</t>
  </si>
  <si>
    <t>DCI Data Centers（The Trustee for NineZero DC Sub Trust I, trading as DCI Data Centers）</t>
  </si>
  <si>
    <t>DCI Data Centers；用地位於 Poplars Innovation Precinct Stage 1（地主未於文件具名）</t>
  </si>
  <si>
    <t>2 Wolseley Place, Jerrabomberra NSW 2620</t>
  </si>
  <si>
    <t>Jerrabomberra</t>
  </si>
  <si>
    <t>Queanbeyan-Palerang Regional</t>
  </si>
  <si>
    <t>核准報告：五個資料廳，分三階段 8 MW（兩廳）+ 4 MW（一廳）+ 8 MW（兩廳）IT，共 20 MW IT；最大電力容量（power capacity）25.4 MW；GFA 5,826 m2；16 台 2 MW 柴油備用發電機；投資額 A$2.78 億；施工職缺 125。2022 年新聞稱 CBR01 為 20 MW、Tier III、走獨立 132 kV Essential Energy 電網。</t>
  </si>
  <si>
    <t>2025-11-06</t>
  </si>
  <si>
    <t>Planning Portal（2026-10-03 讀取）：已核准，Determination Date 2025-11-06（Director），Instrument of Consent 上傳 2025-12-08；『Approved Documents』欄顯示『There are no post approval documents available』— 無 CEMP／開工通知，無施工證據。</t>
  </si>
  <si>
    <t>核准報告：『The Applicant will lease space within the data halls to its tenant/s』，租戶自行裝修；2022 年新聞定位為服務聯邦政府／公有雲工作負載的 Canberra 邊緣雲資料中心。</t>
  </si>
  <si>
    <t>無公開租戶</t>
  </si>
  <si>
    <t>SSD-64287712（2025-11-06 核准）</t>
  </si>
  <si>
    <t>Portal 將本案開發類型歸為『Warehouse or distribution centres』，因此不在 先前 以 Data Storage 篩選得到的 50 筆清單內（先前資料 未收錄）。容量三種口徑：IT 20 MW（分階段 8+4+8）、最大電力 25.4 MW、2022 新聞 20 MW；此案不在先前資料的 50 筆 Data Storage 清單內（入口網站歸類為 Warehouse or distribution centres），為新發現；營運商為推定
地址備註：Lot 6 DP 1288362，4.05 ha，B7 Business Park 用地；北接 Tompsitt Drive、東接 Environa Drive、Wolseley Place 為基地邊界道路；鄰近 Canberra 機場與 ACT 邊界（核准報告稱 ACT 邊界在 Poplars Grassland Reserve 以西）。</t>
  </si>
  <si>
    <t>https://www.planningportal.nsw.gov.au/major-projects/projects/dci-poplars-data-centre-project-0</t>
  </si>
  <si>
    <t>https://w.media/dci-to-build-20-mw-cloud-edge-data-centre-in-canberra/</t>
  </si>
  <si>
    <t>https://www.planningportal.nsw.gov.au/major-projects/projects/dci-poplars-data-centre-project-0
https://w.media/dci-to-build-20-mw-cloud-edge-data-centre-in-canberra/</t>
  </si>
  <si>
    <t>NSW-C、NSW-A</t>
  </si>
  <si>
    <t>SA-003</t>
  </si>
  <si>
    <t>DCI Adelaide 03（ADL03）— Technology Park, Mawson Lakes</t>
  </si>
  <si>
    <t>DCI Data Centers（DCI 澳紐業務）</t>
  </si>
  <si>
    <t>DCI Data Centers；官網（2026-10-03 讀取）仍稱為 Brookfield Asset Management 基礎建設事業的 portfolio company</t>
  </si>
  <si>
    <t>Technology Park, Mawson Lakes SA 5095</t>
  </si>
  <si>
    <t>Mawson Lakes</t>
  </si>
  <si>
    <t>5095</t>
  </si>
  <si>
    <t>City of Salisbury（依郊區推定，未由規劃文件確認）</t>
  </si>
  <si>
    <t>2021 年取得 DA 後無任何更新，MW 僅有二手來源，信心低。</t>
  </si>
  <si>
    <t>2021-08</t>
  </si>
  <si>
    <t>無動工證據。2021-08-30/31 DCI 宣布購得土地並取得 Development Approval，稱 further announcements over the coming months；之後未見 2022 至 2026 的動工、竣工或規格更新。DCI 官網 locations 頁（2026-10-03 讀取）仍把 ADL03 列在 Under Development（We are developing ADL03 data centre），連結回 2021-08 新聞稿。南澳 DA 通常有失效期限，本案核准已五年，是否仍有效、是否展延或已實質開工均未能查證。</t>
  </si>
  <si>
    <t>未知（未見任何公告）</t>
  </si>
  <si>
    <t>無。DCI 2021-08 新聞稿未提時程；其後無更新。Baxtel 仍標 Planned</t>
  </si>
  <si>
    <t>DCI 以 Tier-Ready / Tier III 的 secure cloud edge colocation 面向國防、政府與高科技客戶（ADL01/ADL02 為同模式），ADL03 定位相同；但無預租或租戶公告。</t>
  </si>
  <si>
    <t>City of Salisbury 2021 年 DA（案號未取得）</t>
  </si>
  <si>
    <t>(1) MW：8 MW 只來自 Data Centre Magazine 搜尋摘要，DCI 官網未列。(2) 擁有權：主管備忘稱 DCI 為印尼持有，但 DCI 官網 2026-10-03 仍寫 Brookfield portfolio company，W.Media 2025-03-31 訪談也提到 Brookfield 延攬其 CEO，疑似與 PT DCI Indonesia 混淆，未能證實是否另有 2026 年出售。(3) 核准時效：2021 年的 DA 是否仍有效未知；(1) 所有權：DCD 2021 稱 Brookfield 旗下，主管備忘稱印尼持有。(2) 聚合器對 DCI 其他設施的 MW 不一（ADL02：DCI 官方 4 MW IT，Baxtel 6 MW，RenewMap 10 MW），顯示聚合器 MW 不可靠。(3) 2021 年 DA 的有效性與進度無第一手資料。
地址備註：只知道在 Mawson Lakes 的 Technology Park（DCI 官網稱 Mawson Lakes site, Adelaide's defence precinct）。未找到 lot、街名或街號；DA 文件在 PlanSA（被 Cloudflare 擋下）。DCI 於 2021-08 宣布已購地並取得 Development Approval。</t>
  </si>
  <si>
    <t>https://dcidatacenters.com/locations/
https://dcidatacenters.com/news/adelaide-new-digital-infrastructure/
https://www.dcidatacenters.com/locations/
https://www.dcidatacenters.com/news/adelaide-new-digital-infrastructure/</t>
  </si>
  <si>
    <t>https://baxtel.com/news/1051
https://baxtel.com/data-center/dci-adelaide-adl03
https://datacentremagazine.com/data-centres/dci-commits-8-mw-high-security-data-centre-adelaide
https://www.indailysa.com.au/news/archive/2021/08/30/new-data-centres-to-boost-sas-it-capacity
https://itwire.com/business-it-news/data-centres/dci-data-centre-constructs-new-centre-in-south-australia
https://thetechcapital.com/brookfields-dci-invests-in-further-australian-data-centre-expansions/
https://w.media/dci-data-centers-to-build-10mw-data-centre-in-darwin-australia/
https://www.datacenterdynamics.com/en/news/dci-acquires-land-for-third-adelaide-data-center/
https://www.datacenters.com/dci-adelaide-03
https://baxtel.com/sites/dci-adelaide-adl03</t>
  </si>
  <si>
    <t>https://dcidatacenters.com/locations/
https://dcidatacenters.com/news/adelaide-new-digital-infrastructure/
https://dcidatacenters.com/
https://baxtel.com/news/1051
https://baxtel.com/data-center/dci-adelaide-adl03
https://baxtel.com/data-center/dci-adelaide/news
https://www.indailysa.com.au/news/archive/2021/08/30/new-data-centres-to-boost-sas-it-capacity
https://itwire.com/business-it-news/data-centres/dci-data-centre-constructs-new-centre-in-south-australia
https://www.techpartner.news/news/dci-reveals-new-data-centre-plans-for-sa-569291
https://thetechcapital.com/brookfields-dci-invests-in-further-australian-data-centre-expansions/
https://w.media/dci-data-centers-to-build-10mw-data-centre-in-darwin-australia/
https://w.media/the-impact-of-ai-on-digital-infrastructure-sumit-mukhija-chief-executive-officer-dci-data-centers/
https://w.media/dcis-sumit-mukhija-why-certainty-matters-more-than-megawatts/
https://www.dcidatacenters.com/locations/
https://www.dcidatacenters.com/news/adelaide-new-digital-infrastructure/
https://www.dcidatacenters.com/news/adl02-launch/
https://www.datacenterdynamics.com/en/news/dci-acquires-land-for-third-adelaide-data-center/
https://www.datacenters.com/dci-adelaide-03
https://renewalsa.sa.gov.au/projects/technology-park-adelaide</t>
  </si>
  <si>
    <t>NSW-021</t>
  </si>
  <si>
    <t>Southern Highlands Data Campus (SHDC) — Data Building Two (DB2)</t>
  </si>
  <si>
    <t>Nakar Property Pty Ltd</t>
  </si>
  <si>
    <t>DB2 容量未公布；為三層樓資料儲存建築及戶外設備（DA 25/2158）。DB1 為 28 MW 可作參考但不可直接推定；官網標示 DB2『coming soon』。列入是因園區規模明顯 &gt;5 MW（園區規劃至 300 MW）。</t>
  </si>
  <si>
    <t>2025-09-22</t>
  </si>
  <si>
    <t>無施工證據。範疇界定報告：DA 25/2158 於 2025-04-14 遞交，『approved to proceed on 22 September 2025』（措辭含糊，我方未能在 Wingecarribee 議會 DA 登記冊核實）。</t>
  </si>
  <si>
    <t>未公布（官網：coming soon）</t>
  </si>
  <si>
    <t>Cloud Carrier 官網 DB2 (coming soon)</t>
  </si>
  <si>
    <t>與 DB1 相同的 powered shell／colocation 模式。</t>
  </si>
  <si>
    <t>Wingecarribee Council DA 25/2158（報告稱 2025-09-22 核准）</t>
  </si>
  <si>
    <t>核准字樣只出現在申請人自撰的範疇界定報告，未經議會登記冊核實。
地址備註：與 DB1 同一園區地址（Lot 40 DP 1288692）。</t>
  </si>
  <si>
    <t>https://www.planningportal.nsw.gov.au/major-projects/projects/southern-highlands-data-campus-power-station
https://majorprojects.planningportal.nsw.gov.au/prweb/PRRestService/mp/01/getContent?AttachRef=PDA-95012491%2120250926T033914.129+GMT</t>
  </si>
  <si>
    <t>https://cloudcarrier.com/campus/
https://cloudcarrier.com/</t>
  </si>
  <si>
    <t>https://www.planningportal.nsw.gov.au/major-projects/projects/southern-highlands-data-campus-power-station
https://majorprojects.planningportal.nsw.gov.au/prweb/PRRestService/mp/01/getContent?AttachRef=PDA-95012491%2120250926T033914.129+GMT
https://cloudcarrier.com/</t>
  </si>
  <si>
    <t>VIC-017</t>
  </si>
  <si>
    <t>MAB Haystone 工業園區內的資料中心地塊（Westmeadows；DFP 許可 PA2302143）</t>
  </si>
  <si>
    <t>未指定（用地開發商 MAB；申請人 MAB）</t>
  </si>
  <si>
    <t>MAB Corporation</t>
  </si>
  <si>
    <t>140-204 Western Avenue, Westmeadows VIC 3049</t>
  </si>
  <si>
    <t>Westmeadows</t>
  </si>
  <si>
    <t>3049</t>
  </si>
  <si>
    <t>Hume City Council</t>
  </si>
  <si>
    <t>無任何 MW 或營運商資料。許可（Form 9，依 Watson Young 2022-06 圖面 TP01–TP15）准許公用設施（資料中心）用途與建築工程。規模無法判斷是否達 5 MW，列為低信心線索。</t>
  </si>
  <si>
    <t>出租性待確認：僅有用途許可；是否由 MAB 出售地塊予營運商或自建招租皆未知。</t>
  </si>
  <si>
    <t>2024-07-12</t>
  </si>
  <si>
    <t>Hume 規劃修訂 C269hume 與組合許可（s96I）：2023-03-29 受理，Form 9 簽發 2023-12-08，登記冊決定日 2023-12-21。MAB 2024-07 起銷售 Haystone 地塊。未見任何資料中心開工證據。</t>
  </si>
  <si>
    <t>僅有用途許可；是否由 MAB 出售地塊予營運商或自建招租皆未知。</t>
  </si>
  <si>
    <t>DFP PA2302143（Hume C269hume；Form 9 2023-12-08；登記冊決定 2023-12-21）</t>
  </si>
  <si>
    <t>地址備註：Lot 1 &amp; 2 TP512682；前 Cleanaway 有毒廢棄物掩埋場緩衝地，Haystone 工業園區約 38–41 ha，鄰 Melbourne Airport；資料中心為園區內一宗約 3 ha 的大地塊（realestatesource）。</t>
  </si>
  <si>
    <t>https://www.planning.vic.gov.au/planning-approvals/ministerial-permits-register/ministerial-permits/6bac05e8-144c-404a-b7b2-b9e5445cb849
https://sftpbspomppprod01.blob.core.windows.net/applicationfiles/6bac05e8-144c-404a-b7b2-b9e5445cb849_C269hume%20-PA2302143%20-%20140-204%20Western%20Avenue%20Westmeadows%20-%20Data%20Centre%20-%20Form%209%20-%20APPROVAL%20FINAL%20.pdf</t>
  </si>
  <si>
    <t>https://www.realestatesource.com.au/mab-wins-long-battle-to-develop-tip-buffer-site/
https://www.mab.com.au/projects/business-parks/haystone/
https://datacentremoratorium.net/index.php/Resources:MAB_Westmeadows</t>
  </si>
  <si>
    <t>https://www.planning.vic.gov.au/planning-approvals/ministerial-permits-register/ministerial-permits/6bac05e8-144c-404a-b7b2-b9e5445cb849
https://sftpbspomppprod01.blob.core.windows.net/applicationfiles/6bac05e8-144c-404a-b7b2-b9e5445cb849_C269hume%20-PA2302143%20-%20140-204%20Western%20Avenue%20Westmeadows%20-%20Data%20Centre%20-%20Form%209%20-%20APPROVAL%20FINAL%20.pdf
https://www.realestatesource.com.au/mab-wins-long-battle-to-develop-tip-buffer-site/
https://datacentremoratorium.net/index.php/Resources:MAB_Westmeadows</t>
  </si>
  <si>
    <t>VIC-018</t>
  </si>
  <si>
    <t>Perri Melbourne Data Centre（PMDC，West Footscray；DFP 許可 PA2403320）</t>
  </si>
  <si>
    <t>未指定（開發商 Perri Projects；未見營運商或租戶）</t>
  </si>
  <si>
    <t>Central Godown Pty Ltd（董事 David Scalzo，Perri Projects）與 Albert Kennedy Pty Ltd 共有土地；申請顧問 Contour Consultants Aust Pty Ltd；建築師 Greenbox Architects</t>
  </si>
  <si>
    <t>63 Sunshine Road and 1 McArthur Street, West Footscray VIC 3012</t>
  </si>
  <si>
    <t>官方文件無 MW。DTP 官員報告：4 層（17.6–19.6 m）、GFA 約 28,698 m²、三個資料廳（地面、1 樓、2 樓各一）、地下室柴油儲存約 510 kL、營運人員 150 FTE；Urban Developer：開發成本 A$800m、完工價值 A$1bn。柴油量與樓板規模顯示遠超 5 MW，但無法換算 MW。</t>
  </si>
  <si>
    <t>出租性待確認：規模與 DFP 路徑顯示為商業資料中心，但未見營運商、租戶或出租模式。</t>
  </si>
  <si>
    <t>2025-12-17</t>
  </si>
  <si>
    <t>DFP PA2403320：2024-11-02 受理（公告 2025-01-08 至 22）；WorkSafe 於 2024-12-18 先反對、2025-03-04 附條件同意；2025-04-04 核發；PA2403320-1（建築高度增加 1.92 m）2025-12-17 核准。ABC 2026-06-09 與 realestate.com.au 2026-09-24 均稱已核准；未見開工證據。</t>
  </si>
  <si>
    <t>規模與 DFP 路徑顯示為商業資料中心，但未見營運商、租戶或出租模式。</t>
  </si>
  <si>
    <t>DFP PA2403320（-1 修訂 2025-12-17）；Maribyrnong 分割許可（編號未取得）；TP331/2022(1)（前案進出道路）</t>
  </si>
  <si>
    <t>先前資料 將 PA2403320 標為 NEXTDC M3（申請人 Contour Consultants）：錯誤。申請人為 Central Godown Pty Ltd（Perri Projects），官員報告明載鄰近的 Next DC Melbourne data centre 位於 Indwe Street 與 Cala Street 轉角，NEXTDC M3 擴建另為 PA2604231；先前資料 將 PA2403320 歸為 NEXTDC M3（申請人 Contour Consultants）——本次無法證實：申請人是規劃顧問，許可與官員報告未提 NEXTDC；NEXTDC M3 的 DFP 申請是 PA2604231。
地址備註：Goldsbrough Mort 羊毛倉庫（遺產登錄）後方空地，Sunshine Road／McArthur Street／Indwe Street 之間，約 2.72 ha；距 Tottenham 站約 600 m。與 NEXTDC M3（Indwe Street 與 Cala Street 轉角）相隔約一個街區，不是同一專案。</t>
  </si>
  <si>
    <t>https://www.planning.vic.gov.au/planning-approvals/ministerial-permits-register/ministerial-permits/fcb0d877-0b98-ef11-8a68-002248938a9c
https://sftpbspomppprod01.blob.core.windows.net/applicationfiles/fcb0d877-0b98-ef11-8a68-002248938a9c_DTP%20Planning%20Assessment-Officer%20Report%20-%20PA2403320%20-%2063%20Sunshine%20Road%20West%20Footscray.pdf%20-%20Redacted.pdf
https://sftpbspomppprod01.blob.core.windows.net/applicationfiles/fcb0d877-0b98-ef11-8a68-002248938a9c_Planning%20Permit%20-%20PA2403320%20-%2063%20Sunshine%20Road%20West%20Footscray.pdf</t>
  </si>
  <si>
    <t>https://www.theurbandeveloper.com/articles/data-centre-perri-projects-victoria-west-footscray
https://www.datacenterdynamics.com/en/news/data-center-planned-for-former-woolstore-in-west-melbourne-australia/
https://www.abc.net.au/news/2026-06-09/firefighter-concern-over-data-centres-in-melbourne-west/106762858
https://www.realestate.com.au/news/west-footscray-data-centre-deters-homebuyers/
https://datacentremoratorium.net/index.php/Resources:Perri_Melbourne_Data_Centre_(PMDC)</t>
  </si>
  <si>
    <t>https://www.planning.vic.gov.au/planning-approvals/ministerial-permits-register/ministerial-permits/fcb0d877-0b98-ef11-8a68-002248938a9c
https://sftpbspomppprod01.blob.core.windows.net/applicationfiles/fcb0d877-0b98-ef11-8a68-002248938a9c_DTP%20Planning%20Assessment-Officer%20Report%20-%20PA2403320%20-%2063%20Sunshine%20Road%20West%20Footscray.pdf%20-%20Redacted.pdf
https://sftpbspomppprod01.blob.core.windows.net/applicationfiles/fcb0d877-0b98-ef11-8a68-002248938a9c_Planning%20Permit%20-%20PA2403320%20-%2063%20Sunshine%20Road%20West%20Footscray.pdf
https://www.theurbandeveloper.com/articles/data-centre-perri-projects-victoria-west-footscray
https://www.datacenterdynamics.com/en/news/data-center-planned-for-former-woolstore-in-west-melbourne-australia/
https://www.abc.net.au/news/2026-06-09/firefighter-concern-over-data-centres-in-melbourne-west/106762858
https://www.realestate.com.au/news/west-footscray-data-centre-deters-homebuyers/
https://datacentremoratorium.net/index.php/Resources:Perri_Melbourne_Data_Centre_(PMDC)</t>
  </si>
  <si>
    <t>VIC-019</t>
  </si>
  <si>
    <t>STACK MEL03（Tarneit，1005 Boundary Road；STACK 身分為推定；Wyndham 許可 WYP15464/25）</t>
  </si>
  <si>
    <t>STACK Infrastructure（推定，尚未正式宣布）</t>
  </si>
  <si>
    <t>未知（申請顧問 Tract Consultants，亦為 MEL02 的顧問）</t>
  </si>
  <si>
    <t>1005 Boundary Road, Tarneit VIC 3029</t>
  </si>
  <si>
    <t>Tarneit</t>
  </si>
  <si>
    <t>MW 未公布。DCM wiki 引述雨水計畫（ACOR）：4 棟、各 3 層（約 32.5 m）、4 座變電站、280 kW 太陽能；規模遠超 5 MW 門檻。</t>
  </si>
  <si>
    <t>出租性待確認：營運商身分未證實。</t>
  </si>
  <si>
    <t>2026-06-19</t>
  </si>
  <si>
    <t>Wyndham WYP15464/25：2025-12-19 提出（用途為公用設施（資料中心）），2026-06-19 核准（依 DCM wiki 整理 Wyndham 入口網站；入口網站需登入，未能獨立開啟）。尚無開工證據。</t>
  </si>
  <si>
    <t>營運商身分未證實。</t>
  </si>
  <si>
    <t>Wyndham WYP15464/25；分割 WYP15630/26（經 DCM wiki）</t>
  </si>
  <si>
    <t>STACK 身分僅憑申請顧問推定；DCM wiki 自述 STACK 尚未正式宣布 MEL03；STACK 身分只憑申請代理人 Tract Consultants（亦為 MEL02 的代理人）推定；DCM wiki 自述 STACK 尚未正式宣布 MEL03。
地址備註：DCM wiki 引 Wyndham 申請 WYP15464/25 與 ACOR 雨水管理計畫；位於 Tarneit Logistics Hub 東側待細分地塊（細分案 WYP15630/26）。</t>
  </si>
  <si>
    <t>https://www.planning.vic.gov.au/planning-approvals/ministerial-permits-register/ministerial-permits/3445e501-ef0a-f111-8406-7ced8da0d89a</t>
  </si>
  <si>
    <t>https://datacentremoratorium.net/index.php/Resources:STACK_MEL03_Campus
https://www.charterhall.com.au/tarneit</t>
  </si>
  <si>
    <t>https://www.planning.vic.gov.au/planning-approvals/ministerial-permits-register/ministerial-permits/3445e501-ef0a-f111-8406-7ced8da0d89a
https://datacentremoratorium.net/index.php/Resources:STACK_MEL03_Campus</t>
  </si>
  <si>
    <t>QLD-002</t>
  </si>
  <si>
    <t>Western Downs Digital Park (WDDP)</t>
  </si>
  <si>
    <t>Zerra DC（開發商兼營運商、聯合體主導者；DA 申請主體為專案公司 WDDP Pty Ltd）</t>
  </si>
  <si>
    <t>聯合體：Zerra DC（由 AGP Group／AGP Sustainable Real Assets 設立）、Australian Data Centres（ADC，持股 25%，Dexus 持有 ADC 85%）、Macquarie Capital（聯合體成員，兼財務與專案顧問）。土地所有人：Wambo Cattle Company（已同意 WDDP 提出申請）。</t>
  </si>
  <si>
    <t>1933 Dalby-Kogan Road, Kogan QLD 4406</t>
  </si>
  <si>
    <t>Kogan</t>
  </si>
  <si>
    <t>4406</t>
  </si>
  <si>
    <t>Western Downs Regional Council</t>
  </si>
  <si>
    <t>DA 主要文件（規劃、經濟、交通報告）：4 棟 x 360 MW = 1.44 GW IT；每棟資料機房面積 36,000 平方公尺（單棟建築面積 41,897 平方公尺，4 棟合計 GFA 167,588 平方公尺；W.Media 稱園區總樓地板約 195,000 平方公尺）。DA 附件 HDR Infrastructure Services Report 則寫 6 棟 x 360 MW = 2.16 GW IT、3.24 GVA 設施需量；Dexus/IPE/Zerra 對外稱總容量 2.16 GW，Urban Developer 稱規劃文件顯示可能再擴 2 棟。Phase I 含第一棟資料中心、電池式功率調節系統與 540 MVA 變電站。</t>
  </si>
  <si>
    <t>無施工證據，且尚未核准。DA（Material Change of Use：Research and Technology Industry、工人住宿、高衝擊工業之混凝土拌合廠，適用 impact assessment）於 2026-08-17 提交 Western Downs Regional Council，截至 2026-10-02 仍在審查中，議會表示沒有明確審查時程（ABC 2026-10-02）。WDDP 官網稱計畫仍須經地方與州政府評估核准。Dexus ASX 公告（2026-09-16）稱與 Anthropic 澳洲子公司的租約文件『subject to customary approvals』；IPE Real Assets 與 Brisbane Development 稱租約須經 FIRB 批准。Zerra 已向州政府申請『prescribed process』身分，若獲准將由 Coordinator-General 取代議會作決定；州政府 2026-10-02 宣布資料中心審批將改由州級新制度處理，但 Western Downs 市長稱已獲保證本案仍由議會審理（ABC）。</t>
  </si>
  <si>
    <t>未開始（DA 審查中）</t>
  </si>
  <si>
    <t>第一棟（Stage 1A，360 MW）：據 Dexus/IPE/Brisbane Development 於 2027 年上線或開始使用，但 DA 尚未核准，時程明顯樂觀；全園區工期 4 至 6 年（Urbis 經濟評估）。</t>
  </si>
  <si>
    <t>Dexus ASX 公告 2026-09-16 經 IPE Real Assets 報導（first data centre due online 2027）；Brisbane Development 2026-09-16（Anthropic 目標 2027 開始使用）；Urbis 經濟評估經 W.Media 2026-08-24 報導（4 至 6 年）。均為申請階段說法，非施工里程碑。</t>
  </si>
  <si>
    <t>Zerra 為第三方批發型開發商，非自用業者。第一棟已預租給 Anthropic（命名 AI 實驗室預租，依規則不算自用 captive）。但每棟 360 MW 為超大規模整棟批發，Brisbane Development 稱 Anthropic『有權隨園區擴張成長』，後續各棟可能也被同一租戶取走；5 MW 級租戶幾乎不可能直接承租，僅能透過向 Anthropic 或聯合體洽談分租或配套安排。階段結構（DA 圖面）：Stage 1A 第一棟、1B 第二棟、2A 第三棟、2B 第四棟；各階段均須先取得 DA 核准。</t>
  </si>
  <si>
    <t>Anthropic（其澳洲子公司）簽署第一棟（Stage 1A）租約文件，用途為 Claude 推論工作負載（Brisbane Development 引 ABC）；受 FIRB 及其他慣例批准約束。其他棟尚無公開租戶。</t>
  </si>
  <si>
    <t>Western Downs Regional Council DA（Material Change of Use，impact assessment）；2026-08-17 提交；Council 申請編號本次未能取得（公開報導皆未載明）。</t>
  </si>
  <si>
    <t>(1) 容量：DA 主要文件 1.44 GW IT（4 x 360 MW）對 HDR 電氣設計報告 2.16 GW IT（6 x 360 MW）；Dexus/IPE 與 Zerra 對外用 2.16 GW，W.Media 已向 Urbis 查詢是否為未來擴建或文件不一致（未回覆）。(2) 工期：Brisbane Development 稱 4 階段約 4 年，Urbis 經濟評估稱 4 至 6 年。(3) 階段命名：W.Media 稱 4 stages，DA 圖面為 1A/1B/2A/2B；Dexus 稱租約涵蓋『first stage』，ABC 稱第一棟，是否含 1B 未確認。(4) DA 提交日：W.Media 與 Brisbane Development 為 2026-08-17，Baxtel/Real Estate Source/Your Neighbourhood 的 08-24 是文章日期。(5) 投資額：Urbis 建造成本 A$14.5bn（不含 GST）對媒體 A$31.9bn 總投資對 Dexus/IPE 約 A$30bn；口徑不同。(6) 上線時間：Dexus/IPE 稱第一棟 2027 年，但 DA 尚未核准。(7) 租約批准條件：Dexus 稱『customary approvals』，IPE 與 Brisbane Development 明指 FIRB；(1) 容量：1.44 GW（4 x 360 MW，W.Media 引 DA）對 2.16 GW（ABC；W.Media 引另一份報告 6 棟）對知悉事實 540 MW stage 1B。(2) 成本：W.Media 引 DA 為 A$14.5bn（不含 GST，約 A$16bn 含 GST）；ABC 與標題稱 A$31.9bn 至 A$32bn，推測後者含設備與資金成本（推測）。(3) 時程：DA 2026-08 才送件，卻稱 Anthropic 2027 開始使用，兩者難以並存，需待 council 決定
地址備註：地段為 Lot 125 on DY316（Brisbane Development 2026-09-16 引述申請文件），單一永久產權地塊 725.5 公頃，現為 Wambo 肉牛飼養場。位於 Dalby 西北約 37 公里、Brisbane 西北約 250 公里；北側臨 Dalby-Kogan Road，另一邊界路為 Grahams Road；建築物自 Dalby-Kogan Road 後退約 950 公尺至 1 公里</t>
  </si>
  <si>
    <t>https://developmenti.wdrc.qld.gov.au/</t>
  </si>
  <si>
    <t>https://www.westerndownsdigitalpark.com.au/
https://investorpa.com/announcement-pdf/20260916/343864.pdf</t>
  </si>
  <si>
    <t>https://w.media/zerra-plans-1-44gw-aud-14-5bn-data-centre-campus-in-queensland/
https://brisbanedevelopment.com.au/anthropic-zerra-dc-western-downs-digital-park-32-billion-data-centre-dalby/
https://www.abc.net.au/news/2026-10-02/qld-state-to-take-data-centre-approvals-from-local-councils/107221348
https://realassets.ipe.com/news/macquarie-partners-with-zerra-and-adc-to-build-australias-largest-data-centre-campus-for-anthropic/10138513.article
https://yourneighbourhood.com.au/data-centre-technology-campus-dalby-kogan-road-kogan/
https://baxtel.com/news/zerra-dc-files-plans-for-large-data-center-campus-in-queensland-australia
https://www.theurbandeveloper.com/articles/anthropic-claude-ai-western-downs-digital-park-deal-qld
https://itbrief.com.au/story/anthropic-leases-first-stage-of-queensland-data-campus
https://www.realestatesource.com.au/zerra-files-plans-for-31bn-queensland-data-centre-campus/
https://www.itnews.com.au/news/anthropic-signs-first-australia-data-centre-agreement-628972
https://www.couriermail.com.au/news/queensland/qld-politics/anthropicbacked-western-downs-data-centre-set-to-blow-out-state-energy-forecasts/news-story/2d147b9690710e78675a61af2dc82dcc
https://w.media/anthropic-signs-first-australian-data-center-lease/
https://www.abc.net.au/news/2026-09-16/queensland-data-centre-anthropic-dalby/107160640
https://www.abc.net.au/news/2026-09-14/western-downs-digital-park-data-centre-energy-queensland/107115082
https://www.abc.net.au/news/2026-08-24/plans-for-australia-largest-data-centre-in-regional-queensland/107071624</t>
  </si>
  <si>
    <t>https://investorpa.com/announcement-pdf/20260916/343864.pdf
https://www.westerndownsdigitalpark.com.au/
https://w.media/zerra-plans-1-44gw-aud-14-5bn-data-centre-campus-in-queensland/
https://brisbanedevelopment.com.au/anthropic-zerra-dc-western-downs-digital-park-32-billion-data-centre-dalby/
https://www.abc.net.au/news/2026-10-02/qld-state-to-take-data-centre-approvals-from-local-councils/107221348
https://realassets.ipe.com/news/macquarie-partners-with-zerra-and-adc-to-build-australias-largest-data-centre-campus-for-anthropic/10138513.article
https://yourneighbourhood.com.au/data-centre-technology-campus-dalby-kogan-road-kogan/
https://baxtel.com/news/zerra-dc-files-plans-for-large-data-center-campus-in-queensland-australia
https://www.theurbandeveloper.com/articles/anthropic-claude-ai-western-downs-digital-park-deal-qld
https://itbrief.com.au/story/anthropic-leases-first-stage-of-queensland-data-campus
https://www.realestatesource.com.au/zerra-files-plans-for-31bn-queensland-data-centre-campus/
https://www.itnews.com.au/news/anthropic-signs-first-australia-data-centre-agreement-628972
https://www.planningalerts.org.au/applications/3430522
https://w.media/anthropic-signs-first-australian-data-center-lease/
https://www.abc.net.au/news/2026-09-16/queensland-data-centre-anthropic-dalby/107160640
https://www.abc.net.au/news/2026-09-14/western-downs-digital-park-data-centre-energy-queensland/107115082
https://www.abc.net.au/news/2026-08-24/plans-for-australia-largest-data-centre-in-regional-queensland/107071624</t>
  </si>
  <si>
    <t>QLD-B、QLD-A</t>
  </si>
  <si>
    <t>NSW-022</t>
  </si>
  <si>
    <t>CDC Wagga Wagga Data Centre Campus（Planning Portal：Ashfords Road Data Centre, Gregadoo）</t>
  </si>
  <si>
    <t>CDC Data Centres Pty Ltd（ABN 59 125 710 394，Fyshwick ACT）</t>
  </si>
  <si>
    <t>216 Ashfords Road, Gregadoo NSW 2650</t>
  </si>
  <si>
    <t>Gregadoo</t>
  </si>
  <si>
    <t>2650</t>
  </si>
  <si>
    <t>Wagga Wagga City</t>
  </si>
  <si>
    <t>1.4 GW 為 Portal 與報告所載 total power consumption／demand（IT 負載未公布）。四棟單層資料中心建築，GFA 合計約 189,325 m2，最多 384 台柴油備用發電機、兩座場內變電站、STATCOM、13.10 MWp 屋頂太陽能；可開發面積約 63.4 ha；分階段開發。預估投資約 A$150 億（不含 GST）。</t>
  </si>
  <si>
    <t>尚未動工。範疇界定報告（Scoping Report - 216 Ashfords Road Gregadoo v4）於 2026-09-16 上傳、概念圖 2026-09-18 上傳，Portal 狀態『SEARs』（SEARs 尚未發出，Request for SEARs 3 份文件）。本案為『規劃提案 + SSDA』合併申請，需修訂 Wagga Wagga LEP 2010（現地為農村用地、最小地塊 200 ha）；CDC 已透過 Lumea 向 Transgrid 啟動併網程序。</t>
  </si>
  <si>
    <t>未定（需先完成 LEP 修訂與 SSD 核准）</t>
  </si>
  <si>
    <t>CDC 為出租型批發資料中心業者（亦為 brief 所列）；報告稱支援 AI compute、資料儲存與連接需求。無公開租戶。</t>
  </si>
  <si>
    <t>SSD-144289240（Request for SEARs 階段；含 Wagga Wagga LEP 2010 修訂）</t>
  </si>
  <si>
    <t>先前資料稱 RenewMap 列 CDC Wagga Wagga Campus 1,400 MW，與政府文件的『最高 1.4 GW 用電』一致；但屬規劃早期（尚須 LEP 修訂），不應視為近期可交付容量；先前 以 RenewMap 稱「CDC Wagga Wagga Campus 1,400 MW」——與 Scoping 的 1.4 GW 一致，申請人確認為 CDC；RenewMap 1,400 MW 無官方佐證。
地址備註：範疇界定報告（v4，2026-09-16 上傳）：Lot 2 DP1143881，約 103.8 ha 農村用地，位於 Wagga Wagga 市中心南方約 11 km；臨時施工通道使用相鄰市府廢棄物處理場 132 Ashfords Road（Lot 100 DP 1256996）；距 Transgrid 330 kV Wagga Wagga 終端站約 1.3 km。</t>
  </si>
  <si>
    <t>https://www.planningportal.nsw.gov.au/major-projects/projects/ashfords-road-data-centre-gregadoo
https://majorprojects.planningportal.nsw.gov.au/prweb/PRRestService/mp/01/getContent?AttachRef=PDA-132889488%2120260916T080733.975+GMT</t>
  </si>
  <si>
    <t>https://www.cdc.com.au/locations/sydney-and-regional-nsw/gregadoo-wagga-wagga/</t>
  </si>
  <si>
    <t>https://w.media/cdc-plans-aud-15bn-1-4gw-data-centre-campus-near-wagga-wagga/
https://www.mingtiandi.com/real-estate/data-centres/cdc-proposes-10-5b-new-south-wales-data-centre/
https://www.realestatesource.com.au/cdc-data-centres-lines-up-regional-nsw-campus/
https://bebeez.eu/2026/09/30/australias-cdc-plans-gigawatt-scale-data-center-campus-in-wagga-wagga/</t>
  </si>
  <si>
    <t>https://www.planningportal.nsw.gov.au/major-projects/projects/ashfords-road-data-centre-gregadoo
https://majorprojects.planningportal.nsw.gov.au/prweb/PRRestService/mp/01/getContent?AttachRef=PDA-132889488%2120260916T080733.975+GMT
https://w.media/cdc-plans-aud-15bn-1-4gw-data-centre-campus-near-wagga-wagga/
https://www.cdc.com.au/locations/sydney-and-regional-nsw/gregadoo-wagga-wagga/</t>
  </si>
  <si>
    <t>NSW-C、NSW-B、NSW-A</t>
  </si>
  <si>
    <t>NSW-023</t>
  </si>
  <si>
    <t>Mamre Road Data Centre Campus（706-752 Mamre Road, Kemps Creek）</t>
  </si>
  <si>
    <t>未於政府文件具名（known-facts 推定為 AirTrunk SYD4，本次未能驗證）</t>
  </si>
  <si>
    <t>Plan Project Management（範疇界定報告 2025-07-28 之 Applicant；ABN 21 624 589 779，Hurstville）</t>
  </si>
  <si>
    <t>706-752 Mamre Road, Kemps Creek NSW 2178</t>
  </si>
  <si>
    <t>Kemps Creek</t>
  </si>
  <si>
    <t>2178</t>
  </si>
  <si>
    <t>Penrith</t>
  </si>
  <si>
    <t>Portal 描述 power capacity 1 GW（六棟四層資料中心、936 台冷卻機組、852 台柴油備用發電機、14,430 kL 柴油儲存）；範疇界定報告寫 600–1,000 MW。</t>
  </si>
  <si>
    <t>2025-07-28</t>
  </si>
  <si>
    <t>無施工。Portal 狀態『Response to Submissions』（EIS 77 份文件、79 份意見書）；尚無核准。</t>
  </si>
  <si>
    <t>未開始</t>
  </si>
  <si>
    <t>營運商未於政府文件具名；規模屬超大規模園區，通常出租予超大型雲端／AI 客戶。</t>
  </si>
  <si>
    <t>SSD-92743706（Response to Submissions）</t>
  </si>
  <si>
    <t>先前 指示追查的『Plan Project Management』即為本案的申請人。先前資料稱本案為 AirTrunk SYD4、IDA 名單另有『KNBDC Mamre Road』；範疇界定報告中未見 AirTrunk 或 KNBDC 字樣，三者對應關係待確認；先前資料 AirTrunk SYD4；政府文件只顯示 Plan Project Management Pty Ltd（EIS）與 KNBDC SYD4 Pty Ltd（IDA）。「SYD4」符合 AirTrunk 的命名順序（SYD1–SYD3），但未在已讀文件中直接證實。容量 600–1,000 MW（先前）vs EIS 1,200/1,040 MW；Baxtel 把 AirTrunk Kemps Creek Campus 標為 Under Construction、2027，與入口網站 Response to Submissions（尚未核准）矛盾，不採信聚合站
地址備註：範疇界定報告（Willowtree Planning，WTJ25-246）；鄰近 ISPT 的 SSD-30628110。</t>
  </si>
  <si>
    <t>https://www.planningportal.nsw.gov.au/major-projects/projects/mamre-road-data-centre-campus
https://majorprojects.planningportal.nsw.gov.au/prweb/PRRestService/mp/01/getContent?AttachRef=PDA-88817956%2120250728T071939.077+GMT
https://majorprojects.planningportal.nsw.gov.au/prweb/PRRestService/mp/01/getContent?AttachRef=SSD-92743706%2120260204T015908.828+GMT</t>
  </si>
  <si>
    <t>https://baxtel.com/data-center/airtrunk-kemps-creek-campus</t>
  </si>
  <si>
    <t>https://www.planningportal.nsw.gov.au/major-projects/projects/mamre-road-data-centre-campus
https://majorprojects.planningportal.nsw.gov.au/prweb/PRRestService/mp/01/getContent?AttachRef=PDA-88817956%2120250728T071939.077+GMT
https://majorprojects.planningportal.nsw.gov.au/prweb/PRRestService/mp/01/getContent?AttachRef=SSD-92743706%2120260204T015908.828+GMT
https://www.nsw.gov.au/ministerial-releases/data-centre-investment-sustainable-development
https://baxtel.com/data-center/airtrunk-kemps-creek-campus</t>
  </si>
  <si>
    <t>NSW-024</t>
  </si>
  <si>
    <t>NEXTDC S7 Data Centre, Eastern Creek（SSD-113934740；OpenAI 首位客戶）</t>
  </si>
  <si>
    <t>NEXTDC Limited（申請人）</t>
  </si>
  <si>
    <t>1 Kangaroo Avenue (Honeycomb Drive), Eastern Creek NSW 2766</t>
  </si>
  <si>
    <t>Scoping Report（2026-04）：三棟相連兩層（Blocks A–C）、66 個 data halls、GFA 174,411 m2；開關站可支撐 612 MW；預期總場地負載約 700 MW、設計至 875 MVA；320–340 台 3.1 MW 發電機。W.Media（2025-12-05）稱 650 MW、A$7bn，OpenAI 為初始承購方。EDC 未揭露。</t>
  </si>
  <si>
    <t>2026-08-31</t>
  </si>
  <si>
    <t>尚未核准。Scoping 2026-04-09；SEARs 2026-05-06 簽發（Portal 檔案 2026-08-07）；2026-08-31 因 NSW Data Centre Guidelines 加註修訂；Portal 現狀 Prepare EIS。土方大致已依另案 MOD23-00703 辦理。</t>
  </si>
  <si>
    <t>Scoping 預定 2026-05 起土方；各棟 Building A 約 2026-11 起</t>
  </si>
  <si>
    <t>Scoping：總工期 42 個月（土方 9 個月；Building A、B、C 各 18 個月，錯開至 2029-11）；NEXTDC/OpenAI：首期 2027 下半年（W.Media，附條件）。</t>
  </si>
  <si>
    <t>Scoping Report（Urbis，2026）；W.Media（2025-12-05）</t>
  </si>
  <si>
    <t>OpenAI 為首位/初始承購客戶（W.Media），其餘為政府、金融、國防、教育、醫療與研究客群；對第三方的剩餘容量與 NEXTDC 預訂率（FY26 前置訂單 565 MW，先前）無資料。</t>
  </si>
  <si>
    <t>OpenAI（初始 offtaker，W.Media 2025-12-05）</t>
  </si>
  <si>
    <t>SSD-113934740（Prepare EIS）；IDA 背書（2026-03-27）</t>
  </si>
  <si>
    <t>容量：Scoping 612 MW（開關站）/ 700 MW（場地負載）/ 875 MVA；W.Media 650 MW；無
地址備註：可開發面積約 255,137 m2；330 kV 開關站距 TransGrid Sydney West 變電站約 1 km。</t>
  </si>
  <si>
    <t>https://www.planningportal.nsw.gov.au/major-projects/projects/nextdc-s7-data-centre-eastern-creek
https://majorprojects.planningportal.nsw.gov.au/prweb/PRRestService/mp/01/getContent?AttachRef=PDA-107168706%2120260409T032440.056+GMT
https://majorprojects.planningportal.nsw.gov.au/prweb/PRRestService/mp/01/getContent?AttachRef=SSD-113934740%2120260831T070615.862+GMT</t>
  </si>
  <si>
    <t>https://w.media/openai-and-nextdc-unveil-aud-7bn-plan-for-sovereign-ai-campus-in-sydney/
https://baxtel.com/data-center/nextdc-s7-sydney</t>
  </si>
  <si>
    <t>https://www.planningportal.nsw.gov.au/major-projects/projects/nextdc-s7-data-centre-eastern-creek
https://majorprojects.planningportal.nsw.gov.au/prweb/PRRestService/mp/01/getContent?AttachRef=PDA-107168706%2120260409T032440.056+GMT
https://majorprojects.planningportal.nsw.gov.au/prweb/PRRestService/mp/01/getContent?AttachRef=SSD-113934740%2120260831T070615.862+GMT
https://w.media/openai-and-nextdc-unveil-aud-7bn-plan-for-sovereign-ai-campus-in-sydney/</t>
  </si>
  <si>
    <t>NSW-025</t>
  </si>
  <si>
    <t>AirTrunk Kurri Kurri Data Centre, Loxford（SSD-128819490）</t>
  </si>
  <si>
    <t>AirTrunk（W.Media 2026-09-21）</t>
  </si>
  <si>
    <t>ADW Johnson Pty Ltd（Scoping 申請人）代地主 McCloy Loxford Land Pty Ltd / Dowmere Pty Ltd / Hydro Aluminium Kurri Kurri Pty Ltd</t>
  </si>
  <si>
    <t>Hart Road, Loxford NSW 2325 (Lot 4 DP 1314331; portal: 145 Bishops Bridge Road, Sawyers Gully)</t>
  </si>
  <si>
    <t>Loxford</t>
  </si>
  <si>
    <t>2325</t>
  </si>
  <si>
    <t>Cessnock City</t>
  </si>
  <si>
    <t>Scoping（2026-06-16，SKM Planning）：單棟兩層、16 個 data hall 區，總電力需求 540 MW，GFA 44,220 m2、高 16.8 m、空冷（336 台 1.2 MW 冷卻機）、10 台 2.2 MW 應急發電機；施工 500 人、營運 250 人。W.Media（2026-09-21）：AirTrunk，A$3.7bn、540 MW、營運 350+ 人、A$37m 社區貢獻。</t>
  </si>
  <si>
    <t>尚未核准。SEARs 2026-07-14 簽發，2026-08-31 加註 Data Centre Guidelines；Portal 現狀 Prepare EIS（W.Media 稱 EIS 已提交，與 Portal 不符）。Scoping 稱 Stage 0（土方與工業建築殼）擬走 Complying Development 路徑，尚無開工證據。</t>
  </si>
  <si>
    <t>未定（Stage 0 擬以 CDC 提前）</t>
  </si>
  <si>
    <t>Scoping：施工約 14 個月（Stage 0 CDC 土方與建築殼；Stage 1 內裝與其餘設施）；無日期。</t>
  </si>
  <si>
    <t>Scoping Report（SKM Planning，2026-06）</t>
  </si>
  <si>
    <t>AirTrunk 為批發型營運商；Hunter 區位置遠離雪梨 CBD（約 167 km），延遲/網路連接需評估。</t>
  </si>
  <si>
    <t>SSD-128819490（Prepare EIS）</t>
  </si>
  <si>
    <t>先前：Kurri Kurri 申請人未顯示——Scoping 申請人為 ADW Johnson（代地主），W.Media 證實營運商為 AirTrunk。地址：Hart Road, Loxford vs Portal 「145 Bishops Bridge Road, Sawyers Gully」；(1) 地址：Portal 為 145 Bishops Bridge Road, Sawyers Gully；範疇界定報告與 W.Media 為 Hart Road, Loxford。(2) 申請人／營運商：範疇界定報告的 Applicant 為 ADW Johnson Pty Ltd，全文未出現 AirTrunk；AirTrunk 之名僅見於 W.Media 引述其專案網站（我方未找到該網站 URL）。(3) EIS 狀態：AirTrunk 稱已遞交，Portal 仍顯示 Prepare EIS。(4) 先前資料稱此案為『Kurri Kurri, Sawyers Gully』且未知 proponent，現已補上；無
地址備註：前 Hydro Aluminium 煉鋁廠，Lot 4 DP 1314331，20.91 公頃；Portal 地址欄寫 145 Bishops Bridge Road, Sawyers Gully 2326；距雪梨 CBD 約 167 km、紐卡索 37 km。</t>
  </si>
  <si>
    <t>https://www.planningportal.nsw.gov.au/major-projects/projects/kurri-kurri-data-centre
https://majorprojects.planningportal.nsw.gov.au/prweb/PRRestService/mp/01/getContent?AttachRef=PDA-128187739%2120260616T074612.162+GMT
https://majorprojects.planningportal.nsw.gov.au/prweb/PRRestService/mp/01/getContent?AttachRef=SSD-128819490%2120260714T063731.206+GMT
https://majorprojects.planningportal.nsw.gov.au/prweb/PRRestService/mp/01/getContent?AttachRef=SSD-128819490%2120260831T062516.442+GMT</t>
  </si>
  <si>
    <t>https://w.media/airtrunk-proposes-aud-3-7bn-nsw-data-centre/
https://w.media/airtrunk-proposes-aud-3-7bn-nsw-data-centre-with-aud-37m-community-offer/</t>
  </si>
  <si>
    <t>https://www.planningportal.nsw.gov.au/major-projects/projects/kurri-kurri-data-centre
https://majorprojects.planningportal.nsw.gov.au/prweb/PRRestService/mp/01/getContent?AttachRef=PDA-128187739%2120260616T074612.162+GMT
https://w.media/airtrunk-proposes-aud-3-7bn-nsw-data-centre/
https://w.media/airtrunk-proposes-aud-3-7bn-nsw-data-centre-with-aud-37m-community-offer/</t>
  </si>
  <si>
    <t>VIC-020</t>
  </si>
  <si>
    <t>Galileo Group Clyde North 資料中心（585 Berwick-Cranbourne Road；Casey 申請 PA26-0190）</t>
  </si>
  <si>
    <t>未公布（地主／開發商 Galileo Group；規劃書稱兩棟資料中心的租戶為雲端與科技公司）</t>
  </si>
  <si>
    <t>Galileo Group（Neil Werrett，2022-11 以 A$130m 購地）</t>
  </si>
  <si>
    <t>585 Berwick-Cranbourne Road, Clyde North VIC 3978</t>
  </si>
  <si>
    <t>Clyde North</t>
  </si>
  <si>
    <t>3978</t>
  </si>
  <si>
    <t>City of Casey</t>
  </si>
  <si>
    <t>HDR 溫室氣體評估（Cranbourne Star News 2026-09-30）：兩棟資料中心、最大 488 MW IT；Casey eTrack 估價 A$1,120,186,504。</t>
  </si>
  <si>
    <t>2026-09-22</t>
  </si>
  <si>
    <t>Casey eTrack（已讀）PA26-0190：Use and Staged Development of a Data Centre Facility and Associated Signage；2026-04-20 受理；2026-08-06 要求補件；59 份異議；Status：Partial Further Information Received；議員於 2026-08 將案件 call in 由議會投票。Casey 2026-09-08 更新：尚未決定。UGZ 條款豁免第三方通知與上訴。</t>
  </si>
  <si>
    <t>未核准</t>
  </si>
  <si>
    <t>Baxtel 推估（聚合站）</t>
  </si>
  <si>
    <t>Cranbourne Star News：資料中心租戶為雲端與科技公司。</t>
  </si>
  <si>
    <t>Casey PA26-0190（待決）</t>
  </si>
  <si>
    <t>DCD 描述『Unnamed company』，後續報導指 Galileo Group；異議數：DCD 2026-07-22 稱 6 件，W.Media 2026-07-24 稱 13 件。投資額 A$11 億（DCD）對 A$11.2 億（W.Media）。未取得 Casey 規劃案號與申請人名稱；受理日期未取得；議會補件與異議數量僅見搜尋摘要
地址備註：Thompsons Road 與 Berwick-Cranbourne Road 轉角，約 53.6 ha（Urban Growth Zone，現為 Commercial 2 Zone）；北側住宅區隔 Thompsons Road 距離逾 150 m。</t>
  </si>
  <si>
    <t>https://casey-web.t1cloud.com/T1PRDefault/WebApps/eProperty/P1/eTrack/eTrackApplicationDetails.aspx?r=P1.WEBGUEST&amp;f=%24P1.ETR.APPDET.VIW&amp;ApplicationId=PA26-0190
https://www.casey.vic.gov.au/news/update-planning-permit-application-data-centre-clyde-north</t>
  </si>
  <si>
    <t>https://www.datacenterdynamics.com/en/news/au11-billion-data-center-project-proposed-outside-melbourne-australia/
https://cranbournenews.starcommunity.com.au/news/2026-09-30/clyde-north-data-centres-power-demand-revealed/
https://pakenhamnews.starcommunity.com.au/news/2026-09-22/new-state-data-centre-rules-bypass-clyde-north-proposal/
https://w.media/victorias-data-centre-pipeline-grows-with-four-new-melbourne-proposals/
https://baxtel.com/data-center/galileo-group-melbourne-campus
https://datacentremoratorium.net/index.php/Resources:Unknown_Clyde_North</t>
  </si>
  <si>
    <t>https://casey-web.t1cloud.com/T1PRDefault/WebApps/eProperty/P1/eTrack/eTrackApplicationDetails.aspx?r=P1.WEBGUEST&amp;f=%24P1.ETR.APPDET.VIW&amp;ApplicationId=PA26-0190
https://www.casey.vic.gov.au/news/update-planning-permit-application-data-centre-clyde-north
https://www.datacenterdynamics.com/en/news/au11-billion-data-center-project-proposed-outside-melbourne-australia/
https://cranbournenews.starcommunity.com.au/news/2026-09-30/clyde-north-data-centres-power-demand-revealed/
https://pakenhamnews.starcommunity.com.au/news/2026-09-22/new-state-data-centre-rules-bypass-clyde-north-proposal/
https://datacentremoratorium.net/index.php/Resources:Unknown_Clyde_North
https://w.media/victorias-data-centre-pipeline-grows-with-four-new-melbourne-proposals/
https://baxtel.com/data-center/galileo-group-melbourne-campus
https://www.datacentermap.com/australia/melbourne/585-berwick-cranbourne-rd/</t>
  </si>
  <si>
    <t>NSW-026</t>
  </si>
  <si>
    <t>STACK SYD01（Erskine Park，SYD01A / SYD01B）</t>
  </si>
  <si>
    <t>STACK Infrastructure（IPI Partners 持有）；土地由 ESR 子公司 Logos 持有（Erskine Park Logistics Estate，W.Media 敘述）</t>
  </si>
  <si>
    <t>78 Lockwood Road, Erskine Park NSW 2759</t>
  </si>
  <si>
    <t>Erskine Park</t>
  </si>
  <si>
    <t>2759</t>
  </si>
  <si>
    <t>W.Media（2025-04-13）：450 MW 園區，A$650m，82,020 m²、三層、高 24 m、156 部備援發電機；兩棟 SYD01A（East）與 SYD01B（West）（DataCenterMap/Baxtel 命名）。先前資料列為已列入 IDA 清單（STACK 78 Lockwood Road）。</t>
  </si>
  <si>
    <t>尚未核准；入口網站狀態 More Information Required（2026-10-03 讀取）。EIS 資料夾已有 40 份文件、RTS 13 份。</t>
  </si>
  <si>
    <t>SYD01B 2029（僅 Baxtel）</t>
  </si>
  <si>
    <t>Baxtel（聚合站，低信度）</t>
  </si>
  <si>
    <t>STACK 為超大規模批發主機代管。</t>
  </si>
  <si>
    <t>SSD-82211208（More Information Required）</t>
  </si>
  <si>
    <t>無；先前 分列「STACK 78 Lockwood Road（Penrith）」與「STACK SYD01 Erskine Park」兩項——實為同一案
地址備註：已解決：78 Lockwood Road，位於 140 公頃 Fitzpatrick Industrial Estate 內的 7.7 公頃地塊（W.Media）；EIS 附件 BDAR Waiver Request 標題含 78 Lockwood Road Erskine Park 並載明為 STACK Infrastructure 編製。OSM 僅能定位到街道，故採入口網站點位。</t>
  </si>
  <si>
    <t>https://www.planningportal.nsw.gov.au/major-projects/projects/stack-syd01-data-centre-erskine-park
https://majorprojects.planningportal.nsw.gov.au/prweb/PRRestService/mp/01/getContent?AttachRef=SSD-82211208%2120251111T070105.391+GMT</t>
  </si>
  <si>
    <t>https://w.media/stack-infrastructure-plans-450mw-data-center-campus-at-erskine-park-sydney/
https://baxtel.com/data-center/stack-syd01b</t>
  </si>
  <si>
    <t>https://www.planningportal.nsw.gov.au/major-projects/projects/stack-syd01-data-centre-erskine-park
https://w.media/stack-infrastructure-plans-450mw-data-center-campus-at-erskine-park-sydney/
https://baxtel.com/data-center/stack-syd01b
https://majorprojects.planningportal.nsw.gov.au/prweb/PRRestService/mp/01/getContent?AttachRef=SSD-82211208%2120251111T070105.391+GMT</t>
  </si>
  <si>
    <t>VIC-021</t>
  </si>
  <si>
    <t>HyperDC MBL1（Moorabool，Geelong 西北；DFP 申請 PA2604671）</t>
  </si>
  <si>
    <t>HyperDC Pty Ltd（申請人 Hyper DC Pty Ltd；董事 Gerard Adamsons，前 Villawood Properties 取得經理）</t>
  </si>
  <si>
    <t>Hyper DC Pty Ltd（Level 9, 5 Queens Road, Melbourne）</t>
  </si>
  <si>
    <t>715 Ballan Road, Moorabool VIC 3213</t>
  </si>
  <si>
    <t>Moorabool</t>
  </si>
  <si>
    <t>3213</t>
  </si>
  <si>
    <t>City of Greater Geelong（推定：Moorabool 為 Geelong 西北郊區，非 Moorabool Shire；需再核）</t>
  </si>
  <si>
    <t>realestatesource 2026-09-30：400 MW 資料中心園區，終值約 A$6bn（推測）；Baxtel／DCD 亦稱 400 MW。登記冊未載 MW。</t>
  </si>
  <si>
    <t>DFP PA2604671：2026-09-22 受理（頁面已讀，無決定、無附件），恰在州政府公布 150 m 緩衝規則當日。新規不溯及既往，但此案在規則公布當日才送件，是否適用待觀察。</t>
  </si>
  <si>
    <t>首個園區，開發商模式；租戶未公布。</t>
  </si>
  <si>
    <t>DFP PA2604671（待決）</t>
  </si>
  <si>
    <t>DCD 稱位置為「outside Geelong」，行政區實為 City of Greater Geelong 之 Moorabool locality。DatacenterMap 的 560 MVA 與官網 400MW IT 為不同基準。HyperDC 官方網站未能找到（hyperdc.com.au 無法連線，hyperdc.com 為無關的 VPS 公司）。登記冊 PA 編號與申請日由 先前 提供，我方未能自行開啟（登記冊為 JS 應用）。
地址備註：39.65 ha 的前農場，距 Geelong CBD 西北約 12 km，毗鄰 AusNet Moorabool Terminal Station（500 kV）與 Victorian Big Battery（300 MW／450 MWh）。</t>
  </si>
  <si>
    <t>https://www.planning.vic.gov.au/planning-approvals/ministerial-permits-register/ministerial-permits/8acfef7f-1ab6-f111-aaac-000d3acbdfba
https://www.planning.vic.gov.au/planning-approvals/ministerial-permits-register</t>
  </si>
  <si>
    <t>https://www.realestatesource.com.au/6b-data-centre-planned-near-geelong/
https://www.datacenterdynamics.com/en/news/plans-filed-for-400mw-data-center-campus-outside-melbourne-australia/
https://baxtel.com/news/hyperdc-files-plans-for-400mw-data-center-campus-west-of-melbourne
https://www.datacentermap.com/australia/melbourne/hyperdc-mbl1/
https://datacenterdynamics.com/en/news/plans-filed-for-400mw-data-center-campus-outside-melbourne-australia</t>
  </si>
  <si>
    <t>https://www.planning.vic.gov.au/planning-approvals/ministerial-permits-register/ministerial-permits/8acfef7f-1ab6-f111-aaac-000d3acbdfba
https://www.realestatesource.com.au/6b-data-centre-planned-near-geelong/
https://www.datacenterdynamics.com/en/news/plans-filed-for-400mw-data-center-campus-outside-melbourne-australia/
https://baxtel.com/news/hyperdc-files-plans-for-400mw-data-center-campus-west-of-melbourne
https://www.datacentermap.com/australia/melbourne/hyperdc-mbl1/
https://en.wikipedia.org/wiki/Moorabool,_Victoria
https://nominatim.openstreetmap.org/search?q=715+Ballan+Road+Moorabool+VIC
https://datacenterdynamics.com/en/news/plans-filed-for-400mw-data-center-campus-outside-melbourne-australia</t>
  </si>
  <si>
    <t>NSW-027</t>
  </si>
  <si>
    <t>Goodman Project Atlas Data Centre, Eastern Creek（SSD-101067971）</t>
  </si>
  <si>
    <t>Goodman（Goodman Property Services (Aust.) Pty Limited）</t>
  </si>
  <si>
    <t>Goodman Property Services (Aust.) Pty Limited（申請人，EIS 封面）</t>
  </si>
  <si>
    <t>10 Roberts Road, Eastern Creek NSW 2766</t>
  </si>
  <si>
    <t>EIS：最大場地需求 500 MVA（348 MW）；兩棟（Building 1 高 24.0 m、Building 2 高 34.8 m），資料廳面積 61,320 m2、GFA 99,130 m2。EIS 熱力章節以「120 MW IT（10 halls × 12 MW）+ 180 MW IT（15 halls）+ 48 MW」描述，合計與 348 MW 吻合，推測 348 MW 亦為 IT 規模。EDC A$5,536,389,811；施工 2,323 FTE、營運 162 人。W.Media 稱 500 MW。</t>
  </si>
  <si>
    <t>2026-06-09</t>
  </si>
  <si>
    <t>尚未核准。EIS 2026-05-14 提交（主文件 2026-05-28），公告展示 2026-06-09，Portal 現狀 Assessment。</t>
  </si>
  <si>
    <t>未定（EIS 只列 CC1 拆除→CC5 景觀的施工證書順序）</t>
  </si>
  <si>
    <t>EIS 無完工日；階段：Stage 1 = Building 1、Stage 2 = Building 2。</t>
  </si>
  <si>
    <t>EIS（Mecone，2026-05）</t>
  </si>
  <si>
    <t>Goodman 自行開發並對超大規模客戶出租；W.Media（2026-01-28）無預租或客戶承諾資訊。</t>
  </si>
  <si>
    <t>無已揭露</t>
  </si>
  <si>
    <t>SSD-101067971（Assessment）</t>
  </si>
  <si>
    <t>先前 「約 500 MW」＝500 MVA；EIS 同時給 348 MW；無
地址備註：Eastern Creek Precinct Plan Stage 3；鄰近 CDC 的 17 Roberts Road 園區；另需約 493–539 m 的 330 kV 場外電纜。</t>
  </si>
  <si>
    <t>https://www.planningportal.nsw.gov.au/major-projects/projects/project-atlas-data-centre-eastern-creek
https://majorprojects.planningportal.nsw.gov.au/prweb/PRRestService/mp/01/getContent?AttachRef=SSD-101067971%2120260528T060715.082+GMT</t>
  </si>
  <si>
    <t>https://w.media/goodman-files-plans-for-500-mw-sydney-campus-as-expansion-continues/
https://baxtel.com/data-center/goodman-project-atlas</t>
  </si>
  <si>
    <t>https://www.planningportal.nsw.gov.au/major-projects/projects/project-atlas-data-centre-eastern-creek
https://majorprojects.planningportal.nsw.gov.au/prweb/PRRestService/mp/01/getContent?AttachRef=SSD-101067971%2120260528T060715.082+GMT
https://w.media/goodman-files-plans-for-500-mw-sydney-campus-as-expansion-continues/</t>
  </si>
  <si>
    <t>NSW-028</t>
  </si>
  <si>
    <t>Stockland Aldington Road Data Centre, Kemps Creek（SSD-112059740）</t>
  </si>
  <si>
    <t>Stockland（申請人 Stockland Development Pty Limited；營運商待定）</t>
  </si>
  <si>
    <t>Stockland Development Pty Limited；IDA 稱「Stockland / Fife Capital」</t>
  </si>
  <si>
    <t>54-72 Aldington Road (Lot 43) and 74-104 Aldington Road (Lot 90, "90 Aldington Road"), Kemps Creek NSW 2178</t>
  </si>
  <si>
    <t>Scoping Report（2026-08-18，V3）修訂案：兩棟三層超大規模園區（高 36 m），IT load 342–360 MW，1,000 MVA 變電站（Ropes Creek 開關站，另供 200 Aldington Road 園區），EDC 約 A$4–5bn，空冷、不用水冷卻。2026-04-24 簽發的舊 SEARs 案：Lot 90 單棟、IT 226–245 MW。先前 的「up to 168 MW」已過時。</t>
  </si>
  <si>
    <t>尚未核准。SEARs 2026-04-27 簽發（Portal 檔案）、2026-09-16 修訂 SEARs；Scoping 修訂版 2026-08-20；Portal 現狀 Prepare EIS（Amend SEARs）。Lot 90/43 已有批准的場整與民生工程。</t>
  </si>
  <si>
    <t>兩階段：Stage 1 南棟 + 行政區 + 變電站/開關站 + 入口道路；Stage 2 北棟；無日期。</t>
  </si>
  <si>
    <t>Stockland 的雪梨資料中心合資（與 EdgeConneX，50:50）鎖定超大規模/AI 客戶；本案是否納入合資及租戶均未揭露。</t>
  </si>
  <si>
    <t>SSD-112059740（Prepare EIS）；IDA 背書（Stockland Fife Kemps Creek）</t>
  </si>
  <si>
    <t>先前：「Stockland/Fife Capital，up to 168 MW」→ Scoping 修訂案 IT 342–360 MW；原案 226–245 MW IT。（Scoping 另引一個「Kemps Creek 144 MW」，為鄰近 CDC KC1。）；入口網站地圖點位錯誤，已排除；Pre-DA 文件只具名 Fife Land 3 Trust，我方未見 Stockland 字樣；與 先前資料『Stockland/Fife Capital, up to 168 MW』的 168 MW 一致（12 x 14 MW）
地址備註：修訂後方案跨 Lot 43 + Lot 90，約 30 公頃（約 14 公頃可開發）；Portal 座標標記點（-33.856, 151.199）落在雪梨東區，明顯有誤，故未採用。</t>
  </si>
  <si>
    <t>https://www.planningportal.nsw.gov.au/major-projects/projects/aldington-road-data-centre
https://majorprojects.planningportal.nsw.gov.au/prweb/PRRestService/mp/01/getContent?AttachRef=SSD-112059740%2120260820T022208.882+GMT
https://majorprojects.planningportal.nsw.gov.au/prweb/PRRestService/mp/01/getContent?AttachRef=PDA-100709964%2120260329T220047.132+GMT</t>
  </si>
  <si>
    <t>https://baxtel.com/data-center/stockland-kemps-creek-nsw</t>
  </si>
  <si>
    <t>https://www.planningportal.nsw.gov.au/major-projects/projects/aldington-road-data-centre
https://majorprojects.planningportal.nsw.gov.au/prweb/PRRestService/mp/01/getContent?AttachRef=SSD-112059740%2120260820T022208.882+GMT
https://baxtel.com/data-center/stockland-kemps-creek-nsw
https://majorprojects.planningportal.nsw.gov.au/prweb/PRRestService/mp/01/getContent?AttachRef=PDA-100709964%2120260329T220047.132+GMT</t>
  </si>
  <si>
    <t>NSW-B、NSW-A、NSW-C</t>
  </si>
  <si>
    <t>VIC-022</t>
  </si>
  <si>
    <t>Zerra DC 墨爾本園區（Campbellfield，前 Ford Broadmeadows 廠址，Project Dune；DFP 申請 PA2604362）</t>
  </si>
  <si>
    <t>Zerra DC（新加坡）</t>
  </si>
  <si>
    <t>Zerra DC（規劃顧問 Urbis）</t>
  </si>
  <si>
    <t>300-340 Barry Road, Campbellfield VIC 3061</t>
  </si>
  <si>
    <t>Campbellfield</t>
  </si>
  <si>
    <t>3061</t>
  </si>
  <si>
    <t>申請書（Town Planning Report，已讀）：分期開發 6 棟、總容量 336 MW；Stage 1 為兩層約 29,000 m² 資料廳、48 MW；每階段約 24 個月、總建期約 12 年；Stage 1 含 5 MW BESS。ABC：A$1.1bn，建設期 407 工、營運 670 工。</t>
  </si>
  <si>
    <t>2026-07-08</t>
  </si>
  <si>
    <t>DFP PA2604362：2026-04-24 受理、2026-07-08 公告（14 份附件，申請書與設計說明已讀）。Hume 議會 2026-08-10 要求暫停核准（Star Weekly）。尚未核准。</t>
  </si>
  <si>
    <t>約 12 年分期（首期未定）</t>
  </si>
  <si>
    <t>申請書 Town Planning Report</t>
  </si>
  <si>
    <t>Zerra 為批發型開發商，客群為超大規模與 AI；申請書提到營運者可於離峰購電並儲存。</t>
  </si>
  <si>
    <t>DFP PA2604362（待決）</t>
  </si>
  <si>
    <t>建築層數：W.Media 六層樓、DCD 六棟、Baxtel 2 層。登記冊資料由 先前 提供。Zerra 同時有 Queensland Western Downs 案（非我方範圍）
地址備註：Lots 5 &amp; 6（Subdivision P25910.01）；前 Ford 廠區再開發（ASSEMBLY）的一部分，realestatesource 稱 Zerra 於 2026-03 購入該廠區一部分（原規劃為 Troups Road 物流園區延伸）；用地 22.07 ha（申請書 Town Planning Report），六棟總 GFA 211,464 m²。</t>
  </si>
  <si>
    <t>https://www.planning.vic.gov.au/planning-approvals/ministerial-permits-register/ministerial-permits/1113a299-b13f-f111-88b4-7c1e5262e60a
https://sftpbspomppprod01.blob.core.windows.net/applicationfiles/1113a299-b13f-f111-88b4-7c1e5262e60a_ADV04%20-%20PA2604362-300-340%20Barry%20Road%20Campbellfield-Town%20Planning%20Report.pdf
https://www.planning.vic.gov.au/planning-approvals/ministerial-permits-register</t>
  </si>
  <si>
    <t>https://www.abc.net.au/news/2026-08-26/proposal-to-turn-former-ford-factory-into-giant-data-centre/107075906
https://northern.starweekly.com.au/news/hume-calls-halt-on-data-centres/
https://www.realestatesource.com.au/green-light-for-data-centre-half-the-size-of-the-rialto/
https://www.datacenterdynamics.com/en/news/zerra-dc-files-to-build-six-building-data-center-campus-in-melbourne-australia/
https://www.realestatesource.com.au/epa-lodges-first-data-centre-objection/
https://datacentremoratorium.net/index.php/Resources:Campbellfield_Zerra_DC
https://w.media/victorias-data-centre-pipeline-grows-with-four-new-melbourne-proposals/
https://baxtel.com/data-center/zerra-dc-melbourne-campus</t>
  </si>
  <si>
    <t>https://www.planning.vic.gov.au/planning-approvals/ministerial-permits-register/ministerial-permits/1113a299-b13f-f111-88b4-7c1e5262e60a
https://sftpbspomppprod01.blob.core.windows.net/applicationfiles/1113a299-b13f-f111-88b4-7c1e5262e60a_ADV04%20-%20PA2604362-300-340%20Barry%20Road%20Campbellfield-Town%20Planning%20Report.pdf
https://www.abc.net.au/news/2026-08-26/proposal-to-turn-former-ford-factory-into-giant-data-centre/107075906
https://northern.starweekly.com.au/news/hume-calls-halt-on-data-centres/
https://www.realestatesource.com.au/green-light-for-data-centre-half-the-size-of-the-rialto/
https://datacentremoratorium.net/index.php/Resources:Campbellfield_Zerra_DC
https://datacentremoratorium.net/index.php/Resources:Data_Centres_in_Greater_Melbourne
https://www.datacenterdynamics.com/en/news/zerra-dc-files-to-build-six-building-data-center-campus-in-melbourne-australia/
https://w.media/victorias-data-centre-pipeline-grows-with-four-new-melbourne-proposals/
https://baxtel.com/data-center/zerra-dc-melbourne-campus
https://www.datacentermap.com/australia/melbourne/zerra-dc-melbourne-campus/
https://nominatim.openstreetmap.org/search?q=300+Barry+Road+Campbellfield+VIC</t>
  </si>
  <si>
    <t>VIC-023</t>
  </si>
  <si>
    <t>Stockland Brooklyn 資料中心（Brooklyn Distribution Centre；DFP 申請 PA2604419）</t>
  </si>
  <si>
    <t>Stockland（開發）</t>
  </si>
  <si>
    <t>Stockland Development Pty Ltd（申請顧問 proUrban）</t>
  </si>
  <si>
    <t>413 Francis Street, Brooklyn VIC 3012</t>
  </si>
  <si>
    <t>Hobsons Bay City Council（規劃報告：既有工業許可 PA230986 由 Hobsons Bay 核發）</t>
  </si>
  <si>
    <t>DTP：two-storey data centre（250MVA ultimate power capacity）；規劃報告：分階段、兩棟資料中心 GFA 約 75,000 m²＋設備區約 12,000 m²、辦公約 4,800 m²；DCD：250 MW。</t>
  </si>
  <si>
    <t>2026-06-05</t>
  </si>
  <si>
    <t>DFP PA2604419：2026-05-20 受理、2026-06-05 公告（19 份附件，規劃報告與 cover letter 已讀）。規劃報告提到的 2026-05-05 為既有工業許可 PA230986（Hobsons Bay，2024-06-28 核發）的兩年展延至 2028-06-28，與資料中心無關。資料中心尚未核准。</t>
  </si>
  <si>
    <t>Stockland 與 EdgeConneX 合作模式（雪梨 Macquarie Park 已有先例）；租戶未公布。</t>
  </si>
  <si>
    <t>DFP PA2604419（待決）</t>
  </si>
  <si>
    <t>門牌 413（登記冊）vs 412（DCD）；地塊 22 ha（DCD）vs 申請範圍約 11 ha（規劃報告）；門牌：DCD 為 412 Francis Street，其餘來源為 413。MW 基準 250MW（DCD）對 250 MVA（先前 登記冊）。
地址備註：DCD 寫 412 Francis Street，DTP 登記冊為 413。申請地塊約 110,473 m²（約 11 ha），為 Brooklyn Distribution Centre（DCD：22 ha、Stockland 2003 年取得）的一半，取代三棟倉庫；22 Export Drive 不建房。</t>
  </si>
  <si>
    <t>https://www.planning.vic.gov.au/planning-approvals/ministerial-permits-register/ministerial-permits/14c42f63-3f54-f111-bec6-6045bdc28ba0
https://sftpbspomppprod01.blob.core.windows.net/applicationfiles/14c42f63-3f54-f111-bec6-6045bdc28ba0_ADV%205%20-%20PA2604419-413%20Francis%20Street%20Brooklyn-Planning%20Report-200526.pdf
https://sftpbspomppprod01.blob.core.windows.net/applicationfiles/14c42f63-3f54-f111-bec6-6045bdc28ba0_ADV%204%20-%20PA2604419-413%20Francis%20Street%20Brooklyn-Cover%20Letter-200526.pdf
https://www.planning.vic.gov.au/planning-approvals/ministerial-permits-register</t>
  </si>
  <si>
    <t>https://www.datacenterdynamics.com/en/news/stockland-files-to-develop-another-data-center-in-melbourne-australia/
https://www.realestatesource.com.au/green-light-for-data-centre-half-the-size-of-the-rialto/
https://datacentremoratorium.net/index.php/Resources:Stockland_Brooklyn
https://www.datacentermap.com/australia/melbourne/413-francis-street/</t>
  </si>
  <si>
    <t>https://www.planning.vic.gov.au/planning-approvals/ministerial-permits-register/ministerial-permits/14c42f63-3f54-f111-bec6-6045bdc28ba0
https://sftpbspomppprod01.blob.core.windows.net/applicationfiles/14c42f63-3f54-f111-bec6-6045bdc28ba0_ADV%205%20-%20PA2604419-413%20Francis%20Street%20Brooklyn-Planning%20Report-200526.pdf
https://sftpbspomppprod01.blob.core.windows.net/applicationfiles/14c42f63-3f54-f111-bec6-6045bdc28ba0_ADV%204%20-%20PA2604419-413%20Francis%20Street%20Brooklyn-Cover%20Letter-200526.pdf
https://www.datacenterdynamics.com/en/news/stockland-files-to-develop-another-data-center-in-melbourne-australia/
https://www.realestatesource.com.au/green-light-for-data-centre-half-the-size-of-the-rialto/
https://datacentremoratorium.net/index.php/Resources:Stockland_Brooklyn
https://datacentremoratorium.net/index.php/Resources:Data_Centres_in_Greater_Melbourne
https://www.datacentermap.com/australia/melbourne/413-francis-street/
https://nominatim.openstreetmap.org/search?q=413+Francis+Street+Brooklyn+VIC</t>
  </si>
  <si>
    <t>VIC-024</t>
  </si>
  <si>
    <t>Stockland Cherry Lane 資料中心（Laverton North，登記冊稱 SDC1；DFP 申請 PA2604378）</t>
  </si>
  <si>
    <t>Stockland（開發）；報導稱與 EdgeConneX 合作（realestatesource 2026-09-23）</t>
  </si>
  <si>
    <t>Stockland Development Pty Ltd</t>
  </si>
  <si>
    <t>72-76 Cherry Lane, Laverton North VIC 3026</t>
  </si>
  <si>
    <t>DTP 登記冊：two-storey data centre buildings（250MVA ultimate power capacity）；DCD 稱兩棟兩層共 250 MW；Stockland 2026-02：Cherry Lane 與 Brooklyn 共確保約 350 MW 電力。MVA 與 MW 口徑不同，IT 負載會較低。</t>
  </si>
  <si>
    <t>2026-08-03</t>
  </si>
  <si>
    <t>DFP PA2604378：2026-05-05 受理，登記冊無決定。電網前置作業先行：AusNet 的 PA2604458（SDC1 Data Centre 變電站與 Altona Terminal Station 地下電纜；2026-06-05 受理、2026-08-03 核發、2026-08-17 更正）已核發。</t>
  </si>
  <si>
    <t>Stockland 的資料中心模式為與 EdgeConneX 等合作的批發型；租戶未公布。</t>
  </si>
  <si>
    <t>DFP PA2604378（待決）；DFP PA2604458（SDC1 變電站許可 2026-08-03）</t>
  </si>
  <si>
    <t>『SDC1』推定為 Stockland 的 72-76 Cherry Lane 資料中心（登記冊未直接寫申請人對應）；EdgeConneX 的角色僅見於 realestatesource；250 MVA（DTP 許可描述）vs 250 MW IT（Mingtiandi 引規劃文件）——基準不同，勿直接互換
地址備註：現址為 Cherry Lane Distribution Centre（前 Toll，約 20,000 m² 倉庫，Stockland 2025 年以 A$35.5m 購入）；電網權屬另見 130 Cherry Lane（Altona Terminal Station）。</t>
  </si>
  <si>
    <t>https://www.planning.vic.gov.au/planning-approvals/ministerial-permits-register/ministerial-permits/e46a98dc-8d47-f111-bec6-7c1e5262e60a
https://www.planning.vic.gov.au/planning-approvals/ministerial-permits-register/ministerial-permits/ca1e707a-7260-f111-a826-70a8a554a5c4
https://www.planning.vic.gov.au/planning-approvals/ministerial-permits-register</t>
  </si>
  <si>
    <t>https://www.datacenterdynamics.com/en/news/stockland-files-to-develop-250mw-data-center-campus-in-melbourne-australia/
https://www.datacenterdynamics.com/en/news/stockland-files-to-develop-another-data-center-in-melbourne-australia/
https://www.realestatesource.com.au/green-light-for-data-centre-half-the-size-of-the-rialto/
https://www.mingtiandi.com/real-estate/data-centres/stockland-seeks-approval-for-250mw-melbourne-data-centre-campus/
https://irei.com/news/stockland-swaps-warehouses-for-2b-melbourne-data-center/
https://datacentremoratorium.net/index.php/Resources:Stockland_Laverton_North
https://www.datacentermap.com/australia/melbourne/72-76-cherry-lane/</t>
  </si>
  <si>
    <t>https://www.planning.vic.gov.au/planning-approvals/ministerial-permits-register/ministerial-permits/e46a98dc-8d47-f111-bec6-7c1e5262e60a
https://www.planning.vic.gov.au/planning-approvals/ministerial-permits-register/ministerial-permits/ca1e707a-7260-f111-a826-70a8a554a5c4
https://www.datacenterdynamics.com/en/news/stockland-files-to-develop-250mw-data-center-campus-in-melbourne-australia/
https://www.datacenterdynamics.com/en/news/stockland-files-to-develop-another-data-center-in-melbourne-australia/
https://www.realestatesource.com.au/green-light-for-data-centre-half-the-size-of-the-rialto/
https://datacentremoratorium.net/index.php/Resources:Stockland_Laverton_North
https://www.mingtiandi.com/real-estate/data-centres/stockland-seeks-approval-for-250mw-melbourne-data-centre-campus/
https://irei.com/news/stockland-swaps-warehouses-for-2b-melbourne-data-center/
https://www.datacentermap.com/australia/melbourne/72-76-cherry-lane/
https://www.ausnetservices.com.au/projects-and-innovation/major-projects/laverton-north-transmission-works</t>
  </si>
  <si>
    <t>VIC-025</t>
  </si>
  <si>
    <t>GreenSquare MEL1（Spotswood，44-76 Simcock Avenue；DFP 申請 PA2604553）</t>
  </si>
  <si>
    <t>GreenSquareDC（Partners Group 於 2025-03 收購）</t>
  </si>
  <si>
    <t>GreenSquare DC Pty Ltd（登記冊申請人 GreenSquare DC）</t>
  </si>
  <si>
    <t>44-76 Simcock Avenue, Spotswood VIC 3015</t>
  </si>
  <si>
    <t>Spotswood</t>
  </si>
  <si>
    <t>3015</t>
  </si>
  <si>
    <t>Hobsons Bay City Council</t>
  </si>
  <si>
    <t>GreenSquare（DCD 2026-08-05）：三層、240 MW IT；DCM wiki：樓板約 40,510 m²、最終 10 間資料廳。</t>
  </si>
  <si>
    <t>2026-09-28</t>
  </si>
  <si>
    <t>DFP PA2604553：2026-07-30 受理（頁面已讀，無決定）；PA2604679（地下電纜與變電站）2026-09-28 受理。居民請願 2,691 簽名（realestate.com.au）。尚未核准。</t>
  </si>
  <si>
    <t>2027（GreenSquare 稱 live in 2027；wiki 稱 2027 年底）</t>
  </si>
  <si>
    <t>GreenSquare 經 DCD 2026-08-05</t>
  </si>
  <si>
    <t>GreenSquare 為批發型資料中心開發商；租戶未公布。</t>
  </si>
  <si>
    <t>DFP PA2604553（待決）；DFP PA2604679（電網，待決）</t>
  </si>
  <si>
    <t>Baxtel 另寫 MEL1 在 Spotswood；PA2604679 描述稱 GreenSquare MEL1 site, Altona North（兩地緊鄰）；完工時間 2027（公司）與電網連接仍在可行性調查（AusNet）不一致。PA2604679 地點記為 Altona North 而非 Spotswood。GreenSquare 與 Sharon AI 於雪梨 SYD1 的客戶關係出自 W.Media 搜尋結果標題，未開啟全文；先前資料「Altona North」vs GreenSquare 官方頁稱 Spotswood；2027 年底目標只見二手轉述
地址備註：前石化油品儲存場（Mobil），緊鄰 West Gate Bridge；登記冊另有電網連接 PA2604679（4 New Street, Altona North 至 Brooklyn Terminal Station, South Kingsville）。</t>
  </si>
  <si>
    <t>https://www.planning.vic.gov.au/planning-approvals/ministerial-permits-register/ministerial-permits/aae82a26-d98b-f111-ab0f-6045bde5e09b
https://www.planning.vic.gov.au/planning-approvals/ministerial-permits-register/ministerial-permits/25f85ea1-feba-f111-aaad-6045bdc28ea6
https://www.planning.vic.gov.au/planning-approvals/ministerial-permits-register
https://www.ausnetservices.com.au/projects-and-innovation/major-projects/spotswood-underground-electricity-transmission-connection</t>
  </si>
  <si>
    <t>https://greensquaredc.com/MEL1</t>
  </si>
  <si>
    <t>https://www.datacenterdynamics.com/en/news/australias-greensquare-expands-into-melbourne-with-240mw-campus/
https://www.realestate.com.au/news/west-footscray-data-centre-deters-homebuyers/
https://www.ausnetservices.com.au/projects-and-innovation/major-projects/spotswood-underground-electricity-transmission-connection
https://datacentremoratorium.net/index.php/Resources:GreenSquareDC_MEL1</t>
  </si>
  <si>
    <t>https://www.planning.vic.gov.au/planning-approvals/ministerial-permits-register/ministerial-permits/aae82a26-d98b-f111-ab0f-6045bde5e09b
https://www.planning.vic.gov.au/planning-approvals/ministerial-permits-register/ministerial-permits/25f85ea1-feba-f111-aaad-6045bdc28ea6
https://www.datacenterdynamics.com/en/news/australias-greensquare-expands-into-melbourne-with-240mw-campus/
https://www.realestate.com.au/news/west-footscray-data-centre-deters-homebuyers/
https://datacentremoratorium.net/index.php/Resources:GreenSquareDC_MEL1
https://www.ausnetservices.com.au/projects-and-innovation/major-projects/spotswood-underground-electricity-transmission-connection
https://nominatim.openstreetmap.org/search?q=44-76+Simcock+Avenue+Spotswood+VIC
https://greensquaredc.com/MEL1
https://datacentremoratorium.net/index.php/Resources:Data_Centres_in_Greater_Melbourne</t>
  </si>
  <si>
    <t>NSW-029</t>
  </si>
  <si>
    <t>Julius Avenue Data Centre（ISPT，North Ryde）</t>
  </si>
  <si>
    <t>ISPT（營運商未公布）</t>
  </si>
  <si>
    <t>ISPT Pty Ltd（EIS 所載；Willowtree Planning 代理）</t>
  </si>
  <si>
    <t>6-8 Julius Avenue, North Ryde NSW 2113</t>
  </si>
  <si>
    <t>North Ryde</t>
  </si>
  <si>
    <t>EIS：12 個資料大廳、六層，IT 負載 115.2 MW、最大耗電 169 MW；Baxtel 稱投資約 A$1.8bn、規劃 2028。</t>
  </si>
  <si>
    <t>尚未核准；入口網站狀態 More Information Required（2026-10-03 讀取）；EIS 檔名日期 240625。</t>
  </si>
  <si>
    <t>2028（僅 Baxtel）</t>
  </si>
  <si>
    <t>ISPT 為機構型開發商，EIS 稱將依未來租戶需求調整，屬第三方租賃導向。</t>
  </si>
  <si>
    <t>SSD-80018208（More Information Required）</t>
  </si>
  <si>
    <t>無；先前 沒有申請人——現證實為 ISPT Pty Ltd（Industry Super Property Trust）；先前資料稱 Digital Realty North Ryde 約 70 MW（Baxtel/DCD，待驗證）；Portal 上 North Ryde 唯一的資料中心 SSD 是本案（170 MW）。兩者關係我方無法驗證
地址備註：EIS 地塊：Lot 89 DP 1082131；門牌取自先前資料清單。</t>
  </si>
  <si>
    <t>https://www.planningportal.nsw.gov.au/major-projects/projects/julius-avenue-data-centre
https://majorprojects.planningportal.nsw.gov.au/prweb/PRRestService/mp/01/getContent?AttachRef=SSD-80018208%2120250624T053649.263+GMT
https://majorprojects.planningportal.nsw.gov.au/prweb/PRRestService/mp/01/getContent?AttachRef=PDA-79878476%2120250209T213959.321+GMT</t>
  </si>
  <si>
    <t>https://baxtel.com/data-center/ispt-sydney
https://w.media/ispt-applies-to-build-170mw-six-storey-data-center-at-julius-avenue-north-ryde-sydney/</t>
  </si>
  <si>
    <t>https://www.planningportal.nsw.gov.au/major-projects/projects/julius-avenue-data-centre
https://baxtel.com/data-center/ispt-sydney
https://majorprojects.planningportal.nsw.gov.au/prweb/PRRestService/mp/01/getContent?AttachRef=SSD-80018208%2120250624T053649.263+GMT
https://majorprojects.planningportal.nsw.gov.au/prweb/PRRestService/mp/01/getContent?AttachRef=PDA-79878476%2120250209T213959.321+GMT</t>
  </si>
  <si>
    <t>NSW-A、NSW-B、NSW-C</t>
  </si>
  <si>
    <t>NSW-030</t>
  </si>
  <si>
    <t>CDC KC1 Data Centre, Kemps Creek（SSD-133677993）</t>
  </si>
  <si>
    <t>CDC Data Centres Pty Ltd</t>
  </si>
  <si>
    <t>CDC Data Centres Pty Ltd（Scoping Report 申請人；ABN 59 125 710 394）</t>
  </si>
  <si>
    <t>859-901 Mamre Road, Kemps Creek NSW 2178</t>
  </si>
  <si>
    <t>Scoping Report（2026-07-01，Willowtree）：單棟四層、高約 35.2 m，總用電約 144 MW，為資料中心園區的「第一期」，另有 ancillary 電力變電站。EDC 未揭露。</t>
  </si>
  <si>
    <t>尚未核准。SEARs 申請 2026-07-14，簽發 2026-08-10，並於 2026-08-31 加註 NSW Data Centre Guidelines；Portal 現狀 Prepare EIS。</t>
  </si>
  <si>
    <t>CDC 為批發/託管營運商，但實務上容量由大型客戶（如 先前 提及的 555 MW 美國客戶合約）預訂。</t>
  </si>
  <si>
    <t>SSD-133677993（Prepare EIS）</t>
  </si>
  <si>
    <t>先前資料 把 KC1（859-901 Mamre Road）列為 proponent 未知；範疇界定報告確認為 CDC。IDA 名單中的『KNBDC Mamre Road』是否即為本案，無法由政府文件確認；門牌範圍 859-901 對 871-901；MW 未公布
地址備註：Lots 30–33 DP 258414；資料中心位於 Lot 32，變電站跨 Lot 30–32；議會 DA25/0034 為配套整地/道路。</t>
  </si>
  <si>
    <t>https://www.planningportal.nsw.gov.au/major-projects/projects/kc1-data-centre-kemps-creek
https://majorprojects.planningportal.nsw.gov.au/prweb/PRRestService/mp/01/getContent?AttachRef=PDA-126361990%2120260713T012616.739+GMT
https://majorprojects.planningportal.nsw.gov.au/prweb/PRRestService/mp/01/getContent?AttachRef=SSD-133677993%2120260831T070108.748+GMT</t>
  </si>
  <si>
    <t>https://baxtel.com/data-center/cdc-kemps-creek-nsw</t>
  </si>
  <si>
    <t>https://www.planningportal.nsw.gov.au/major-projects/projects/kc1-data-centre-kemps-creek
https://majorprojects.planningportal.nsw.gov.au/prweb/PRRestService/mp/01/getContent?AttachRef=PDA-126361990%2120260713T012616.739+GMT
https://majorprojects.planningportal.nsw.gov.au/prweb/PRRestService/mp/01/getContent?AttachRef=SSD-133677993%2120260831T070108.748+GMT
https://baxtel.com/data-center/sydney</t>
  </si>
  <si>
    <t>NSW-031</t>
  </si>
  <si>
    <t>Mars Road Data Centre, Lane Cove West（SSD-108835458；IDA「Lane Cove DC Alliance」）</t>
  </si>
  <si>
    <t>未點名（IDA 稱申請人為 Lane Cove DC Alliance；Portal SEARs 申請人欄為規劃顧問 Willowtree Planning）</t>
  </si>
  <si>
    <t>3-4 Apollo Place and 87-91 Mars Road, Lane Cove West NSW 2066</t>
  </si>
  <si>
    <t>SEARs 申請（2026-03-06，Willowtree）：總 IT load 約 140 MW、五層資料廳、高 37.4 m、GFA 約 13,800 m2、約 120 台發電機；Portal 稱 140 MW。</t>
  </si>
  <si>
    <t>出租性待確認：營運商/申請人未公開；IDA 名單的「Lane Cove DC Alliance」性質未明（聯盟？）。一份搜尋摘要稱 Mars Road 為 AirTrunk 方案——政府文件未證實。</t>
  </si>
  <si>
    <t>尚未核准。SEARs 2026-04-09 簽發，2026-08-31 加註 NSW Data Centre Guidelines；Portal 現狀 Prepare EIS。EIS 未提交。</t>
  </si>
  <si>
    <t>營運商/申請人未公開；IDA 名單的「Lane Cove DC Alliance」性質未明（聯盟？）。一份搜尋摘要稱 Mars Road 為 AirTrunk 方案——政府文件未證實。</t>
  </si>
  <si>
    <t>SSD-108835458（Prepare EIS）；IDA 背書（Lane Cove DC Alliance）</t>
  </si>
  <si>
    <t>「Project Mars」（Goodman，12 Mars Road，90 MW，SSD-82052708）已於 2026-09-28 撤回，與本案是不同地塊；IDA 的「16-20 Mars Road」與 SSD 的「3-4 Apollo Place / 87-91 Mars Road」門牌不一致；140 MW 來自早期圖面；尚無 EIS 驗證。
地址備註：Lots 8、9 DP 241877、Lot 100 DP 622160、Lot 1 DP 732557；約 15,044 m2；EIS 提交前須將現 1 Sirius Road（AirTrunk SYD2）地塊以界線調整排除。NSW 政府 IDA 名單把 Lane Cove DC Alliance 的案子寫成「16-20 Mars Road」——與本案不同門牌，尚待釐清。</t>
  </si>
  <si>
    <t>https://www.planningportal.nsw.gov.au/major-projects/projects/mars-road-data-centre
https://majorprojects.planningportal.nsw.gov.au/prweb/PRRestService/mp/01/getContent?AttachRef=PDA-105602456%2120260306T053125.861+GMT
https://majorprojects.planningportal.nsw.gov.au/prweb/PRRestService/mp/01/getContent?AttachRef=SSD-108835458%2120260409T072028.589+GMT
https://majorprojects.planningportal.nsw.gov.au/prweb/PRRestService/mp/01/getContent?AttachRef=SSD-108835458%2120260831T062154.327+GMT</t>
  </si>
  <si>
    <t>https://w.media/nsw-moves-15-data-centres-worth-aud-51-9bn-into-ida-pipeline/</t>
  </si>
  <si>
    <t>https://www.planningportal.nsw.gov.au/major-projects/projects/mars-road-data-centre
https://majorprojects.planningportal.nsw.gov.au/prweb/PRRestService/mp/01/getContent?AttachRef=PDA-105602456%2120260306T053125.861+GMT
https://majorprojects.planningportal.nsw.gov.au/prweb/PRRestService/mp/01/getContent?AttachRef=SSD-108835458%2120260409T072028.589+GMT
https://majorprojects.planningportal.nsw.gov.au/prweb/PRRestService/mp/01/getContent?AttachRef=SSD-108835458%2120260831T062154.327+GMT
https://w.media/nsw-moves-15-data-centres-worth-aud-51-9bn-into-ida-pipeline/
https://www.nsw.gov.au/ministerial-releases/data-centre-investment-sustainable-development</t>
  </si>
  <si>
    <t>NSW-032</t>
  </si>
  <si>
    <t>NEXTDC S4 Phase 2 Data Centre, Horsley Park（SSD-108864209）</t>
  </si>
  <si>
    <t>NEXTDC Ltd（申請人）</t>
  </si>
  <si>
    <t>Lot 306, Johnston Crescent, Horsley Park NSW 2175 (portal: "6 Johston Crescent")</t>
  </si>
  <si>
    <t>Fairfield City</t>
  </si>
  <si>
    <t>Scoping Report（2026-03）：總用電 134.4 MW；Building EF（四層，38.67 m）+ Building G（三層，32.37 m）；供電 500 MVA 兩個 Lot 共用（Lot 305 308 MVA / Lot 306 192 MVA）；EDC 約 A$2–3.5bn；施工 900–1,100 人。</t>
  </si>
  <si>
    <t>2026-03-12</t>
  </si>
  <si>
    <t>尚未核准。Scoping Report 與 SEARs 申請 2026-03-12；Portal 現狀 Prepare EIS。</t>
  </si>
  <si>
    <t>三階段：Stage 1 Building E + 道路、Stage 2 Building F、Stage 3 Building G；無日期。</t>
  </si>
  <si>
    <t>Scoping Report（2026-03）</t>
  </si>
  <si>
    <t>NEXTDC 出租；預訂率極高（見 S4）。</t>
  </si>
  <si>
    <t>SSD-108864209（Prepare EIS）</t>
  </si>
  <si>
    <t>無
地址備註：與 S4（Lot 305，16 Johnston Crescent）相鄰的 Lot 306；Portal 卡片寫「6 Johston Crescent」（疑筆誤）。</t>
  </si>
  <si>
    <t>https://www.planningportal.nsw.gov.au/major-projects/projects/nextdc-s4-data-centre-phase-2-horsley-park
https://majorprojects.planningportal.nsw.gov.au/prweb/PRRestService/mp/01/getContent?AttachRef=PDA-102095472%2120260312T005913.750+GMT</t>
  </si>
  <si>
    <t>NSW-033</t>
  </si>
  <si>
    <t>GreenSquareDC SYD1 Stage 2 — Brookhollow Avenue Data Centre Expansion, Norwest（SSD-81928961）</t>
  </si>
  <si>
    <t>GreenSquareDC（Green Square Data Centres）</t>
  </si>
  <si>
    <t>Project Garden 1 Pty Ltd as trustee for the Norwest Property Trust（EIS 申請人，Patch Planning 代理）</t>
  </si>
  <si>
    <t>EIS（Patch，2026-05）：Stage 2 = Buildings B、C、D，四層，IT load 96 MW、總用電 120 MVA；EDC A$1,248,408,516；施工 555 FTE（6 年期）、營運約 20 人。GreenSquareDC 官網：SYD1 全案 100 MW+ IT、132 kV。</t>
  </si>
  <si>
    <t>尚未核准。SEARs 2025-04-08；EIS 2026-06-23；展示 2026-07-24；Portal 現狀 Response to Submissions。IDA 背書（2026-03-27）。</t>
  </si>
  <si>
    <t>EIS：六年期、逐棟（B、C、D）；無日期。</t>
  </si>
  <si>
    <t>EIS（Patch Planning，2026-05）</t>
  </si>
  <si>
    <t>GreenSquareDC 為託管/批發營運商，主打超大規模與 AI。</t>
  </si>
  <si>
    <t>SSD-81928961（Response to Submissions）；IDA 背書（GreenSquare DC SYD1 Stage 2）</t>
  </si>
  <si>
    <t>先前：Brookhollow Avenue 申請人未顯示——現證實為 GreenSquareDC SYD1 Stage 2；先前資料 把 Brookhollow Avenue（SSD-81928961）與 GreenSquareDC SYD1 Stage 2 分列且未知 proponent；範疇界定函確認兩者為同一案（proponent = GreenSquare DC）；先前資料將 SSD-81928961 與 GreenSquareDC 的對應標為未驗證；本次依議會 DA 文件（Plan of Management Green Square DC、同一申請人 Project Garden 1）確認為 GreenSquareDC 第二階段。樓層：EIS 同時出現三棟四層與四層一棟，Baxtel 稱三層
地址備註：前 IBM 資料中心廠址；Portal 地圖標記點（-33.436, 150.580）位置明顯錯誤，未採用。</t>
  </si>
  <si>
    <t>https://www.planningportal.nsw.gov.au/major-projects/projects/brookhollow-avenue-data-centre-expansion-norwest
https://majorprojects.planningportal.nsw.gov.au/prweb/PRRestService/mp/01/getContent?AttachRef=SSD-81928961%2120260623T233326.415+GMT
https://majorprojects.planningportal.nsw.gov.au/prweb/PRRestService/mp/01/getContent?AttachRef=PDA-81670721%2120250328T083256.004+GMT</t>
  </si>
  <si>
    <t>https://greensquaredc.com/locations/
https://www.greensquaredc.com/locations</t>
  </si>
  <si>
    <t>https://w.media/greensquare-signs-sharon-ai-as-first-customer-for-syd1-data-centre-campus/
https://baxtel.com/data-center/greensquaredc-syd1-bldg2</t>
  </si>
  <si>
    <t>https://www.planningportal.nsw.gov.au/major-projects/projects/brookhollow-avenue-data-centre-expansion-norwest
https://majorprojects.planningportal.nsw.gov.au/prweb/PRRestService/mp/01/getContent?AttachRef=SSD-81928961%2120260623T233326.415+GMT
https://greensquaredc.com/locations/
https://majorprojects.planningportal.nsw.gov.au/prweb/PRRestService/mp/01/getContent?AttachRef=PDA-81670721%2120250328T083256.004+GMT
https://baxtel.com/data-center/greensquaredc-syd1-bldg2</t>
  </si>
  <si>
    <t>NSW-034</t>
  </si>
  <si>
    <t>NEXTDC S5 Data Centre and Innovation Hub, Macquarie Park（SSD-63168959）</t>
  </si>
  <si>
    <t>269 Lane Cove Road, Macquarie Park NSW 2113 (fronting Waterloo Road)</t>
  </si>
  <si>
    <t>EIS：總用電 90 MW（經 Ausgrid 另案申請 90 MW 供電與 33 kV 開關站）；兩棟高 65 m 的建築（A、B）、各 7 層技術樓層，每棟 2×2.5 MW 企業廳 + 5×5 MW 超大規模廳（本報告推算 IT 約 60 MW）；GFA 46,935 m2；60×2 MW 發電機；EDC A$1,429,400,000。</t>
  </si>
  <si>
    <t>尚未核准。EIS 2024-07-11 提交、2024-07-31 公告展示；Portal 現狀 More Information Required（長期審查，已逾 2 年）。</t>
  </si>
  <si>
    <t>EIS 無日期；Stage 1 = Building A + 早期工程 + 廣場；Stage 2 = Building B。</t>
  </si>
  <si>
    <t>EIS（Urbis，2024-07）</t>
  </si>
  <si>
    <t>NEXTDC 出租；但 FY26 預訂率極高（先前資料），且審查已拖兩年，是否仍推進需向 NEXTDC 確認。</t>
  </si>
  <si>
    <t>SSD-63168959（More Information Required）；IDA 背書（2026-03-27）</t>
  </si>
  <si>
    <t>無
地址備註：基地臨 Waterloo Road；新增 Road 13 / Road 5；不在 Macquarie Park Innovation Precinct 重劃 Stage 1 範圍內，但 EIS 指出該重劃擬在 E2 商業中心區禁止資料中心，待公告後可能影響本案。</t>
  </si>
  <si>
    <t>https://www.planningportal.nsw.gov.au/major-projects/projects/nextdc-s5-data-centre-and-innovation-hub
https://majorprojects.planningportal.nsw.gov.au/prweb/PRRestService/mp/01/getContent?AttachRef=SSD-63168959%2120240711T064100.786+GMT</t>
  </si>
  <si>
    <t>https://baxtel.com/data-center/nextdc-s5-sydney</t>
  </si>
  <si>
    <t>https://www.planningportal.nsw.gov.au/major-projects/projects/nextdc-s5-data-centre-and-innovation-hub
https://majorprojects.planningportal.nsw.gov.au/prweb/PRRestService/mp/01/getContent?AttachRef=SSD-63168959%2120240711T064100.786+GMT
https://baxtel.com/data-center/sydney</t>
  </si>
  <si>
    <t>NSW-035</t>
  </si>
  <si>
    <t>23-25 Waterloo Road Data Centre（Digital Realty North Ryde，前 Fujitsu North Ryde）</t>
  </si>
  <si>
    <t>Digital Realty（依 Baxtel；SEARs 文件節錄未見申請人名稱）</t>
  </si>
  <si>
    <t>Digital Realty（Baxtel：redevelopment of the site at 23-25 Waterloo Road）</t>
  </si>
  <si>
    <t>23-25 Waterloo Road, Macquarie Park (North Ryde) NSW 2113</t>
  </si>
  <si>
    <t>SEARs 文件：資料中心總耗電 70 MW、建物高 64 m，含辦公空間、柴油儲存、備援發電機、地下停車與新道路。Baxtel 規劃 2028。</t>
  </si>
  <si>
    <t>尚未核准；SEARs 已發出，入口網站狀態 Prepare EIS（2026-10-03 讀取）；早期諮詢圖面日期 2025-06-27。</t>
  </si>
  <si>
    <t>Digital Realty 為對外出租的主機代管業者。</t>
  </si>
  <si>
    <t>SSD-91297457（Prepare EIS，SEARs 已發）</t>
  </si>
  <si>
    <t>營運商身分依 Baxtel（聚合站）；入口網站文件未顯示申請人名稱；Digital Realty 歸屬僅有 Baxtel 一則（聚合站）；政府文件的申請人為代理 Greenbox Architecture。層數：Scoping 「九層辦公」vs Baxtel 「八層」
地址備註：Baxtel 同時列 Fujitsu North Ryde（已除役）與 Digital Realty North Ryde 於同址；Next Capital 收購 Fujitsu 時排除 North Ryde，與此一致。</t>
  </si>
  <si>
    <t>https://www.planningportal.nsw.gov.au/major-projects/projects/23-25-waterloo-road-data-centre
https://majorprojects.planningportal.nsw.gov.au/prweb/PRRestService/mp/01/getContent?AttachRef=PDA-90331213%2120250818T033632.818+GMT</t>
  </si>
  <si>
    <t>https://baxtel.com/data-center/digital-realty-north-ryde-sydney-67417c05-88ca-4571-a4bf-d577a6b98489
https://baxtel.com/news/a-70mw-facility-is-set-to-replace-the-former-exodus-data-center-in-sydney-australia</t>
  </si>
  <si>
    <t>https://www.planningportal.nsw.gov.au/major-projects/projects/23-25-waterloo-road-data-centre
https://baxtel.com/data-center/digital-realty-north-ryde-sydney-67417c05-88ca-4571-a4bf-d577a6b98489
https://baxtel.com/data-center/fujitsu-north-ryde-sydney
https://majorprojects.planningportal.nsw.gov.au/prweb/PRRestService/mp/01/getContent?AttachRef=PDA-90331213%2120250818T033632.818+GMT
https://baxtel.com/news/a-70mw-facility-is-set-to-replace-the-former-exodus-data-center-in-sydney-australia</t>
  </si>
  <si>
    <t>TAS-003</t>
  </si>
  <si>
    <t>Firmus Project Southgate — Wesley Vale (Mill Park) AI Factory</t>
  </si>
  <si>
    <t>Firmus Technologies（前 Wesley Vale 紙漿廠 Mill Park 工業區，土地所有人未確認）</t>
  </si>
  <si>
    <t>226 Mill Road, Wesley Vale TAS 7307</t>
  </si>
  <si>
    <t>Wesley Vale</t>
  </si>
  <si>
    <t>7307</t>
  </si>
  <si>
    <t>Latrobe Council</t>
  </si>
  <si>
    <t>兩階段：第一階段約 26 MW（critical IT 約 23 MW），最終約 52 MW（critical IT 約 46 MW）（Firmus 官網 wesley-vale-ai-factory-project；The Urban Developer；W.Media）。單棟約 3,502 sqm（data hall 2,689 sqm）、40 台柴油備用發電機。電力：接 Wesley Vale 變電站，Firmus 出資升級以支援 26 MW 連接；DA 規劃報告（Firmus 委託，2026-08-25 Rev00）稱以 110 kV 直接接入塔州高壓輸電網、電力經 Aurora Energy 購買；官網稱能源供應協議仍在談判。</t>
  </si>
  <si>
    <t>出租性待確認：同 Firmus 其他兩站：自建自有自營，官方描述為訓練與運行前沿 AI 模型的『AI Factory』，對外銷售專屬 AI 運算容量，未見出租機房空間的要約。</t>
  </si>
  <si>
    <t>2026-09-25</t>
  </si>
  <si>
    <t>尚未核准、不得動工。Latrobe Council Public Notice（Date of notice 2026-08-26；L-DA066/2026；174 &amp; 226 Mill Road, Wesley Vale，CT 187534/1 與 187534/3；使用類別 Utilities — Data Centre；14 天內可提出異議，副本由 Firmus 網站託管）證實 DA 已正式提交並公告，約至 2026-09-09 截止（The Urban Developer／W.Media／ABC 亦同）；Latrobe Council 2026-09-07 特別會議決議延後裁決，請州規劃部長依 LUPAA s60C(1) 宣告為 major project（Latrobe 官網 2026-09-08 公告；Latrobe 與 Kentish 國會意見書，截至 2026-09-21 部長尚未決定；ABC 2026-09-26 稱 State Planning Office 仍在審議移交）。2026-09-25 Council 公告將發出『Notice of Intention to Issue an Enforcement Notice』，指現場作業疑超出已核准 Forest Practices Plan，Firmus 已應要求停工。Firmus 稱主體工程須待所有核准後。</t>
  </si>
  <si>
    <t>未動工（僅有被議會指稱超出範圍的場地整地作業）</t>
  </si>
  <si>
    <t>未公布（Baxtel 稱 2028 年，聚合器僅供參考）</t>
  </si>
  <si>
    <t>同 Firmus 其他兩站：自建自有自營，官方描述為訓練與運行前沿 AI 模型的『AI Factory』，對外銷售專屬 AI 運算容量，未見出租機房空間的要約。</t>
  </si>
  <si>
    <t>此站無公開客戶。</t>
  </si>
  <si>
    <t>Latrobe Council L-DA066/2026；major project 申請（LUPAA s60C(1)）待部長決定；2026-09-25 Notice of Intention to Issue an Enforcement Notice（Forest Practices Plan 範圍）</t>
  </si>
  <si>
    <t>(1) Pulse Tasmania 稱 Wesley Vale 成本 A$2.1bn，疑與 Launceston Stage 1a 混淆，未採用。(2) Pulse 稱特別會議為 9 月 8 日，Latrobe 官方稿（2026-09-08 發布、稱『last night』）顯示為 9 月 7 日。(3) 公告期為媒體說法（2026-08-26 至 09-09），Latrobe 官網的公告清單現已不列此案。(4) Baxtel 稱 2028 年啟用（聚合器）；Firmus 官方無時程。
地址備註：DA L-DA066/2026 涵蓋 174 與 226 Mill Road（CT 187534/1、187534/3；前 Wesley Vale 紙漿廠 Mill Park 工業區）。毗鄰 TasNetworks Wesley Vale 變電站；經 Mill Road 接 Port Sorell Road、Devonport 與 Bass Highway。Kentish Council 國會意見書指該址鄰近 Devonport Airport。</t>
  </si>
  <si>
    <t>https://www.latrobe.tas.gov.au/notice-board/latest-news/proposed-ai-data-centre-wesley-vale
https://www.latrobe.tas.gov.au/notice-board/latest-news/call-for-stronger-framework-for-ai-data-centres
https://www.latrobe.tas.gov.au/services/building-and-planning-services/planningapp
https://www.parliament.tas.gov.au/__data/assets/pdf_file/0008/112220/100.-Latrobe-Council.pdf
https://www.parliament.tas.gov.au/__data/assets/pdf_file/0009/112212/102.-Kentish-Council.pdf
https://www.parliament.tas.gov.au/__data/assets/pdf_file/0012/112260/152.-Hydro-Tasmania-Submission.pdf
https://cdn.sanity.io/files/q43wife6/production/99214a09587f09192abb37953032135ff09f3d92.pdf</t>
  </si>
  <si>
    <t>https://firmus.co/wesley-vale-ai-factory-project
https://firmus.co/ourcommitments/tasmaniancommunity</t>
  </si>
  <si>
    <t>https://www.abc.net.au/news/2026-09-26/firmus-starts-development-work-without-permit-wesley-vale/107198264
https://pulsetasmania.com.au/news/council-calls-for-state-to-step-in-on-proposed-ai-data-centre/
https://www.theurbandeveloper.com/articles/firmus-tasmania-ai-factory-wesley-vale-proposal
https://w.media/firmus-seeks-approval-for-wesley-vale-ai-data-centre/
https://baxtel.com/data-center/firmus-wesley-vale
https://www.datacentermap.com/australia/launceston/firmus-wesley-vale/</t>
  </si>
  <si>
    <t>https://www.latrobe.tas.gov.au/notice-board/latest-news/proposed-ai-data-centre-wesley-vale
https://www.latrobe.tas.gov.au/notice-board/latest-news/call-for-stronger-framework-for-ai-data-centres
https://www.latrobe.tas.gov.au/services/building-and-planning-services/planningapp
https://www.parliament.tas.gov.au/__data/assets/pdf_file/0008/112220/100.-Latrobe-Council.pdf
https://www.parliament.tas.gov.au/__data/assets/pdf_file/0009/112212/102.-Kentish-Council.pdf
https://www.parliament.tas.gov.au/__data/assets/pdf_file/0012/112260/152.-Hydro-Tasmania-Submission.pdf
https://cdn.sanity.io/files/q43wife6/production/99214a09587f09192abb37953032135ff09f3d92.pdf
https://firmus.co/wesley-vale-ai-factory-project
https://firmus.co/ourcommitments/tasmaniancommunity
https://www.abc.net.au/news/2026-09-26/firmus-starts-development-work-without-permit-wesley-vale/107198264
https://pulsetasmania.com.au/news/council-calls-for-state-to-step-in-on-proposed-ai-data-centre/
https://www.theurbandeveloper.com/articles/firmus-tasmania-ai-factory-wesley-vale-proposal
https://w.media/firmus-seeks-approval-for-wesley-vale-ai-data-centre/
https://baxtel.com/data-center/firmus-wesley-vale
https://www.datacentermap.com/australia/launceston/firmus-wesley-vale/</t>
  </si>
  <si>
    <t>VIC-026</t>
  </si>
  <si>
    <t>Centuria Clayton 第二資料中心（Telstra Clayton 資料中心旁）</t>
  </si>
  <si>
    <t>Centuria Industrial REIT / Centuria Capital（開發與持有；營運商未定）</t>
  </si>
  <si>
    <t>Centuria Industrial REIT（CIP）；Telstra 為現有設施 30 年期租戶</t>
  </si>
  <si>
    <t>1816-1832 Dandenong Road, Clayton VIC 3168</t>
  </si>
  <si>
    <t>Clayton</t>
  </si>
  <si>
    <t>3168</t>
  </si>
  <si>
    <t>Monash City Council</t>
  </si>
  <si>
    <t>Centuria Q1 FY2026 業績（經 DCD 2025-10-30，已讀）：Telstra 同意釋出未充分利用土地，可建「up to 40MW」第二座資料中心。DCM wiki：10,390 m²、24 台 3.1 MW 發電機、468 kL 柴油。</t>
  </si>
  <si>
    <t>Monash 申請 TPA/57779（2026-02-25 提出，四層資料中心；公告已結束，至 2026-08 下旬尚無決定——DCM wiki，議會頁面未開啟）。Centuria 稱待 Telstra 現有設施約 2027 年中除役後才啟動開發（DCD 2025-10-30）。</t>
  </si>
  <si>
    <t>最早 2027-H2（Centuria 說明）</t>
  </si>
  <si>
    <t>Centuria 稱可服務「a wide range of potential tenant customers」；新建部分尚無租戶。</t>
  </si>
  <si>
    <t>Telstra（現有設施租戶，非新建部分）</t>
  </si>
  <si>
    <t>Monash TPA/57779（待決）</t>
  </si>
  <si>
    <t>現址門牌 1822 Dandenong Road（DCD）vs 申請書 1816-1832 Dandenong Road；TPA/57779 可能就是 2026-09-29 被否決的 38 MW 案，而非 40 MW 第二座；兩者關係待釐清；DCD 只寫 Telstra data center in Melbourne（12MW、2014 年啟用、2020 年 sale-leaseback、新建 40MW、2029），並未點名 Clayton；對應到 1822 Dandenong Road 是依 Baxtel（Centuria: Clayton 2，2029，A$4.17 億 sale-leaseback）與 OSM 標籤推定，屬推論。DA 的受理機關與案號未取得，無法由政府來源驗證
地址備註：DCD 稱現有 Telstra 資料中心位於 1822 Dandenong Road（27,105 m² 地塊、兩座合計約 12 MW）；Monash 申請書（TPA/57779）地址為 1816-1832 Dandenong Road（DCM wiki）。</t>
  </si>
  <si>
    <t>https://www.datacenterdynamics.com/en/news/centuria-plans-40mw-data-center-in-melbourne-australia/
https://baxtel.com/data-center/centuria-clayton-2
https://datacentremoratorium.net/index.php/Resources:Centuria_Clayton
https://www.realestatesource.com.au/centuria-data-centre-expansion-hits-hurdle/
https://www.datacenterdynamics.com/en/news/centuria-eyes-250mw-of-data-center-capacity-in-australia/</t>
  </si>
  <si>
    <t>https://www.datacenterdynamics.com/en/news/centuria-plans-40mw-data-center-in-melbourne-australia/
https://datacentremoratorium.net/index.php/Resources:Centuria_Clayton
https://datacentremoratorium.net/index.php/Resources:Data_Centres_in_Greater_Melbourne
https://www.realestatesource.com.au/centuria-data-centre-expansion-hits-hurdle/
https://www.datacenterdynamics.com/en/news/centuria-eyes-250mw-of-data-center-capacity-in-australia/
https://baxtel.com/data-center/centuria-clayton-2
https://nominatim.openstreetmap.org/search?q=1822+Dandenong+Road+Clayton+VIC</t>
  </si>
  <si>
    <t>VIC-A、VIC-B、VIC-C</t>
  </si>
  <si>
    <t>NSW-036</t>
  </si>
  <si>
    <t>Markham 22 O'Riordan Street Data Centre, Alexandria（SSD-77274467）</t>
  </si>
  <si>
    <t>Markham Real Estate Partners（開發商）；營運商待定（lead 稱 DCD 提到 Equinix——政府文件未見）</t>
  </si>
  <si>
    <t>Markham Real Estate Partners (Green Square) Pty Ltd ATF M9 Property Trust</t>
  </si>
  <si>
    <t>22 O'Riordan Street, Alexandria NSW 2015</t>
  </si>
  <si>
    <t>Alexandria</t>
  </si>
  <si>
    <t>2015</t>
  </si>
  <si>
    <t>SEARs 申請函（2024-10-16，Urbis）：3–5 層混合用途建築，含 38 MW IT 的資料中心，整體電力需求 50 MVA（50 MW）。</t>
  </si>
  <si>
    <t>出租性待確認：營運商未點名；開發商 Markham 為地產商，可能 build-to-suit。</t>
  </si>
  <si>
    <t>2024-11-01</t>
  </si>
  <si>
    <t>尚未核准。SEARs 2024-11-01 簽發（兩年後約 2026-11 到期，除非延期）；無 EIS。</t>
  </si>
  <si>
    <t>營運商未點名；開發商 Markham 為地產商，可能 build-to-suit。</t>
  </si>
  <si>
    <t>SSD-77274467（Prepare EIS）</t>
  </si>
  <si>
    <t>先前資料「Equinix planning per DCD」——政府文件申請人為 Markham，未提 Equinix。SEARs 可能在 2026-11 失效；先前資料稱『Equinix planning per DCD』；政府範疇界定文件的 proponent 為 Markham，全文未提 Equinix（Equinix SY5 位於 Alexandria 附近，可能為預定租戶，未證實）；營運商 Equinix（先前資料）對開發商 Markham（Baxtel）；MW 缺
地址備註：Portal 地圖標記點為粗略值（-33.9, 151.2），未採用。</t>
  </si>
  <si>
    <t>https://www.planningportal.nsw.gov.au/major-projects/projects/22-oriordan-street-alexandria-data-centre
https://majorprojects.planningportal.nsw.gov.au/prweb/PRRestService/mp/01/getContent?AttachRef=PDA-76301215%2120241023T043841.777+GMT</t>
  </si>
  <si>
    <t>https://baxtel.com/data-center/markham-sydney</t>
  </si>
  <si>
    <t>https://www.planningportal.nsw.gov.au/major-projects/projects/22-oriordan-street-alexandria-data-centre
https://majorprojects.planningportal.nsw.gov.au/prweb/PRRestService/mp/01/getContent?AttachRef=PDA-76301215%2120241023T043841.777+GMT
https://baxtel.com/data-center/markham-sydney</t>
  </si>
  <si>
    <t>QLD-003</t>
  </si>
  <si>
    <t>Swanbank Data Centre (10-storey, Leaf Street) - Northern Concept Swanb</t>
  </si>
  <si>
    <t>未公布（申請人為 Northern Concept Swanb Pty Ltd；尚未見營運商或租戶）</t>
  </si>
  <si>
    <t>Northern Concept Swanb Pty Ltd（專案公司）；規劃顧問 HPC Planning；建築師 Miasto Architects。Green Street News 標題稱有一位賽車冠軍參與（付費牆，內容未讀到，未證實）。</t>
  </si>
  <si>
    <t>6 Leaf Street (Lot 5, formerly Patrick Street), Swanbank QLD 4306</t>
  </si>
  <si>
    <t>Swanbank</t>
  </si>
  <si>
    <t>4306</t>
  </si>
  <si>
    <t>Ipswich City Council</t>
  </si>
  <si>
    <t>申請文件與報導均未公布 MW。10 層、高 72.25 公尺；GFA 約 82,576 平方公尺（HPC 規劃報告）或約 103,954 平方公尺（建築圖，含資料機房、機電、辦公）。規模遠超 5 MW 門檻，依規則保留並將 MW 設為 null。589 個車位，尖峰員工約 177 人。</t>
  </si>
  <si>
    <t>營運商與 MW 均未公布；Ipswich 議會 2026-08-24 發出資訊要求，尚未核准。</t>
  </si>
  <si>
    <t>無施工證據，且尚未核准。HPC Planning 代申請人提交，Ipswich City Council 於 2026 年 6 月同意依舊 2006 年 Ipswich Planning Scheme 受理，屬 code assessment（無公告、無異議與上訴權）。議會於 2026-08-24 發出 information request（高度、停車、採礦地質、水、生態、交通、雨水、火災、噪音），申請人有 3 個月回覆（W.Media 2026-09-29）。場址先前有 11711/2023/CA（BESS）與 13857/2025/OW（土方與植被清除）兩項核准（Your Neighbourhood），但不是資料中心主體施工證據。社區請願（2026-09-25 起，5 天 1,235 人簽署）要求升級為 impact assessment。</t>
  </si>
  <si>
    <t>申請用途為 Service/Trades Use（Warehouse Data Centre），未載明自用或出租對象。由專案公司申請的大型多層資料中心，市場定位可能是超大規模或 AI 租戶（Green Street 稱為東南昆士蘭首個超大規模及 AI 資料中心提案），但沒有營運商或租戶資訊，無法確認可否以 5 MW 級承租。</t>
  </si>
  <si>
    <t>Ipswich City Council DA（編號本次未取得）；code assessment；2026-08-24 information request。</t>
  </si>
  <si>
    <t>(1) GFA：82,576 平方公尺（規劃報告）對約 103,954 平方公尺（建築圖）。(2) Urban Developer 稱案件『recommended for approval』，W.Media 釐清為申請人規劃顧問 HPC 建議核准，議會實際是發出 information request。(3) 街名：Lot 5 Six Leaf Street 對 6 Leaf Street（舊名 Patrick Street）。(4) 位置：Urban Developer 稱 Swanbank 在 Ipswich 西方 6 公里；狀態矛盾：Urban Developer（2026-08-19）與 DCD 搜尋摘要稱 'recommended for approval subject to conditions'，但 W.Media（2026-09-29）顯示 council 於 2026-08-24 發出資訊請求，所以截至 2026-09-29 並未核准；『recommended』較可能是申請人規劃報告（HPC Planning）的建議，而非 council 決定（此為推論）。GFA 差異：82,576 m2（規劃報告）對 103,954／103,955 m2（建築圖／DCD），口徑可能不同。DA 編號對應（12285/2026/MCU、9000/2026/SPSR）未證實
地址備註：Urban Developer 寫『Lot 5 Six Leaf Street』，Your Neighbourhood 寫『6 Leaf Street (formerly Patrick Street)』。總地塊約 80,910 平方公尺，開發面積約 40,950 平方公尺，建築位於地塊西部後方；緊鄰 Powerlink Blackstone 變電站（100 公尺內，Powerlink 為建議型轉介機關）與已核准的 Swanbank BESS。OSM 仍只有舊名 Patrick Street（約 -27.648, 152.819，道路層級），查無 Leaf Street，因此 lat/lon 留空。</t>
  </si>
  <si>
    <t>https://www.theurbandeveloper.com/articles/swanbank-data-centre-proposal-ipswich-tallest-building-qld
https://w.media/queensland-council-questions-height-impacts-of-swanbank-data-centre/
https://yourneighbourhood.com.au/large-data-centre-swanbank-ipswich/
https://www.realestate.com.au/news/swanbank-mega-data-centre-backlash-grows-as-1200-locals-demand-public-say/
https://greenstreetnews.com/article/motorsports-champion-joins-the-data-centre-race-in-ipswich/
https://www.datacenterdynamics.com/en/news/plans-filed-for-10-story-data-center-outside-brisbane-australia/
https://www.planningalerts.org.au/applications/3532795
https://www.planningalerts.org.au/applications/3501680
https://www.datacentermap.com/australia/brisbane/northern-concept-swanb-pty-ltd/</t>
  </si>
  <si>
    <t>https://www.theurbandeveloper.com/articles/swanbank-data-centre-proposal-ipswich-tallest-building-qld
https://w.media/queensland-council-questions-height-impacts-of-swanbank-data-centre/
https://yourneighbourhood.com.au/large-data-centre-swanbank-ipswich/
https://www.realestate.com.au/news/swanbank-mega-data-centre-backlash-grows-as-1200-locals-demand-public-say/
https://greenstreetnews.com/article/motorsports-champion-joins-the-data-centre-race-in-ipswich/
https://www.planningalerts.org.au/applications/3532795
https://www.planningalerts.org.au/applications/3501680</t>
  </si>
  <si>
    <t>VIC-027</t>
  </si>
  <si>
    <t>Craigieburn 95A Amaroo Road 資料中心申請（Hume P26624）</t>
  </si>
  <si>
    <t>未公布（DCM wiki 推為 Goodman Property Services；土地位於 Goodman 的 Amaroo Business Park，未獨立證實）</t>
  </si>
  <si>
    <t>95A Amaroo Road, Craigieburn VIC 3064</t>
  </si>
  <si>
    <t>Craigieburn</t>
  </si>
  <si>
    <t>3064</t>
  </si>
  <si>
    <t>僅知估價 A$515,000,000（Hume eTrack）。依成本規模推測遠超 5 MW，但無 MW 資料。</t>
  </si>
  <si>
    <t>出租性待確認：營運商與租戶身分未知。</t>
  </si>
  <si>
    <t>Hume eTrack（已讀）P26624：Use and development of the land for a data centre and display of signage；2025-05-01 受理；目前階段 Amended Plans Required（要求修正圖面），尚未核准。PlanningAlerts 2025-05-02 亦收錄。</t>
  </si>
  <si>
    <t>營運商與租戶身分未知。</t>
  </si>
  <si>
    <t>Hume P26624（Amended Plans Required）</t>
  </si>
  <si>
    <t>DCM wiki 把此案標為『Permitted』，但 Hume 官方 eTrack 顯示 Amended Plans Required（尚未核准）。
地址備註：Amaroo Business Park（95-135 Amaroo Road）內分割地塊。</t>
  </si>
  <si>
    <t>https://ehume.hume.vic.gov.au/T1PRProd/WebApps/eProperty/P1/eTrack/eTrackApplicationDetails.aspx?ApplicationId=P26624&amp;f=%24P1.ETR.APPDET.VIW&amp;r=P1.HCC.WEBGUEST
https://www.planningalerts.org.au/applications/3288804</t>
  </si>
  <si>
    <t>https://ehume.hume.vic.gov.au/T1PRProd/WebApps/eProperty/P1/eTrack/eTrackApplicationDetails.aspx?ApplicationId=P26624&amp;f=%24P1.ETR.APPDET.VIW&amp;r=P1.HCC.WEBGUEST
https://www.planningalerts.org.au/applications/3288804
https://datacentremoratorium.net/index.php/Resources:Goodman_Craigiburn</t>
  </si>
  <si>
    <t>VIC-028</t>
  </si>
  <si>
    <t>Mickleham 七棟資料中心園區（45 Donnybrook Road，Fusion Business Park；報導為 AirTrunk；DFP 申請 PA2604506）</t>
  </si>
  <si>
    <t>AirTrunk（僅報導；登記冊未列申請人）</t>
  </si>
  <si>
    <t>McMullin 家族售予 AirTrunk（Blackstone 控股，約 A$350m 為推測）</t>
  </si>
  <si>
    <t>45 Donnybrook Road, Mickleham VIC 3064</t>
  </si>
  <si>
    <t>Mickleham</t>
  </si>
  <si>
    <t>登記冊：7 個資料中心地塊（Buildings A–G）；realestatesource：最終容量逾 1 GW；W.Media：投資約 A$4bn。官方未載 MW。</t>
  </si>
  <si>
    <t>營運商未證實：報導指向 AirTrunk（批發出租），DatacenterMap 則列為 Amazon 土地（自建）；DFP 許可申請於 2026-07-01 受理，尚未決定。</t>
  </si>
  <si>
    <t>2026-07-01</t>
  </si>
  <si>
    <t>DFP PA2604506（組合規劃修訂＋許可）：2026-07-01 受理（頁面已讀，無申請人、無決定、無附件）。</t>
  </si>
  <si>
    <t>若為 AirTrunk 則屬超大規模批發型；若為 Amazon 則為自建。</t>
  </si>
  <si>
    <t>DFP PA2604506（待決）</t>
  </si>
  <si>
    <t>DCD：DataCenterMap 把該址列為 Amazon 規劃園區；realestatesource 稱 AWS 曾為此地申請重新分區兩年後轉手 AirTrunk。申請人未公開，營運商身分未證實；營運商：AirTrunk（Real Estate Source/PwC，二手）對 Amazon AWS（DatacenterMap，聚合站）。若屬 AWS 應改列為 captive 排除項；買方身分：realestatesource（2026-07-22，2026-09-28 更新）稱 AirTrunk 計畫興建七棟；DCD（2026-07）稱申請人未公布、PwC 貼文暗示可能是 AirTrunk、DatacenterMap 列 Amazon；許可頁無申請人欄位。
地址備註：約 67 ha，位於 Hume Freeway 西南角、Mickleham 隔離檢疫設施東側，鄰 Kalkallo Zone Substation。</t>
  </si>
  <si>
    <t>https://www.planning.vic.gov.au/planning-approvals/ministerial-permits-register/ministerial-permits/fb678cb2-1784-4883-932a-4fdca25a480a
https://www.planning.vic.gov.au/planning-approvals/ministerial-permits-register</t>
  </si>
  <si>
    <t>https://www.realestatesource.com.au/data-centre-giant-buys-350m-melbourne-site/
https://w.media/victorias-data-centre-pipeline-grows-with-four-new-melbourne-proposals/
https://www.datacenterdynamics.com/en/news/au11-billion-data-center-project-proposed-outside-melbourne-australia/
https://www.datacentermap.com/australia/melbourne/amazon-aws-55-donnybrook-rd/
https://datacentremoratorium.net/index.php/Resources:AirTrunk_Mickleham</t>
  </si>
  <si>
    <t>https://www.planning.vic.gov.au/planning-approvals/ministerial-permits-register/ministerial-permits/fb678cb2-1784-4883-932a-4fdca25a480a
https://www.realestatesource.com.au/data-centre-giant-buys-350m-melbourne-site/
https://w.media/victorias-data-centre-pipeline-grows-with-four-new-melbourne-proposals/
https://www.datacenterdynamics.com/en/news/au11-billion-data-center-project-proposed-outside-melbourne-australia/
https://www.datacentermap.com/australia/melbourne/amazon-aws-55-donnybrook-rd/
https://nominatim.openstreetmap.org/search?q=45+Donnybrook+Road+Mickleham+VIC
https://datacentremoratorium.net/index.php/Resources:AirTrunk_Mickleham</t>
  </si>
  <si>
    <t>VIC-029</t>
  </si>
  <si>
    <t>NEXTDC M3 擴建（West Footscray；DFP 申請 PA2604231，審查中）</t>
  </si>
  <si>
    <t>NEXTDC Limited（申請人地址 20 Wharf Street, Brisbane）</t>
  </si>
  <si>
    <t>1 Paramount Road, West Footscray VIC 3012</t>
  </si>
  <si>
    <t>申請書未載 MW；NEXTDC：M3 總規劃 225 MW（1H26）；The Age：擴建建造成本逾 A$750m，整個 M3 累計約 A$1bn；realestate.com.au：NEXTDC 預計長期投入 A$1.5bn。</t>
  </si>
  <si>
    <t>DFP PA2604231：2026-02-17 受理、2026-03-11 公告，登記冊仍無決定；The Age：公眾意見至 2026-03-28 截止；州議員 Horne 與 Hall 公開反對（Star Weekly 2026-09-22）。尚未核准。</t>
  </si>
  <si>
    <t>2027 年底（The Age，擴建）</t>
  </si>
  <si>
    <t>The Age 2026-03-25 引述申請書</t>
  </si>
  <si>
    <t>同 （NEXTDC 預售為主）。</t>
  </si>
  <si>
    <t>DFP PA2604231（待決）</t>
  </si>
  <si>
    <t>地址備註：申請範圍四宗：1 Paramount Road、39 Indwe Street、11-13 與 15 Paramount Road；The Age：園區將擴至約 10 ha（現有的約兩倍）。</t>
  </si>
  <si>
    <t>https://www.theage.com.au/national/victoria/west-footscray-data-centre-bids-to-double-in-size-amid-nightmare-construction-20260324-p5uags.html
https://maribyrnonghobsonsbay.starweekly.com.au/news/data-centre-bosss-application-intervention-rejection/
https://www.realestate.com.au/news/west-footscray-data-centre-deters-homebuyers/</t>
  </si>
  <si>
    <t>https://www.planning.vic.gov.au/planning-approvals/ministerial-permits-register/ministerial-permits/ef7039bf-cd0b-f111-8407-7c1e5262e60a
https://www.theage.com.au/national/victoria/west-footscray-data-centre-bids-to-double-in-size-amid-nightmare-construction-20260324-p5uags.html
https://maribyrnonghobsonsbay.starweekly.com.au/news/data-centre-bosss-application-intervention-rejection/
https://www.realestate.com.au/news/west-footscray-data-centre-deters-homebuyers/</t>
  </si>
  <si>
    <t>NSW 新南威爾斯州（New South Wales）— 可出租資料中心專案</t>
  </si>
  <si>
    <t>主要來源</t>
  </si>
  <si>
    <t>政府來源
https://www.planningportal.nsw.gov.au/major-projects/projects/talavera-road-data-centre-campus-expansion</t>
  </si>
  <si>
    <t>政府來源
https://www.planningportal.nsw.gov.au/major-projects/projects/southern-highlands-data-campus-power-station</t>
  </si>
  <si>
    <t>媒體來源
https://w.media/next-capital-agrees-to-acquire-fujitsus-australian-data-centre-business/</t>
  </si>
  <si>
    <t>政府來源
https://www.planningportal.nsw.gov.au/major-projects/projects/brookhollow-avenue-data-centre-expansion-norwest</t>
  </si>
  <si>
    <t>政府來源
https://www.planningportal.nsw.gov.au/major-projects/projects/marsden-park-data-centre</t>
  </si>
  <si>
    <t>政府來源
https://www.planningportal.nsw.gov.au/major-projects/projects/nextdc-s4-data-centre-horsley-park</t>
  </si>
  <si>
    <t>政府來源
https://www.planningportal.nsw.gov.au/major-projects/projects/lanceley-place-data-centre-artarmon</t>
  </si>
  <si>
    <t>政府來源
https://www.planningportal.nsw.gov.au/major-projects/projects/eastern-creek-data-centre-expansion-project</t>
  </si>
  <si>
    <t>政府來源
https://www.planningportal.nsw.gov.au/planning-panel/data-centre</t>
  </si>
  <si>
    <t>政府來源
https://www.planningportal.nsw.gov.au/major-projects/projects/1-5-khartoum-road-data-centre</t>
  </si>
  <si>
    <t>政府來源
https://www.planningportal.nsw.gov.au/major-projects/projects/digico-syd1-data-centre-expansion</t>
  </si>
  <si>
    <t>政府來源
https://www.planningportal.nsw.gov.au/major-projects/projects/frederick-street-data-centre</t>
  </si>
  <si>
    <t>政府來源
https://www.planningportal.nsw.gov.au/major-projects/projects/51-huntingwood-drive-data-centre</t>
  </si>
  <si>
    <t>政府來源
https://www.planningportal.nsw.gov.au/major-projects/projects/project-apollo-data-centre-macquarie-park</t>
  </si>
  <si>
    <t>政府來源
https://www.planningportal.nsw.gov.au/major-projects/projects/project-duke-data-centre</t>
  </si>
  <si>
    <t>政府來源
https://www.planningportal.nsw.gov.au/major-projects/projects/project-pluto-data-centre</t>
  </si>
  <si>
    <t>政府來源
https://www.planningportal.nsw.gov.au/major-projects/projects/apollo-place-data-centre</t>
  </si>
  <si>
    <t>政府來源
https://www.planningportal.nsw.gov.au/major-projects/projects/road-1-data-centre</t>
  </si>
  <si>
    <t>政府來源
https://www.planningportal.nsw.gov.au/major-projects/projects/grand-avenue-data-centre-expansion-rosehill</t>
  </si>
  <si>
    <t>政府來源
https://www.planningportal.nsw.gov.au/major-projects/projects/dci-poplars-data-centre-project-0</t>
  </si>
  <si>
    <t>政府來源
https://www.planningportal.nsw.gov.au/major-projects/projects/ashfords-road-data-centre-gregadoo</t>
  </si>
  <si>
    <t>政府來源
https://www.planningportal.nsw.gov.au/major-projects/projects/mamre-road-data-centre-campus</t>
  </si>
  <si>
    <t>政府來源
https://www.planningportal.nsw.gov.au/major-projects/projects/nextdc-s7-data-centre-eastern-creek</t>
  </si>
  <si>
    <t>政府來源
https://www.planningportal.nsw.gov.au/major-projects/projects/kurri-kurri-data-centre</t>
  </si>
  <si>
    <t>政府來源
https://www.planningportal.nsw.gov.au/major-projects/projects/stack-syd01-data-centre-erskine-park</t>
  </si>
  <si>
    <t>政府來源
https://www.planningportal.nsw.gov.au/major-projects/projects/project-atlas-data-centre-eastern-creek</t>
  </si>
  <si>
    <t>政府來源
https://www.planningportal.nsw.gov.au/major-projects/projects/aldington-road-data-centre</t>
  </si>
  <si>
    <t>政府來源
https://www.planningportal.nsw.gov.au/major-projects/projects/julius-avenue-data-centre</t>
  </si>
  <si>
    <t>政府來源
https://www.planningportal.nsw.gov.au/major-projects/projects/kc1-data-centre-kemps-creek</t>
  </si>
  <si>
    <t>政府來源
https://www.planningportal.nsw.gov.au/major-projects/projects/mars-road-data-centre</t>
  </si>
  <si>
    <t>政府來源
https://www.planningportal.nsw.gov.au/major-projects/projects/nextdc-s4-data-centre-phase-2-horsley-park</t>
  </si>
  <si>
    <t>政府來源
https://www.planningportal.nsw.gov.au/major-projects/projects/nextdc-s5-data-centre-and-innovation-hub</t>
  </si>
  <si>
    <t>政府來源
https://www.planningportal.nsw.gov.au/major-projects/projects/23-25-waterloo-road-data-centre</t>
  </si>
  <si>
    <t>政府來源
https://www.planningportal.nsw.gov.au/major-projects/projects/22-oriordan-street-alexandria-data-centre</t>
  </si>
  <si>
    <t>VIC 維多利亞州（Victoria）— 可出租資料中心專案</t>
  </si>
  <si>
    <t>政府來源
https://djsir.vic.gov.au/news-and-articles/cdcs-data-centres-fueling-jobs-and-growth-in-the-west</t>
  </si>
  <si>
    <t>政府來源
https://records.brimbank.vic.gov.au/ExternalLinkAPI/api/document/?docKey=UHZYRmNFYWVDaUN0clNmekJwVXhMUExwUGpQcFE0VVFXVnp1NkdSYlZpc0lsS2NCZlVOWUxOVXBncy9DSUhHZg2</t>
  </si>
  <si>
    <t>營運商來源
https://nextcapital.com.au/next-capital-buys-fujitsu-australian-data-centres/</t>
  </si>
  <si>
    <t>政府來源
https://planningalerts.org.au/applications/3442743</t>
  </si>
  <si>
    <t>營運商來源
https://www.stackinfra.com/locations/asia-pacific/melbourne/mel01/</t>
  </si>
  <si>
    <t>政府來源
https://www.planning.vic.gov.au/planning-approvals/ministerial-permits-register/ministerial-permits/1ea17bd8-75be-ef11-b8e8-002248938a9c</t>
  </si>
  <si>
    <t>政府來源
https://www.planning.vic.gov.au/planning-approvals/ministerial-permits-register/ministerial-permits/1b31ed89-8d2e-ef11-840a-000d3acb3ea1</t>
  </si>
  <si>
    <t>政府來源
https://www.planning.vic.gov.au/planning-approvals/ministerial-permits-register/ministerial-permits/4b779b5c-ef96-f111-8075-7ced8d33fb5a</t>
  </si>
  <si>
    <t>政府來源
https://www.planning.vic.gov.au/planning-approvals/ministerial-permits-register/ministerial-permits/fdc8d827-6b74-f111-ab0f-7c1e522a8afb</t>
  </si>
  <si>
    <t>政府來源
https://www.planningalerts.org.au/applications/3206534</t>
  </si>
  <si>
    <t>政府來源
https://www.planning.vic.gov.au/planning-approvals/ministerial-permits-register/ministerial-permits/ef7039bf-cd0b-f111-8407-7c1e5262e60a</t>
  </si>
  <si>
    <t>政府來源
https://www.planning.vic.gov.au/planning-approvals/ministerial-permits-register/ministerial-permits/76685df6-baaf-f011-bbd2-6045bdc32df2</t>
  </si>
  <si>
    <t>政府來源
https://www.planning.vic.gov.au/planning-approvals/ministerial-permits-register/ministerial-permits/62cc5b40-f5b5-f011-bbd2-7ced8d337ed8</t>
  </si>
  <si>
    <t>政府來源
https://www.planning.vic.gov.au/planning-approvals/ministerial-permits-register/ministerial-permits/5615befd-9bb3-f011-bbd2-7ced8d337ed8</t>
  </si>
  <si>
    <t>政府來源
https://www.planning.vic.gov.au/planning-approvals/ministerial-permits-register/ministerial-permits/6bac05e8-144c-404a-b7b2-b9e5445cb849</t>
  </si>
  <si>
    <t>政府來源
https://www.planning.vic.gov.au/planning-approvals/ministerial-permits-register/ministerial-permits/fcb0d877-0b98-ef11-8a68-002248938a9c</t>
  </si>
  <si>
    <t>政府來源
https://www.planning.vic.gov.au/planning-approvals/ministerial-permits-register/ministerial-permits/3445e501-ef0a-f111-8406-7ced8da0d89a</t>
  </si>
  <si>
    <t>政府來源
https://casey-web.t1cloud.com/T1PRDefault/WebApps/eProperty/P1/eTrack/eTrackApplicationDetails.aspx?r=P1.WEBGUEST&amp;f=%24P1.ETR.APPDET.VIW&amp;ApplicationId=PA26-0190</t>
  </si>
  <si>
    <t>政府來源
https://www.planning.vic.gov.au/planning-approvals/ministerial-permits-register/ministerial-permits/8acfef7f-1ab6-f111-aaac-000d3acbdfba</t>
  </si>
  <si>
    <t>政府來源
https://www.planning.vic.gov.au/planning-approvals/ministerial-permits-register/ministerial-permits/1113a299-b13f-f111-88b4-7c1e5262e60a</t>
  </si>
  <si>
    <t>政府來源
https://www.planning.vic.gov.au/planning-approvals/ministerial-permits-register/ministerial-permits/14c42f63-3f54-f111-bec6-6045bdc28ba0</t>
  </si>
  <si>
    <t>政府來源
https://www.planning.vic.gov.au/planning-approvals/ministerial-permits-register/ministerial-permits/e46a98dc-8d47-f111-bec6-7c1e5262e60a</t>
  </si>
  <si>
    <t>政府來源
https://www.planning.vic.gov.au/planning-approvals/ministerial-permits-register/ministerial-permits/aae82a26-d98b-f111-ab0f-6045bde5e09b</t>
  </si>
  <si>
    <t>媒體來源
https://www.datacenterdynamics.com/en/news/centuria-plans-40mw-data-center-in-melbourne-australia/</t>
  </si>
  <si>
    <t>政府來源
https://ehume.hume.vic.gov.au/T1PRProd/WebApps/eProperty/P1/eTrack/eTrackApplicationDetails.aspx?ApplicationId=P26624&amp;f=%24P1.ETR.APPDET.VIW&amp;r=P1.HCC.WEBGUEST</t>
  </si>
  <si>
    <t>政府來源
https://www.planning.vic.gov.au/planning-approvals/ministerial-permits-register/ministerial-permits/fb678cb2-1784-4883-932a-4fdca25a480a</t>
  </si>
  <si>
    <t>QLD 昆士蘭州（Queensland）— 可出租資料中心專案</t>
  </si>
  <si>
    <t>政府來源
https://statements.qld.gov.au/statements/95682</t>
  </si>
  <si>
    <t>政府來源
https://developmenti.wdrc.qld.gov.au/</t>
  </si>
  <si>
    <t>媒體來源
https://www.theurbandeveloper.com/articles/swanbank-data-centre-proposal-ipswich-tallest-building-qld</t>
  </si>
  <si>
    <t>WA 西澳州（Western Australia）— 可出租資料中心專案</t>
  </si>
  <si>
    <t>政府來源
https://announcements.asx.com.au/asxpdf/20260916/pdf/074490wlf78g7n.pdf</t>
  </si>
  <si>
    <t>政府來源
https://www.planning.wa.gov.au/docs/default-source/daps-docs-other/current-applications.pdf</t>
  </si>
  <si>
    <t>SA 南澳州（South Australia）— 可出租資料中心專案</t>
  </si>
  <si>
    <t>本州僅有觀察名單，無已確認可租專案</t>
  </si>
  <si>
    <t>政府來源
https://www.defencesa.com/industry/industry-directory/yourdc-pty-ltd</t>
  </si>
  <si>
    <t>政府來源
https://epbcpublicportal.environment.gov.au/_entity/sharepointdocumentlocation/5c72ac54-e89c-f111-b8db-70a8a5564bc0/2ab10dab-d681-4911-b881-cc99413f07b6?file=00-2026-10605+Referral.pdf</t>
  </si>
  <si>
    <t>營運商來源
https://dcidatacenters.com/locations/</t>
  </si>
  <si>
    <t>ACT 首都領地（Australian Capital Territory）— 可出租資料中心專案</t>
  </si>
  <si>
    <t>政府來源
https://www.planning.act.gov.au/applications-and-assessments/development-applications/browse-das/development-application-details?da-number=202443633&amp;amendment-version=</t>
  </si>
  <si>
    <t>政府來源
https://www.planning.act.gov.au/applications-and-assessments/development-applications/browse-das/development-application-details?da-number=202645149</t>
  </si>
  <si>
    <t>TAS 塔斯馬尼亞州（Tasmania）— 可出租資料中心專案</t>
  </si>
  <si>
    <t>政府來源
https://parliament.tas.gov.au/__data/assets/pdf_file/0012/110730/2026-08-13-ProfRazay.pdf</t>
  </si>
  <si>
    <t>政府來源
https://georgetown.tas.gov.au/volumes/documents/Shared/Council-Meetings/2026/08.-August-2026/2026-08-25-Ordinary-Council-Meeting-Confirmed-Minutes-Public-Copy.pdf</t>
  </si>
  <si>
    <t>政府來源
https://www.latrobe.tas.gov.au/notice-board/latest-news/proposed-ai-data-centre-wesley-vale</t>
  </si>
  <si>
    <t>NT 北領地（Northern Territory）— 可出租資料中心專案</t>
  </si>
  <si>
    <t>政府來源
https://epbcpublicportal.environment.gov.au/all-referrals/project-referral-summary/?id=f4f8aae0-956b-f111-ab0b-000d3aca9bcb</t>
  </si>
  <si>
    <t>完工時間窗：依可用時間分組</t>
  </si>
  <si>
    <t>各組「小計（主清單）」只計主清單，觀察名單另列（斜體灰底列）；皆為公式。容量顯示「未公布」者不計入加總；容量口徑不一（IT、銘牌、MVA 混用），加總僅供量級參考。</t>
  </si>
  <si>
    <t>時間窗重點</t>
  </si>
  <si>
    <t>• 已可用／營運中：Macquarie IC3 Super West 首期 6 MW（2026-09）、Cloud Carrier Southern Highlands DB1（28 MW 裸殼）、Fujitsu Greystanes（營運中，空置量未公布）。</t>
  </si>
  <si>
    <t>• 2026 Q4 – 2027 Q2（5 筆）：GreenSquareDC SYD1 第一期、STACK MEL01C/D、STACK MEL02、Vantage MEL1、CDC Maddington MA1。</t>
  </si>
  <si>
    <t>• 2027 下半年（3 筆）：CDC Marsden Park（分期交付自 2027-09）、NEXTDC S4（第一期約 2027 年中）、AirTrunk MEL2（首期 2027 下半年，但目前沒有施工證據）。</t>
  </si>
  <si>
    <t>• 2028 年以後（10 筆）：Goodman SYD01、Minchinbury、DCI SYD02、DigiCo SYD1 擴建、Stockland／EdgeConneX MPark、CDC Hazelmere、DoverDC 等。</t>
  </si>
  <si>
    <t>• 完工日未公布（39 筆）：多為已核准但尚未動工，或仍在審查階段；只有營運商或顧問的非官方說法時，不採用，標為未公布。</t>
  </si>
  <si>
    <t>時間窗依據</t>
  </si>
  <si>
    <t>BK1/BK2 營運中。</t>
  </si>
  <si>
    <t>首期 6 MW 已於 2026-09 啟用；政府網站 2026-07-23 已有開始運作通知。</t>
  </si>
  <si>
    <t>營運中。</t>
  </si>
  <si>
    <t>DB1 已建成（2025-09 報導）。</t>
  </si>
  <si>
    <t>營運中；收購尚未交割。</t>
  </si>
  <si>
    <t>營運中站點；Next Capital 收購尚未交割。</t>
  </si>
  <si>
    <t>小計（主清單）</t>
  </si>
  <si>
    <t>觀察名單（另計，不含於小計）</t>
  </si>
  <si>
    <t>僅聚合站（Baxtel）：MEL02A 2026、MEL02B 2027；STACK 未公布。</t>
  </si>
  <si>
    <t>第一棟 MA1 2027-01 開始營運（CDC 官網）。</t>
  </si>
  <si>
    <t>MEL01C 2026-Q4、MEL01D 2027-Q2（STACK 官網與 Baxtel）。</t>
  </si>
  <si>
    <t>公司稱 2026 年底，ABC 稱 2027 年初。</t>
  </si>
  <si>
    <t>僅聚合站（Baxtel）稱 2026；Vantage 未公布日期。</t>
  </si>
  <si>
    <t>W.Media 2026-09-21：初始營運 2026-Q4。</t>
  </si>
  <si>
    <t>分期交付自 2027-09 起。</t>
  </si>
  <si>
    <t>第一期約 2027 年中（Multiplex）。</t>
  </si>
  <si>
    <t>AirTrunk 稱首期 2027 下半年開放；尚無施工證據。</t>
  </si>
  <si>
    <t>首期 12.2 MW 排定 2028-Q2（Goodman）。</t>
  </si>
  <si>
    <t>Linesight：2028 初完工。</t>
  </si>
  <si>
    <t>DoverDC 稱首期 2028–2029。</t>
  </si>
  <si>
    <t>Ready for Service 2028-Q1（營運商公告）。</t>
  </si>
  <si>
    <t>預計 FY2027 開工、施工 33 個月，推算約 2029–2030。</t>
  </si>
  <si>
    <t>DigiCo：88 MW 全案 FY28 底（2028-06）；評估報告施工期 21 個月。</t>
  </si>
  <si>
    <t>DigiCo 目標 FY28 年底前上線並計費。</t>
  </si>
  <si>
    <t>首期供電目標 2028 年中，視批准與 FID。</t>
  </si>
  <si>
    <t>首期通電自 2028 起。</t>
  </si>
  <si>
    <t>W.Media：2028 年底至 2029 年初。</t>
  </si>
  <si>
    <t>CDC：2028 開始營運、2029 全面營運。</t>
  </si>
  <si>
    <t>範疇界定報告：Stage 2 施工 2028 Q3 至 2030 Q4。</t>
  </si>
  <si>
    <t>聯邦 AIPP：Phase 1 與 2 試運轉 2029-06。</t>
  </si>
  <si>
    <t>同意書規定三階段、每階段約 24 個月；Stage 2 自 2024-10-01 起算，推算約 2026-10 完成，但營運商未公布。</t>
  </si>
  <si>
    <t>CDC 未公布；聚合站估首期 2027 Q1。</t>
  </si>
  <si>
    <t>未公布。</t>
  </si>
  <si>
    <t>完工日「未公布」無法解析，視為未公布</t>
  </si>
  <si>
    <t>NEXTDC FY26 簡報僅稱 60 MW 在建，未公布完工日。</t>
  </si>
  <si>
    <t>資料中心無官方時程；已完工的只有電池。</t>
  </si>
  <si>
    <t>許可尚未生效（5 件上訴），無施工時程。</t>
  </si>
  <si>
    <t>僅電網接入預計 2027；本體未公布。</t>
  </si>
  <si>
    <t>完工日「評估報告：施工最長約 24 個月（拆除 3、土方 6、岩石開挖與管線 ≤12、結構與設備 3、內裝調試 12 個月，部分重疊）。」無法解析，視為未公布</t>
  </si>
  <si>
    <t>核准後施工最長 110 週；尚無開工日。</t>
  </si>
  <si>
    <t>完工日「評估報告：兩階段，每階段 18 個月（受電力可得性分階段）；未公布起始日。」無法解析，視為未公布</t>
  </si>
  <si>
    <t>核准後施工最長 94 週；尚無開工日。</t>
  </si>
  <si>
    <t>完工日「評估報告：施工 30 個月（場整 3 + 主體與道路 24 + 試運轉 3）。」無法解析，視為未公布</t>
  </si>
  <si>
    <t>僅聚合站稱 2027；Equinix 未公布。</t>
  </si>
  <si>
    <t>完工日「未公布（官網：coming soon）」無法解析，視為未公布</t>
  </si>
  <si>
    <t>DA 尚未核准；Anthropic 目標 2027 年使用，時程明顯樂觀；全園區建設期 4–6 年。</t>
  </si>
  <si>
    <t>DA 尚未核准；NEXTDC 與 OpenAI 稱首期 2027 下半年，附條件且時程樂觀。</t>
  </si>
  <si>
    <t>完工日「Scoping：施工約 14 個月（Stage 0 CDC 土方與建築殼；Stage 1 內裝與其餘設施）；無日期。」無法解析，視為未公布</t>
  </si>
  <si>
    <t>EIS 階段；SYD01B 僅聚合站稱 2029。</t>
  </si>
  <si>
    <t>完工日「EIS 無完工日；階段：Stage 1 = Building 1、Stage 2 = Building 2。」無法解析，視為未公布</t>
  </si>
  <si>
    <t>完工日「兩階段：Stage 1 南棟 + 行政區 + 變電站/開關站 + 入口道路；Stage 2 北棟；無日期。」無法解析，視為未公布</t>
  </si>
  <si>
    <t>完工日「約 12 年分期（首期未定）」無法解析，視為未公布</t>
  </si>
  <si>
    <t>GreenSquare 稱 2027 上線，但申請尚未核准。</t>
  </si>
  <si>
    <t>僅聚合站稱 2028。</t>
  </si>
  <si>
    <t>完工日「三階段：Stage 1 Building E + 道路、Stage 2 Building F、Stage 3 Building G；無日期。」無法解析，視為未公布</t>
  </si>
  <si>
    <t>完工日「EIS：六年期、逐棟（B、C、D）；無日期。」無法解析，視為未公布</t>
  </si>
  <si>
    <t>完工日「EIS 無日期；Stage 1 = Building A + 早期工程 + 廣場；Stage 2 = Building B。」無法解析，視為未公布</t>
  </si>
  <si>
    <t>議會暫緩，無時程。</t>
  </si>
  <si>
    <t>擴建申請尚未核准；The Age 稱 2027 年底。</t>
  </si>
  <si>
    <t>總計（主清單）</t>
  </si>
  <si>
    <t>觀察名單合計</t>
  </si>
  <si>
    <t>核對：專案清單的主清單</t>
  </si>
  <si>
    <t>決策或報價前請先確認本表：跨來源的數字或說法不一致、各專案自行註記的差異，以及可信度為「低」的專案。</t>
  </si>
  <si>
    <t>一、跨來源差異（彙整，共 15 項）</t>
  </si>
  <si>
    <t>序號</t>
  </si>
  <si>
    <t>主題</t>
  </si>
  <si>
    <t>說明</t>
  </si>
  <si>
    <t>相關專案</t>
  </si>
  <si>
    <t>3 Davis Road（Wetherill Park）的歸屬</t>
  </si>
  <si>
    <t>第三方資料庫與 NSW-A 代理列為 Stockland／EdgeConneX 的出租案；規劃入口上的開工通知書（2025-01-14，Cundall 代為發出）寫明『AWS would like to notify…commence construction of the Site civil and DC01 stage…on 13/02/2025』，故為 AWS 自建，已排除。Stockland 與 EdgeConneX 的案子在 2 Davis Road，另案。</t>
  </si>
  <si>
    <t>NEXTDC S4 容量口徑</t>
  </si>
  <si>
    <t>NEXTDC FY26 簡報：升級至 365 MW IT（250 MW 在建、115 MW 規劃）；NSW 核准書 294 MW；Multiplex 新聞稿 350 MW；RenewMap 232 MW。報價時需指明口徑。</t>
  </si>
  <si>
    <t>NEXTDC D2 Darwin 與 SC2 Sunshine Coast</t>
  </si>
  <si>
    <t>代理列為 6 MW 站點；NEXTDC FY26 簡報寫明 D2 僅 1.5 MW、SC2 僅 1 MW 在建，且為新簽海纜客戶專用，不是 5 MW 區塊，已排除。B2 Brisbane 同樣只有 2 MW 在建。</t>
  </si>
  <si>
    <t>NEXTDC M2 Tullamarine</t>
  </si>
  <si>
    <t>VIC-A 代理依官網判為營運中、無擴建而排除；NEXTDC FY26 簡報寫明 M2『12 MW delivered with remaining 60 MW in progress』，採簡報並列入記錄。</t>
  </si>
  <si>
    <t>AirTrunk MEL2 的狀態</t>
  </si>
  <si>
    <t>AirTrunk 官網列為營運中，CRN 稱 2027 年營運，RenewMap 記施工中，Baxtel 記規劃。VIC-A、VIC-B 都找不到主體施工證據，判為已核准尚未動工（DFP 許可 PA2403452，2025-03-28，位址 85 Sharps Road, Tullamarine）。</t>
  </si>
  <si>
    <t>STACK MEL01C／D 的狀態</t>
  </si>
  <si>
    <t>STACK 官網列出四棟共 180 MW（C、D 各 54 MW）但未載各棟狀態；承建商 Hickory 專案頁把 MEL01C&amp;D 列在『Completed』（並稱位於 Laverton、單一三層建築，與 STACK 官網不符）；Baxtel 估 MEL01C 2026-Q4、MEL01D 2027-Q2。可能土建已完成、機電與啟用仍在進行，需向 STACK 確認。</t>
  </si>
  <si>
    <t>1-5 Khartoum Road 兩個案子與 MW</t>
  </si>
  <si>
    <t>同一地址有兩個 SSD：SSD-63235720（Stockland／EdgeConneX MPark，NSW-B 讀評估報告為 51.4 MW）與 SSD-80814238（Road 1，34.3 MW）； 記 76.4／49 MW，入口標題寫 35 MW。以 NSW-B 讀取的評估報告為準。</t>
  </si>
  <si>
    <t>GreenSquareDC WAi1（Perth）</t>
  </si>
  <si>
    <t>RenewMap 稱 120 MW 開發中、部分來源稱 48 MW 在建；WA-B 查得 Belmont 的舊核准將於 2026-10-17 失效且無動工，Hazelmere 120 MW 已於 2026-05 撤回。並非在建案，不列入。</t>
  </si>
  <si>
    <t>Mickleham（45 Donnybrook Road）營運商</t>
  </si>
  <si>
    <t>報導指向 AirTrunk（批發出租），DatacenterMap 則列為 Amazon AWS（自建）；DFP 許可申請 PA2604506（2026-07-01）未具名申請人。放入觀察名單。</t>
  </si>
  <si>
    <t>CDC Maddington 時程</t>
  </si>
  <si>
    <t>較舊來源稱 2026 年營運；CDC 官網：主體工程 2025-12 開工、第一棟 2027-01 營運（約 34 MW）。採官網。</t>
  </si>
  <si>
    <t>PA2403320（63 Sunshine Road, West Footscray）</t>
  </si>
  <si>
    <t>底稿誤認為 NEXTDC M3；VIC-B 讀官員報告確認為 Perri 的 PMDC，NEXTDC M3 在 1 Paramount Road 一帶。</t>
  </si>
  <si>
    <t>Fujitsu→Next Capital 的空置容量</t>
  </si>
  <si>
    <t>報導稱五站合計 25 MW、約 7 MW 已租給約 130 個客戶；這是組合數字，各站空置量未公布。Greystanes 的『最高 60 MW』是場址潛力，不是現有容量。</t>
  </si>
  <si>
    <t>Keppel Hazelwood North（720 MW）</t>
  </si>
  <si>
    <t>VIC-A、VIC-B 列為送件中；VIC-C 讀 Latrobe City 2026-09 頁面，明寫尚未提出申請，已排除。</t>
  </si>
  <si>
    <t>DCI 的持股</t>
  </si>
  <si>
    <t>本人底稿寫『印尼持有』；SA-A、NT-B、ACT-A 三個代理一致回報 DCI 官網稱屬 Brookfield 旗下，採後者。</t>
  </si>
  <si>
    <t>Macquarie Technology 新購地價格</t>
  </si>
  <si>
    <t>早期報導約 A$1.68 億；ASX 公告（2026-08-06 交割）為 A$2.4 億（含其他成本 A$2.54 億），採 ASX。該地只有土地、尚無規劃申請，已排除。</t>
  </si>
  <si>
    <t>二、專案層級差異（共 77 件）</t>
  </si>
  <si>
    <t>三、低可信度專案：需再查證（共 6 件）</t>
  </si>
  <si>
    <t>四、觀察名單：出租性待確認（共 19 件，不計入總覽主要統計）</t>
  </si>
  <si>
    <t>排除清單（僅供稽核，不屬於盤點範圍）</t>
  </si>
  <si>
    <t>本表僅供稽核：列出搜索中檢視過、但不符收錄條件的項目（雲端巨頭自建、不足 5 MW、已撤案或否決等），用以證明搜索涵蓋範圍。這些項目不屬於盤點清單，也不計入總覽統計與地圖。</t>
  </si>
  <si>
    <t>地址</t>
  </si>
  <si>
    <t>排除原因</t>
  </si>
  <si>
    <t>備註</t>
  </si>
  <si>
    <t>EX-001</t>
  </si>
  <si>
    <t>43-61 Turner Road Data Centre, Gregory Hills（SSD-68013714）</t>
  </si>
  <si>
    <t>Amazon（lead 資料）；SSD 申請人 Arup Pty Ltd</t>
  </si>
  <si>
    <t>43-61 Turner Road, Gregory Hills NSW 2557</t>
  </si>
  <si>
    <t>雲端巨頭自建／不對外出租</t>
  </si>
  <si>
    <t>DPHI 評估報告（2025-11-21）：61.7 MW 總用電、IT 53 MW；申請人為顧問公司 Arup，最終用戶未點名；先前資料指為 Amazon（開工通知 2026-03-10）。Mod 1（變電站佈局）2026-06-26 核准。</t>
  </si>
  <si>
    <t>https://www.planningportal.nsw.gov.au/major-projects/projects/43-61-turner-road-data-centre
https://majorprojects.planningportal.nsw.gov.au/prweb/PRRestService/mp/01/getContent?AttachRef=SSD-68013714%2120251121T045241.327+GMT</t>
  </si>
  <si>
    <t>EX-002</t>
  </si>
  <si>
    <t>Amazon Turner Road Data Centre</t>
  </si>
  <si>
    <t>Amazon / AWS（領導資料）</t>
  </si>
  <si>
    <t>43-61 Turner Road, Smeaton Grange NSW（Camden LGA；領導清單寫 Gregory Hills）</t>
  </si>
  <si>
    <t>SSD-68013714 於 2025-11-21 核准；53 MW、20 部備援柴油發電機。Baxtel 的 Amazon Smeaton Grange 系列條目指向同區。</t>
  </si>
  <si>
    <t>https://www.planningportal.nsw.gov.au/major-projects/projects/43-61-turner-road-data-centre</t>
  </si>
  <si>
    <t>EX-003</t>
  </si>
  <si>
    <t>AWS Glendenning Road Data Centre</t>
  </si>
  <si>
    <t>Amazon Web Services（領導資料；正式申請人 Lehr Consultants）</t>
  </si>
  <si>
    <t>2 Glendenning Road, Glendenning NSW 2761</t>
  </si>
  <si>
    <t>SSD-73761707 於 2026-09-14 核准；入口網站描述耗電 202.4 MW、三棟五層（先前資料寫 193.6 MW IT）。；DPHI 評估報告：最大電力 235 MW、IT load 193.6 MW（三棟：DC01 79.2、DC02 35.2、DC03 79.2 MW）；核准 2026-09-14。報告未點名最終用戶，但 W.Media 與 先前 皆指為 AWS 自建。Portal 標題寫 202.4 MW。</t>
  </si>
  <si>
    <t>https://www.planningportal.nsw.gov.au/major-projects/projects/glendenning-road-data-centre
https://majorprojects.planningportal.nsw.gov.au/prweb/PRRestService/mp/01/getContent?AttachRef=SSD-73761707%2120260916T063023.112+GMT
https://w.media/amazon-receives-approval-for-aud-2-17bn-sydney-data-centre/</t>
  </si>
  <si>
    <t>EX-004</t>
  </si>
  <si>
    <t>AWS Project Echidna（Eastern Creek）</t>
  </si>
  <si>
    <t>Amazon Web Services</t>
  </si>
  <si>
    <t>10 Eastern Creek Drive, Eastern Creek NSW 2766</t>
  </si>
  <si>
    <t>AWS 自建；SSD-47320208 於 2024-04-05 核准，前身議會 DA（PPSSCC-45）2020-05-06 核准，CIV A$40.4m。；DPHI 評估報告（2024-04-04）：運轉容量 35.2 MW；申請人為顧問公司 ARUP，最終用戶未在報告點名，先前資料為 AWS。</t>
  </si>
  <si>
    <t>https://www.planningportal.nsw.gov.au/major-projects/projects/project-echidna-data-centre-eastern-creek
https://www.planningportal.nsw.gov.au/planning-panel/2-stage-industrial-development-data-centre
https://majorprojects.planningportal.nsw.gov.au/prweb/PRRestService/mp/01/getContent?AttachRef=SSD-47320208%2120240404T234404.561+GMT</t>
  </si>
  <si>
    <t>EX-005</t>
  </si>
  <si>
    <t>Davis Road Data Centre（Cundall；工程代號 Project Blue Tongue；SSD-59416728）</t>
  </si>
  <si>
    <t>Amazon Web Services（AWS）— 政府文件明載客戶為 AWS</t>
  </si>
  <si>
    <t>3 Davis Road, Wetherill Park NSW 2164</t>
  </si>
  <si>
    <t>更正 先前 的對應：2025-01-14 的開工通知（Cundall 代表 AWS 提交，AWS「intention to commence construction of the Site civil and DC01 stage on 13/02/2025」）與 2025-03-17 的 Staging Plan 函（「On behalf of our client Amazon Web Services (AWS)」，總包 Lendlease）顯示本案是 AWS 專案，並非 Stockland/EdgeConneX 的可出租案；Stockland–EdgeConneX 合資的已揭露據點是 MPark Stage 2 與墨爾本（W.Media 2026-03-05），未列 Davis Road。IDA 名單的「Stockland 2 Davis Road」可能是 Stockland 持有土地、AWS 承租（推測）。DPHI 評估報告：最大電力 160.85 MW、兩棟三層加磁帶棟、CIV A$1.597bn、施工 24 個月四階段；核准 2024-12-20。</t>
  </si>
  <si>
    <t>https://www.planningportal.nsw.gov.au/major-projects/projects/davis-road-data-centre-cundall
https://majorprojects.planningportal.nsw.gov.au/prweb/PRRestService/mp/01/getContent?AttachRef=SSD-59416728%2120241220T045539.893+GMT
https://majorprojects.planningportal.nsw.gov.au/prweb/PRRestService/mp/01/getContent?AttachRef=SSD-59416728-PA-1%2120250115T050359.699+GMT
https://majorprojects.planningportal.nsw.gov.au/prweb/PRRestService/mp/01/getContent?AttachRef=SSD-59416728-PA-12%2120250317T040212.193+GMT
https://w.media/stockland-finalises-edgeconnex-data-centre-jv-as-ceo-plots-more-investment/</t>
  </si>
  <si>
    <t>EX-006</t>
  </si>
  <si>
    <t>Kemps Creek Data Centre（SSD-10101987）</t>
  </si>
  <si>
    <t>終端使用者未確認（RenewMap 稱 Microsoft Azure；Baxtel 以遮蔽名稱列在 Microsoft Kemps Creek 條目）</t>
  </si>
  <si>
    <t>Kemps Creek NSW 2178（Mamre Road 一帶，門牌未取得）</t>
  </si>
  <si>
    <t>SSD-10101987 於 2023-07-13 核准，申請人為顧問 ARUP PTY LIMITED；Mod 1（資料大廳設備進場）2024-11-18 核准。歸屬 Microsoft 為推定，尚未證實；若實為第三方出租則應回到 records。</t>
  </si>
  <si>
    <t>https://www.planningportal.nsw.gov.au/major-projects/projects/kemps-creek-data-centre-mod-1-data-hall-fit-out</t>
  </si>
  <si>
    <t>EX-007</t>
  </si>
  <si>
    <t>Kemps Creek Data Centre（SYD05/SYD06；SSD-10101987）</t>
  </si>
  <si>
    <t>Microsoft（管理計畫檔名 MSFT-SY5；W.Media 稱 Microsoft 在 Kemps Creek 的新據點）；SSD 申請人 ARUP Pty Ltd</t>
  </si>
  <si>
    <t>706-769 Mamre Road, Kemps Creek NSW 2178</t>
  </si>
  <si>
    <t>核准 2023-07-13：兩棟兩層、60 個 data halls、62 台發電機；已進入營運階段（營運管理計畫 2025-07 核准）。先前資料：RenewMap 歸為 Microsoft Azure 190 MW。政府文件的檔名代碼與媒體皆指向 Microsoft 自建，可確認 先前 的「[unverified]」。</t>
  </si>
  <si>
    <t>https://www.planningportal.nsw.gov.au/major-projects/projects/kemps-creek-data-centre
https://majorprojects.planningportal.nsw.gov.au/prweb/PRRestService/mp/01/getContent?AttachRef=SSD-10101987%2120230713T062647.602+GMT
https://w.media/?s=Kemps+Creek</t>
  </si>
  <si>
    <t>EX-008</t>
  </si>
  <si>
    <t>Microsoft Honeman Close Data Centre</t>
  </si>
  <si>
    <t>Microsoft（領導資料）</t>
  </si>
  <si>
    <t>6 Honeman Close, Huntingwood NSW 2148</t>
  </si>
  <si>
    <t>SSD-58601963 於 2026-10-01 核准，96 MW；入口網站不顯示申請人，歸屬依先前資料。；DPHI 評估報告：申請人 Microsoft (Australia) Pty Ltd；IT 用電 96 MW；核准 2026-10-01。微軟自建。</t>
  </si>
  <si>
    <t>https://www.planningportal.nsw.gov.au/major-projects/projects/honeman-close-data-centre
https://majorprojects.planningportal.nsw.gov.au/prweb/PRRestService/mp/01/getContent?AttachRef=SSD-58601963%2120261001T224855.166+GMT
https://w.media/microsoft-gets-approval-for-au1-26bn-96mw-sydney-data-centre/</t>
  </si>
  <si>
    <t>EX-009</t>
  </si>
  <si>
    <t>Microsoft Station Road Data Centre（Seven Hills）</t>
  </si>
  <si>
    <t>57 Station Road, Seven Hills NSW 2147</t>
  </si>
  <si>
    <t>SSD-33781208（兩層資料中心擴建）2022-12-16 核准；先前資料稱已於 2023-24 建成。；2022-12-16 核准；兩層擴建，先前資料為 Microsoft 自用（2023–24 建成）；本報告僅確認 Portal 紀錄。</t>
  </si>
  <si>
    <t>https://www.planningportal.nsw.gov.au/major-projects/projects/station-road-data-centre-expansion</t>
  </si>
  <si>
    <t>EX-010</t>
  </si>
  <si>
    <t>Stockland Macquarie Park Stage 1</t>
  </si>
  <si>
    <t>Stockland（Baxtel：預租給雲端業者，相信是 AWS）</t>
  </si>
  <si>
    <t>11-17 Khartoum Road, Macquarie Park NSW 2113（Baxtel 寫 10/11-17 Khartoum Rd）</t>
  </si>
  <si>
    <t>Baxtel 敘述：五層、A$264m、6,300 m² 資料廳、至少 19 部發電機，預租給大型雲端業者、預計 2026 完工；僅聚合站，未取得 SSD 編號。DPHI 評估報告提到鄰近既有 Macquarie Park Data Centre（SSD-10467，11-17 Khartoum Road 與 33-39 Talavera Road），可能與此重疊，待查。</t>
  </si>
  <si>
    <t>https://baxtel.com/data-center/stockland-macquarie-park-stage-1</t>
  </si>
  <si>
    <t>EX-011</t>
  </si>
  <si>
    <t>Viridis Zone 4 Edge Data Centre</t>
  </si>
  <si>
    <t>Viridis Green Data Centres（Oper8 Global 為交付夥伴）</t>
  </si>
  <si>
    <t>Sydney（距 CBD 15 km 內，地址未公布）</t>
  </si>
  <si>
    <t>不足 5 MW</t>
  </si>
  <si>
    <t>W.Media 2026-04-21：初始電網取電 0.8 MW、約 A$8m、2026 年底動工、2027 年底試運轉；尚未見規劃申請。</t>
  </si>
  <si>
    <t>https://w.media/viridis-secures-sydney-site-for-zone-4-data-centre/</t>
  </si>
  <si>
    <t>EX-012</t>
  </si>
  <si>
    <t>52 Turner Road Data Centre</t>
  </si>
  <si>
    <t>52 Turner Road, Smeaton Grange NSW 2567</t>
  </si>
  <si>
    <t>已撤案或否決</t>
  </si>
  <si>
    <t>SSD-60185233 狀態 Withdrawn；描述容量 40 MW。；Portal 狀態 Withdrawn（無狀態標籤，先前資料同）。</t>
  </si>
  <si>
    <t>https://www.planningportal.nsw.gov.au/major-projects/projects/52-turner-road-data-centre</t>
  </si>
  <si>
    <t>EX-013</t>
  </si>
  <si>
    <t>Augusta Street Data Centre</t>
  </si>
  <si>
    <t>Augusta Street, Blacktown LGA NSW（門牌未取得）</t>
  </si>
  <si>
    <t>SSD-10469 已撤回；原案為 16 個資料大廳、兩座變電站的資料中心；入口網站歸類在 Telecommunication Facilities，故不在 Data Storage 清單。</t>
  </si>
  <si>
    <t>https://www.planningportal.nsw.gov.au/major-projects/projects/augusta-street-data-centre</t>
  </si>
  <si>
    <t>EX-014</t>
  </si>
  <si>
    <t>Augusta Street Data Centre（SSD-10469）</t>
  </si>
  <si>
    <t>未知</t>
  </si>
  <si>
    <t>Augusta Street, Blacktown NSW</t>
  </si>
  <si>
    <t>16 個 data halls 的資料中心；DA 撤回函 2022-01-16；Portal 狀態 Withdrawn。</t>
  </si>
  <si>
    <t>EX-015</t>
  </si>
  <si>
    <t>Mowbray Road Data Centre（SSD-13475973）</t>
  </si>
  <si>
    <t>706 Mowbray Road West, Lane Cove North NSW 2066</t>
  </si>
  <si>
    <t>Portal 狀態 Withdrawn（LGA 掃描所得，Warehouse 類別，未被 先前 的 Data Storage 清單涵蓋）。</t>
  </si>
  <si>
    <t>https://www.planningportal.nsw.gov.au/major-projects/projects/mowbray-road-data-centre</t>
  </si>
  <si>
    <t>EX-016</t>
  </si>
  <si>
    <t>Project Mars Data Centre（Goodman）</t>
  </si>
  <si>
    <t>Goodman</t>
  </si>
  <si>
    <t>12 Mars Road, Lane Cove West NSW 2066</t>
  </si>
  <si>
    <t>SSD-82052708 狀態 Withdrawn（先前資料：2026-09-28 撤回）；描述耗電約 90 MW。；Portal 狀態 Withdrawn（先前：2026-09-28 撤回）；原計畫 90 MW、兩棟兩層、A$1.2bn。與 的 Mars Road DC（SSD-108835458）是不同地塊。；SSD-82052708 在 Planning Portal 狀態為 Withdrawn（先前 記錄撤回日 2026-09-28）；Capacity Global／Mingtiandi 標題稱 Goodman 取消 A$5.6 億案（我方僅見標題，未開啟）。注意另有仍在進行的 Mars Road Data Centre（SSD-108835458，3-4 Apollo Place &amp; 87-91 Mars Road，約 140 MW，SEARs 請求 2026-03-06，Prepare EIS）。</t>
  </si>
  <si>
    <t>https://www.planningportal.nsw.gov.au/major-projects/projects/project-mars-data-centre
https://w.media/goodman-files-application-for-project-mars-90mw-data-center-campus-at-lane-cove-west-sydney
https://capacityglobal.com/news/goodman-cancels-data-centre-in-sydney-suburb/
https://www.mingtiandi.com/real-estate/data-centres/goodman-scraps-560m-project-mars-data-centre-in-sydney/</t>
  </si>
  <si>
    <t>EX-017</t>
  </si>
  <si>
    <t>Waterloo Road Data Centre（ESR Developments）</t>
  </si>
  <si>
    <t>ESR Developments</t>
  </si>
  <si>
    <t>44-50 Waterloo Road, Macquarie Park NSW 2113</t>
  </si>
  <si>
    <t>SSD-59516710 狀態 SEARs Expired（SEARs 失效，等同失效）；描述高度 65 m。；先前資料：已撤回；Portal 卡片無狀態標籤。</t>
  </si>
  <si>
    <t>https://www.planningportal.nsw.gov.au/major-projects/projects/waterloo-road-data-centre-esr-developments</t>
  </si>
  <si>
    <t>EX-018</t>
  </si>
  <si>
    <t>42 Sargents Road Data Centre, Minchinbury（PPS-2019CCI002 / SPP-18-01544）</t>
  </si>
  <si>
    <t>未知（申請人 Urbis Pty Ltd；地主 Aldi Foods Pty Ltd）</t>
  </si>
  <si>
    <t>42 Sargents Road, Minchinbury NSW 2770</t>
  </si>
  <si>
    <t>其他</t>
  </si>
  <si>
    <t>Sydney Central City Planning Panel 2020-02-28 核准兩層資料中心（CIV A$86.8m）；營運商與現況未知，與 先前 的 Starwood/Doma/Telstra Minchinbury 案（Telstra 土地）關係未證實——該案地址仍待查。</t>
  </si>
  <si>
    <t>EX-019</t>
  </si>
  <si>
    <t>AIMS Capital Management — Bella Vista Data Centre Campus（IDA 背書）</t>
  </si>
  <si>
    <t>AIMS Capital Management Ltd</t>
  </si>
  <si>
    <t>Bella Vista, The Hills Shire（門牌未知）</t>
  </si>
  <si>
    <t>NSW 政府 2026-03-27 IDA 名單所列，但 Planning Portal 的 Data Storage 50 筆、The Hills 的 SSD/規劃小組清單皆無對應；未找到 SEARs、DA 或規劃提案，故不能列為 planned_filed。</t>
  </si>
  <si>
    <t>https://www.nsw.gov.au/ministerial-releases/data-centre-investment-sustainable-development
https://www.nsw.gov.au/departments-and-agencies/investment-nsw/ida/projects-by-ida</t>
  </si>
  <si>
    <t>EX-020</t>
  </si>
  <si>
    <t>CDC Beard 2 Data Centre, Canberra（ACT）</t>
  </si>
  <si>
    <t>Beard, ACT（細節未查）</t>
  </si>
  <si>
    <t>W.Media 2026-09-30 標題：CDC 獲准 A$2.035 億 Beard 2 資料中心（Canberra）。屬 ACT，非 NSW；我方僅見標題，未開啟，轉交 ACT 負責人。</t>
  </si>
  <si>
    <t>https://w.media/cdc-wins-approval-for-au203-5m-beard-2-data-centre-in-canberra/</t>
  </si>
  <si>
    <t>EX-021</t>
  </si>
  <si>
    <t>CDC Eastern Creek 園區（Roberts Road Data Centre，EC1-EC6）</t>
  </si>
  <si>
    <t>17 Roberts Road, Eastern Creek NSW 2766</t>
  </si>
  <si>
    <t>SSD-10330（2020-07-14 核准，申請人 Canberra Data Centres Pty Ltd）；Mod 1 加蓋樓層（2024-04-17）、Mod 2 備援發電機（2026-03-06）、Mod 3 高壓設備（2026-09-08）；入口網站有 EC4 開始運轉通知（2026 年上傳）。未見空置容量證據，CDC 稱與美國客戶簽有 555 MW 合約。入口網站把此案歸在 Warehouse or distribution centres，不在 Data Storage 清單。；營運中園區：SSD 2020-07-14 核准（Canberra Data Centres 申請，CIV 約 A$291m）；EC4 於 2020-10 通知動工、2023-03 起部分營運、2024-03 全面營運（portal 2026-04-07 補傳）；Mod 2（發電機與柴油儲存）2026-03-06、Mod 3（高壓設備）2026-09-10 核准，Mod 4 審查中。無證據顯示有 ≥5 MW 未租容量，且 CDC 已與美國客戶簽 555 MW 合約（先前），故不列入。；既有資料中心擴建案，2020-07-14 核准，Portal 顯示 MOD 3 於 2026-09-08 更新（Mod 2 為增加備用發電機）。開發類型為『Warehouse or distribution centres』，因此不在 先前 的 Data Storage 篩選清單。操作者與剩餘容量未評估，列出供 先前 交叉核對。</t>
  </si>
  <si>
    <t>https://www.planningportal.nsw.gov.au/major-projects/projects/roberts-road-data-centre
https://majorprojects.planningportal.nsw.gov.au/prweb/PRRestService/mp/01/getContent?AttachRef=SSD-10330%2120200714T231209.227+GMT
https://majorprojects.planningportal.nsw.gov.au/prweb/PRRestService/mp/01/getContent?AttachRef=SSD-10330-PA-13%2120260407T040057.146+GMT</t>
  </si>
  <si>
    <t>EX-022</t>
  </si>
  <si>
    <t>Dexus Estate 內的資料中心用地（MP08_0259 Mod 7）</t>
  </si>
  <si>
    <t>Dexus Estate（Blacktown / Cumberland / Fairfield 交界），座標約 -33.825, 150.918</t>
  </si>
  <si>
    <t>僅見 Mod 7（2022-09-30 核准）調整資料中心用地的水槽、停車與地下油槽，沒有 MW、營運商或施工資訊。</t>
  </si>
  <si>
    <t>https://www.planningportal.nsw.gov.au/major-projects/projects/dexus-estate-mod-7-data-centre-site-layout</t>
  </si>
  <si>
    <t>EX-023</t>
  </si>
  <si>
    <t>Digital Realty Erskine Park（SYD10 / SYD11）</t>
  </si>
  <si>
    <t>Digital Realty</t>
  </si>
  <si>
    <t>1-12 Templar Road, Erskine Park NSW 2759（Baxtel：SYD10 在 1-11 Templar Road，SYD11 相鄰）</t>
  </si>
  <si>
    <t>地址已解決（OSM POI Digital Erskine Park 1，座標 -33.8162, 150.7959；Penrith 1-23 Templar Road 有 2010 年（標題註明 Fujitsu，A$35m）與 2011 年（A$24m）兩件早期小組核准 DA）。營運中；Baxtel 稱 SYD11 第二期規劃，但未取得日期或 MW，無空置/擴建的 5 MW 證據。</t>
  </si>
  <si>
    <t>https://baxtel.com/data-center/digital-realty-erskine-park-sydney
https://baxtel.com/data-center/digital-realty-erskine-park-2
https://www.planningportal.nsw.gov.au/planning-panel/data-centre-0</t>
  </si>
  <si>
    <t>EX-024</t>
  </si>
  <si>
    <t>Equinix SY9x（Rosehill）</t>
  </si>
  <si>
    <t>Equinix（與 PGIM 合資）</t>
  </si>
  <si>
    <t>10 Grand Avenue, Rosehill NSW 2142（DataCenterMap 寫 8A Grand Avenue）</t>
  </si>
  <si>
    <t>Planning Panel PPSSCC-64（2020-07-31 核准，三層，CIV A$44.7m）。2022-06-14 開幕時逾 14 MW、完全建成逾 28 MW；第二階段是否已動工、是否對 5 MW 租戶開放皆無證據。</t>
  </si>
  <si>
    <t>https://www.planningportal.nsw.gov.au/planning-panel/data-centre-4
https://newsroom.equinix.com/2022-06-14-Equinix-and-PGIM-Real-Estate-Open-First-xScale-TM-Data-Centre-in-Sydney-for-Hyperscalers</t>
  </si>
  <si>
    <t>EX-025</t>
  </si>
  <si>
    <t>Fujitsu Homebush Bay Data Centre（出售予 Next Capital）</t>
  </si>
  <si>
    <t>Fujitsu Australia → Next Capital</t>
  </si>
  <si>
    <t>Homebush Bay NSW（街道地址未能確認）</t>
  </si>
  <si>
    <t>6 MW 站點（1988 年啟用、2007／2010 翻新、2,600 sqm、三個資料廳、承租物業）；無證據顯示有 &gt;=5 MW 未租出容量或擴建申請，故不列入 records。見 的 Greystanes。</t>
  </si>
  <si>
    <t>https://bebeez.eu/2026/07/20/fujitsu-sells-australian-data-center-business-to-next-capital/
https://w.media/next-capital-agrees-to-acquire-fujitsus-australian-data-centre-business/</t>
  </si>
  <si>
    <t>EX-026</t>
  </si>
  <si>
    <t>Fujitsu Homebush Data Centre（Sydney Olympic Park）</t>
  </si>
  <si>
    <t>Fujitsu（出售給 Next Capital，2026-07-20 簽約）</t>
  </si>
  <si>
    <t>4 Figtree Drive, Sydney Olympic Park (Homebush) NSW 2127</t>
  </si>
  <si>
    <t>地址已解決（Baxtel 與 OSM POI Fujitsu Homebush Data Centre，OSM 座標約 -33.8498, 151.0716）。1988 年建，兩層，約 5,554 m² 白空間；總容量約 6 MW，沒有場址級的 5 MW 以上空置證據；Next Capital 稱五站合計 25 MW、約 7 MW 已租，僅投資組合層級。</t>
  </si>
  <si>
    <t>https://nextcapital.com.au/next-capital-buys-fujitsu-australian-data-centres/
https://baxtel.com/data-center/fujitsu-sydney-olympic-park-homebush</t>
  </si>
  <si>
    <t>EX-027</t>
  </si>
  <si>
    <t>Lane Cove West Data Centre（既有）</t>
  </si>
  <si>
    <t>未具名的資料中心營運商（SSD-9741 評估報告稱其在墨爾本與雪梨西部已有兩座資料中心）</t>
  </si>
  <si>
    <t>1 Sirius Road, Lane Cove West NSW 2066</t>
  </si>
  <si>
    <t>SSD-9741（2019 核准，申請人 Greenbox Architecture 為代理），Mod 1-4 已進行；擴建部分已列為 （Apollo Place）。既有設施本身無空置證據。；營運中（2019-11-15 核准、約 2021 啟用；110 MW load）。無未租容量證據；擴建部分見 （Apollo Place）。Mod 4 把 APDC 納入同意書。；四層資料儲存建築，2019-11-15 核准，最近一次修改 MOD 3（2024-06-13）；開發類型『Warehouse or distribution centres』，不在 Data Storage 篩選清單；與 Apollo Place Data Centre（SSD-67407231，1 Sirius Road／1 Apollo Place，45 MW）同址。操作者與剩餘容量未評估。</t>
  </si>
  <si>
    <t>https://www.planningportal.nsw.gov.au/major-projects/projects/lane-cove-west-data-centre-mod-4-apdc-inclusion
https://www.planningportal.nsw.gov.au/major-projects/projects/lane-cove-west-data-centre
https://www.itnews.com.au/news/airtrunk-sinks-1bn-into-110-mw-lane-cove-west-data-centre-534201</t>
  </si>
  <si>
    <t>EX-028</t>
  </si>
  <si>
    <t>Leading Edge Data Centres (LEDC) 區域 AI 資料中心（兩處，地點未公布）</t>
  </si>
  <si>
    <t>Leading Edge Data Centres</t>
  </si>
  <si>
    <t>W.Media 2026-08-17：LEDC 新 CEO Joe Craparotta 稱將『immediately』開發兩處區域 AI 站點（一處為既有園區擴建成專用 AI 資料中心，一處為綠地、依 NVIDIA Vera Rubin 設計、已在建）；未說明州別、地址、MW，Planning Portal 查無對應區域 SSD（可能是 &lt;15 MW 的市府 DA 或非 NSW 站點）。待查。</t>
  </si>
  <si>
    <t>https://w.media/ledcs-craparotta-bets-on-regional-ai-as-demand-outstrips-capacity/</t>
  </si>
  <si>
    <t>EX-029</t>
  </si>
  <si>
    <t>Macquarie Data Centres 約 200 MW Macquarie Park 園區（IC6/IC7？）</t>
  </si>
  <si>
    <t>Macquarie Park（Talavera Road 與 M2 之間，約 34,200 m2，門牌未公布）</t>
  </si>
  <si>
    <t>ASX/IT Wire 2026-07-16：行使選擇權以 A$240m 購入，設計「須取得規劃及其他核准」，首期預計 2029 年底完成；Portal 無對應 SSD，尚無規劃申請，故不列入記錄。</t>
  </si>
  <si>
    <t>https://itwire.com/guest-articles/company-news/proposed-development-of-new-macquarie-engineering-and-technology-campus-in-macquarie-park
https://www.mingtiandi.com/real-estate/data-centres/macquarie-technology-eyes-sydney-campus-with-168m-site-buy/
https://baxtel.com/news/macquarie-dc-acquires-34-200-sqm-sydney-site-for-200mw-data-center-campus</t>
  </si>
  <si>
    <t>EX-030</t>
  </si>
  <si>
    <t>Macquarie Engineering &amp; Technology Campus (METC)，Macquarie Technology Group 新購 Macquarie Park 用地</t>
  </si>
  <si>
    <t>Macquarie Data Centres（Macquarie Technology Group，ASX:MAQ）</t>
  </si>
  <si>
    <t>66-82 Talavera Road, Macquarie Park NSW 2113（推定；公司公告只稱『Talavera Road 與 M2 高速公路之間約 34,200 sqm 輕工業用地』，未公布街道地址）</t>
  </si>
  <si>
    <t>僅有土地、尚無資料中心規劃申請：2026-08-06 完成購地（ASX 公告），價格 A$2.4 億（含其他成本共 A$2.54 億），賣方為 Holdmark（2014 年約 A$3,000 萬購入）。公司稱規劃約 200 MW（2025-07 期權公告為『&gt;150 MW IT』）、初期建設預計 2029 年底完成『subject to planning and other approvals』，並說明『Further details ... during the planning and development application process』，即尚未向 DPHI 提 SEARs／SSD（Planning Portal 於 2026-10-03 查無 Talavera Road 他案：4-10 號為 Goodman、17-23 號為 MDC IC3）。FY26 簡報稱建設資料中心『expected to be in a few years』，並將考慮專案融資或長期基建投資人；Macquarie 部落格稱尚無客戶簽約。地址推定依據：Holdmark 於 2014 年購入的地塊在 Ryde 議會／Planning Panel 紀錄為 66-82 Talavera Road（LDA2014/299，PPS-2014SYE091，原核准四層商辦），且 apartments.com.au 把 66-82 Talavera Road 列為 Holdmark 1,400 戶案，與媒體所述『3.4 ha、原規劃約 1,400 戶公寓』吻合；該地塊已再分割，實際 34,200 sqm 範圍可能只是其中一部分。建議列入 watch-list（不上客戶地圖）。Mingtiandi 把賣方寫成 Keppel DC REIT 應為誤植（其餘來源皆為 Holdmark）。</t>
  </si>
  <si>
    <t>https://announcements.asx.com.au/asxpdf/20260826/pdf/0738k7f9vrp2mb.pdf
https://announcements.asx.com.au/asxpdf/20260806/pdf/072hmsdgp3wjhs.pdf
https://announcements.asx.com.au/asxpdf/20250714/pdf/06lrns09fcgryz.pdf
https://www.macquariedatacentres.com/blog/macquarie-technology-group-secures-land-for-3b-sydney-data-centre/
https://www.realestatesource.com.au/holdmark-site-finds-new-life-in-data-centre-boom/
https://www.planningportal.nsw.gov.au/planning-panel/66-82-talavera-road-macquarie-park-holdmark
https://www.apartments.com.au/new-apartments/66-82-talavera-road-macquarie-park-nsw-2113</t>
  </si>
  <si>
    <t>EX-031</t>
  </si>
  <si>
    <t>Macquarie Engineering &amp; Technology Campus（METC，Macquarie Technology 新購土地）</t>
  </si>
  <si>
    <t>Macquarie Technology Group</t>
  </si>
  <si>
    <t>約 34,200 m² 地塊，位於 Talavera Road 與 M2 高速公路之間，Macquarie Park NSW（門牌未公布）</t>
  </si>
  <si>
    <t>僅有土地：2026-08-06 ASX 公告土地交割完成；FY26 簡報稱購價 A$240m（取得總成本 A$254m），擬建約 200 MW 的校園，尚無規劃送件。先前資料寫約 A$168m，與公司簡報不符，以簡報為準。Baxtel 的 IC6、IC7 為規劃 2028/2029，亦無送件。</t>
  </si>
  <si>
    <t>https://cdn-api.markitdigital.com/apiman-gateway/ASX/asx-research/1.0/file/2924-03118730-2A1688138
https://cdn-api.markitdigital.com/apiman-gateway/ASX/asx-research/1.0/file/2924-03126655-2A1692379</t>
  </si>
  <si>
    <t>EX-032</t>
  </si>
  <si>
    <t>Macquarie Park Data Centre（SSD-10467），11-17 Khartoum Road, Macquarie Park</t>
  </si>
  <si>
    <t>未查（Portal 未顯示申請人）</t>
  </si>
  <si>
    <t>11-17 Khartoum Road, Macquarie Park NSW 2113</t>
  </si>
  <si>
    <t>五層資料儲存建築，2021-05-28 核准，已有 Management Plans／Notifications 等核准後文件（疑為已建成之既有設施）；開發類型『Warehouse or distribution centres』，不在 Data Storage 篩選清單。操作者與剩餘容量未評估，供 先前 交叉核對。</t>
  </si>
  <si>
    <t>https://www.planningportal.nsw.gov.au/major-projects/projects/macquarie-park-data-centre</t>
  </si>
  <si>
    <t>EX-033</t>
  </si>
  <si>
    <t>AWS Craigieburn 資料中心（DFP 許可 PA2403014）</t>
  </si>
  <si>
    <t>Amazon Web Services（依下列證據推定）</t>
  </si>
  <si>
    <t>80 Kinloch Court, Craigieburn VIC 3064</t>
  </si>
  <si>
    <t>DTP 官員報告（PA2403416 第 44 段，已讀）寫明與『先前由同一申請人經 DTP 核准的兩件資料中心（Ref PA2403014 與 PA2403016）』一致，所以 PA2403014、PA2403016、PA2403416 三案同一申請人；PA2403016 的 54-80 Ferris Road 經 DCD 2024-02-14 確認為 AWS 購地。ABC 2025-08-26 報導 Amazon 2024 年取得 Craigieburn 約 A$250m 資料中心的部長核准，與 PA2403014（2024-09-17 核發）吻合。基地約 14.2 ha、兩棟兩層倉庫式建物、共用 8,000 m² 變電站。→ 自建封閉型。Baxtel／DCPulse／DCM wiki／ 把此址標為 Goodman 200 MW（來源皆為聚合器），判斷為誤歸屬。</t>
  </si>
  <si>
    <t>https://www.planning.vic.gov.au/planning-approvals/ministerial-permits-register/ministerial-permits/2b5ec06b-0b35-ef11-8e4e-002248969b00
https://sftpbspomppprod01.blob.core.windows.net/applicationfiles/2b5ec06b-0b35-ef11-8e4e-002248969b00_PA2403014%20-%2080%20Kinloch%20Court,%20Craigieburn%20-%20Delegate%20Report%20-%20REDACTED.pdf
https://sftpbspomppprod01.blob.core.windows.net/applicationfiles/c8329f5d-6db7-ef11-b8e9-002248967430_DTP%20Planning%20Assessment-Officer%20Report%20-%20171%20Leakes%20Road,%20Truganina.pdf%20%20-%20REDACTED.pdf
https://www.abc.net.au/news/2025-08-26/hume-council-votes-on-data-centres-energy-water-management-plan/105694556
https://www.datacenterdynamics.com/en/news/amazon-planning-new-data-centers-in-melbourne-and-sydney-australia/
https://baxtel.com/data-center/goodman-craigieburn</t>
  </si>
  <si>
    <t>EX-034</t>
  </si>
  <si>
    <t>AWS Ferris Road（PA2403016）</t>
  </si>
  <si>
    <t>54-80 Ferris Road, Cobblebank VIC</t>
  </si>
  <si>
    <t>先前資料列 PA2403016 申請人未知；DCM wiki 歸為 AWS（DFP 許可）。自建自用，排除。；DCD 2024-02-14：AWS 2023-07 以 A$60.5m 購入 13.2 ha，計畫 A$50m 資料中心；DCD 2026-06-19：AWS 與 Greater Western Water 簽回收水協議。許可 2024-10-03 核發（Melton Planning Scheme）。；對應 先前 登記冊 PA2403016（54-80 Ferris Road, Cobblebank，許可 2024-10-03，申請人未知）；DatacenterMap 將該地址列為 Amazon AWS。若屬實為自建，不可租賃。聚合站單一來源，僅供 先前 對照。</t>
  </si>
  <si>
    <t>https://datacentremoratorium.net/index.php/Resources:Data_Centres_in_Greater_Melbourne
https://www.planning.vic.gov.au/planning-approvals/ministerial-permits-register/ministerial-permits/30631852-0f35-ef11-8e4e-000d3a6ab40c
https://sftpbspomppprod01.blob.core.windows.net/applicationfiles/30631852-0f35-ef11-8e4e-000d3a6ab40c_PA2403016%20-%2054-80%20Ferris%20Road%20Cobblebank-Planning%20Permit.pdf
https://www.datacenterdynamics.com/en/news/amazon-planning-new-data-centers-in-melbourne-and-sydney-australia/
https://www.datacenterdynamics.com/en/news/aws-inks-recycled-water-supply-agreement-with-greater-western-water-for-planned-data-center-in-melbourne-australia/
https://baxtel.com/data-center/amazon-ferris-road
https://www.datacentermap.com/australia/melbourne/amazon-aws-54-80-ferris-rd/</t>
  </si>
  <si>
    <t>EX-035</t>
  </si>
  <si>
    <t>AWS Truganina 2</t>
  </si>
  <si>
    <t>16-22 Delivery Drive, Truganina VIC</t>
  </si>
  <si>
    <t>AWS 自建，已營運（DCM wiki 索引）。；DCM wiki：2023 年建成，AWS 自用。</t>
  </si>
  <si>
    <t>https://datacentremoratorium.net/index.php/Resources:Data_Centres_in_Greater_Melbourne
https://datacentremoratorium.net/index.php/Resources:AWS_Truganina_2</t>
  </si>
  <si>
    <t>EX-036</t>
  </si>
  <si>
    <t>AWS Truganina（PA2403416）</t>
  </si>
  <si>
    <t>Amazon Web Services（開發商 Kapitol）</t>
  </si>
  <si>
    <t>171 Leakes Road, Truganina VIC</t>
  </si>
  <si>
    <t>先前資料列 PA2403416 申請人未知；DCM wiki 歸為 AWS，施工中。自建自用，排除。；DTP 官員報告：兩棟（Building A／B）各有發電機場，基地 12.15 ha、變電站、員工約 60 人；2025-04-04 核發，2025-08-08 修訂。與 PA2403014／PA2403016 同一申請人（見第一筆）。DCM wiki 稱 AWS＋Kapitol 施工中（未獨立驗證）。</t>
  </si>
  <si>
    <t>https://datacentremoratorium.net/index.php/Resources:Data_Centres_in_Greater_Melbourne
https://www.planning.vic.gov.au/planning-approvals/ministerial-permits-register/ministerial-permits/c8329f5d-6db7-ef11-b8e9-002248967430
https://sftpbspomppprod01.blob.core.windows.net/applicationfiles/c8329f5d-6db7-ef11-b8e9-002248967430_DTP%20Planning%20Assessment-Officer%20Report%20-%20171%20Leakes%20Road,%20Truganina.pdf%20%20-%20REDACTED.pdf
https://datacentremoratorium.net/index.php/Resources:AWS_Truganina</t>
  </si>
  <si>
    <t>EX-037</t>
  </si>
  <si>
    <t>Microsoft MEL04</t>
  </si>
  <si>
    <t>Microsoft（開發商 Kapitol）</t>
  </si>
  <si>
    <t>20-28 Cawley Road, Maribyrnong VIC</t>
  </si>
  <si>
    <t>Microsoft 自建自用，已營運；資料來自 DCM wiki 索引（聚合器）。</t>
  </si>
  <si>
    <t>https://datacentremoratorium.net/index.php/Resources:Data_Centres_in_Greater_Melbourne</t>
  </si>
  <si>
    <t>EX-038</t>
  </si>
  <si>
    <t>Microsoft MEL04／MEL05／MEL07／MEL11（Yarraville、Brooklyn、Tullamarine、Truganina）</t>
  </si>
  <si>
    <t>Microsoft（承建 Kapitol）</t>
  </si>
  <si>
    <t>20-28 Cawley Road, Yarraville；385-397 Francis Street, Brooklyn；70-90 Garden Drive, Tullamarine；283 Woods Road, Truganina</t>
  </si>
  <si>
    <t>Microsoft 自建自用（DCM wiki 列表；MEL11 標施工中）。未獨立驗證各址。</t>
  </si>
  <si>
    <t>https://datacentremoratorium.net/index.php/Resources:Microsoft_MEL04
https://datacentremoratorium.net/index.php/Resources:Microsoft_MEL11</t>
  </si>
  <si>
    <t>EX-039</t>
  </si>
  <si>
    <t>Microsoft MEL05</t>
  </si>
  <si>
    <t>Microsoft</t>
  </si>
  <si>
    <t>385-397 Francis Street, Brooklyn VIC</t>
  </si>
  <si>
    <t>Microsoft 自建，已營運；DCM wiki 索引。</t>
  </si>
  <si>
    <t>EX-040</t>
  </si>
  <si>
    <t>Microsoft MEL07</t>
  </si>
  <si>
    <t>70-90 Garden Drive, Tullamarine VIC</t>
  </si>
  <si>
    <t>Microsoft 自建，DCM wiki 標為擴建中。</t>
  </si>
  <si>
    <t>EX-041</t>
  </si>
  <si>
    <t>Microsoft MEL11</t>
  </si>
  <si>
    <t>283 Woods Road, Truganina VIC</t>
  </si>
  <si>
    <t>Microsoft 自建，DCM wiki 標為施工中；無第三方出租證據。</t>
  </si>
  <si>
    <t>EX-042</t>
  </si>
  <si>
    <t>Bendigo Telco Data Centre</t>
  </si>
  <si>
    <t>Bendigo Telco</t>
  </si>
  <si>
    <t>5 Innovation Court, Kennington VIC 3550</t>
  </si>
  <si>
    <t>既有小型電信機房，DatacenterMap 列出（頁面當時回 429，僅由城鎮頁取得地址），無 ≥5MW 證據。</t>
  </si>
  <si>
    <t>https://www.datacentermap.com/australia/bendigo/</t>
  </si>
  <si>
    <t>EX-043</t>
  </si>
  <si>
    <t>Edge Centres EC3 Bendigo</t>
  </si>
  <si>
    <t>Edge Centres</t>
  </si>
  <si>
    <t>Golden Square, Bendigo VIC（前 Wayne Wilson Autos 車行用地，街號未找到）</t>
  </si>
  <si>
    <t>ARN 與 Bendigo Advertiser 報導（約 2021，資料已舊，僅看到搜尋摘要，未開啟全文）：DA 提交，約不到 1MW 太陽能供電的邊緣機房。遠低於 5MW。</t>
  </si>
  <si>
    <t>https://www.arnnet.com.au/article/691219/edge-centres-establish-first-victorian-facility/
https://www.bendigoadvertiser.com.au/story/7523053/company-reveals-high-tech-hopes-for-old-golden-square-car-yard/</t>
  </si>
  <si>
    <t>EX-044</t>
  </si>
  <si>
    <t>Edge Centres EC8 Traralgon</t>
  </si>
  <si>
    <t>105 Princes Street, Traralgon VIC 3844</t>
  </si>
  <si>
    <t>邊緣型機房，W.Media 2021-10-12 報導規劃（資料較舊）；MW 未公布，無任何 ≥5MW 證據。OSM 門牌命中 (-38.1995554, 146.5347755)。</t>
  </si>
  <si>
    <t>https://w.media/australias-edge-centres-to-develop-second-data-centre-in-victoria/
https://www.datacentermap.com/australia/melbourne/edge-centres-ec8-traralgon/</t>
  </si>
  <si>
    <t>EX-045</t>
  </si>
  <si>
    <t>Eureka DC Ballarat 與 Eureka DC Alfredton（既有區域主機代管）</t>
  </si>
  <si>
    <t>Eureka DC</t>
  </si>
  <si>
    <t>102 Stawell Street South, Ballarat VIC 3350（另 30 Production Drive, Alfredton VIC 3350）</t>
  </si>
  <si>
    <t>既有小型區域主機代管；DatacenterMap 僅列出，沒有 MW 或擴建證據，無 ≥5MW 證據。</t>
  </si>
  <si>
    <t>https://www.datacentermap.com/australia/ballarat/eureka-dc-alfredton/
https://www.datacentermap.com/australia/ballarat/</t>
  </si>
  <si>
    <t>EX-046</t>
  </si>
  <si>
    <t>Lateral Plains Data Centre（Ballarat）</t>
  </si>
  <si>
    <t>Lateral Plains Pty Ltd</t>
  </si>
  <si>
    <t>Barker Building, 120 Albert Street, Ballarat VIC 3350</t>
  </si>
  <si>
    <t>既有市中心小型機房，無 ≥5MW 證據。</t>
  </si>
  <si>
    <t>https://www.datacentermap.com/australia/ballarat/lateral-plains-data-centre/</t>
  </si>
  <si>
    <t>EX-047</t>
  </si>
  <si>
    <t>NEXTDC GE1 Geelong（PA2503895）</t>
  </si>
  <si>
    <t>NEXTDC</t>
  </si>
  <si>
    <t>148-158 O'Briens Road, Corio VIC</t>
  </si>
  <si>
    <t>先前資料列 PA2503895 申請人未知；DCM wiki 歸為 NEXTDC GE1（4.4 MW、A$8,500 萬、施工中）。NEXTDC 官網標示 GE1「In Development」。未達 5 MW。；DTP 官員報告：兩階段，Stage 1 GFA 1,336 m²、Stage 2 3,699 m²；NEXTDC 公布 4.4 MW（2H 2027）。許可 2025-10-24（28 天），PA2503895-1 修訂 2026-09-28 核准；Geelong Times 2026-07-23 確認 O'Briens Road 施工中。；施工中：NEXTDC 邊緣業務主管 2026-04 於 LinkedIn 宣布動工（DCD 2026-04-22），預計 2027 下半年啟用，主打海纜登陸站營運商與關鍵國家網路基礎設施。NEXTDC 官網寫 4MW IT、2,100 平方公尺機房、目標 Tier III（DCD 寫 Tier IV）；DCD 寫 4.4MW。規劃許可：先前 登記冊的 PA2503895（2025-10-24，地址相同，原標示申請人未知）可確認屬 GE1；NEXTDC 稱 28 天取得開發核准。座標 -38.0561285, 144.3727425（OSM）。容量低於 5MW 門檻。</t>
  </si>
  <si>
    <t>https://datacentremoratorium.net/index.php/Resources:Data_Centres_in_Regional_Victoria
https://www.nextdc.com/data-centres/m3-melbourne-data-centre
https://www.planning.vic.gov.au/planning-approvals/ministerial-permits-register/ministerial-permits/ac08c0c4-2a7f-f011-b4cc-00224811ea6c
https://sftpbspomppprod01.blob.core.windows.net/applicationfiles/ac08c0c4-2a7f-f011-b4cc-00224811ea6c_PA2503895%20REDACTED_148-158%20OBRIENS%20ROAD%20CORIO%20-%20Officer%20Report.pdf
https://timesnewsgroup.com.au/geelongtimes/news/pressure-mounts-over-data-centre-planning/
https://nextdc.com/data-centres/geelong-data-centres/ge1-geelong
https://www.datacenterdynamics.com/en/news/nextdc-breaks-ground-on-44mw-edge-data-center-in-geelong-australia/
https://www.datacentermap.com/australia/geelong/nextdc-ge1-geelong/</t>
  </si>
  <si>
    <t>EX-048</t>
  </si>
  <si>
    <t>Centuria Clayton 38 MW 四層取代案（Monash）</t>
  </si>
  <si>
    <t>Centuria</t>
  </si>
  <si>
    <t>Monash 議會於 2026-09-29 否決（官員曾建議核准；理由含電力需求、噪音、熱、近住宅）；Centuria 可上訴 VCAT 或併案送規劃部長。另有 40 MW 第二座仍在規劃中，見 records 。</t>
  </si>
  <si>
    <t>https://www.realestatesource.com.au/centuria-data-centre-expansion-hits-hurdle/</t>
  </si>
  <si>
    <t>EX-049</t>
  </si>
  <si>
    <t>ADC（Australian Data Centres）Melbourne AI 園區</t>
  </si>
  <si>
    <t>Australian Data Centres（ADC）</t>
  </si>
  <si>
    <t>未公開（墨爾本，街址未知）</t>
  </si>
  <si>
    <t>Baxtel（聚合站，內文付費牆）稱 ADC 計畫墨爾本 AI 最佳化園區，計畫 2029、擴建至 2034。找不到地址、申請或其他來源；DCD 只查到 ADC 取得 Canberra 園區的新聞。</t>
  </si>
  <si>
    <t>https://baxtel.com/data-center/adc-melbourne-campus</t>
  </si>
  <si>
    <t>EX-050</t>
  </si>
  <si>
    <t>Beveridge Logistics Precinct</t>
  </si>
  <si>
    <t>C Capital / Lendlease</t>
  </si>
  <si>
    <t>225 Beveridge Road, Beveridge VIC</t>
  </si>
  <si>
    <t>DCM wiki 標為 landbanked，無資料中心申請。</t>
  </si>
  <si>
    <t>EX-051</t>
  </si>
  <si>
    <t>C Capital／Lendlease Beveridge 物流與資料中心園區（Merriang Road）</t>
  </si>
  <si>
    <t>C Capital（Lendlease 為 Master Development Partner）</t>
  </si>
  <si>
    <t>Merriang Road, Beveridge VIC 3753</t>
  </si>
  <si>
    <t>507 ha、終值 A$4.5bn，含物流、工業與資料中心資產，處於重新分區與基礎建設階段，無資料中心申請；LGA 為 Mitchell／Whittlesea 邊界，待核。</t>
  </si>
  <si>
    <t>https://www.realcommercial.com.au/news/45bn-beveridge-industrial-and-data-centre-powerhouse-revealed-lendlease-c-capital</t>
  </si>
  <si>
    <t>EX-052</t>
  </si>
  <si>
    <t>Centuria Thomastown</t>
  </si>
  <si>
    <t>49 Temple Drive, Thomastown VIC; 2 Keon Parade, Keon Park VIC</t>
  </si>
  <si>
    <t>DCM wiki 標為 landbanked，無資料中心申請或核准。</t>
  </si>
  <si>
    <t>EX-053</t>
  </si>
  <si>
    <t>Centuria Thomastown 工業地轉資料中心（電力申請階段）</t>
  </si>
  <si>
    <t>Centuria Industrial REIT</t>
  </si>
  <si>
    <t>49 Temple Drive / 2 Keon Parade, Thomastown VIC 3074</t>
  </si>
  <si>
    <t>10.6 公頃兩棟工業設施，租約至 2027 與 2031。Centuria 已向 VicGrid 與 AusNet 提出電力申請，稱可能取得大量電力，首期最快 2029（DCD 2026-08-13）。尚無資料中心規劃申請，屬 Thomastown 終端站區的電網訊號。</t>
  </si>
  <si>
    <t>https://www.datacenterdynamics.com/en/news/centuria-eyes-250mw-of-data-center-capacity-in-australia/
https://www.datacentermap.com/australia/melbourne/49-temple-drive-2-keon-parade/</t>
  </si>
  <si>
    <t>EX-054</t>
  </si>
  <si>
    <t>Centuria Thomastown／Keon Park 與 Yarraville 轉換候選地</t>
  </si>
  <si>
    <t>49 Temple Drive, Thomastown；1 Hardie Road, Yarraville</t>
  </si>
  <si>
    <t>Centuria 的資料中心轉換候選地（Thomastown 10.6 ha 距變電站不到 100 m），無申請。</t>
  </si>
  <si>
    <t>https://datacentremoratorium.net/index.php/Resources:Centuria_Thomastown
https://datacentremoratorium.net/index.php/Resources:Centuria_Yarraville</t>
  </si>
  <si>
    <t>EX-055</t>
  </si>
  <si>
    <t>Centuria Yarraville</t>
  </si>
  <si>
    <t>1 Hardie Road and 2-8 Cawley Road, Yarraville VIC</t>
  </si>
  <si>
    <t>DCM wiki 標為 landbanked，無資料中心申請或核准；見 Centuria Clayton 紀錄。；2025 年底以 A$3,020 萬購入的倉庫，租約至 2028，Centuria 稱 pathway to power in progress；尚無申請（DCD 2026-08-13）。</t>
  </si>
  <si>
    <t>https://datacentremoratorium.net/index.php/Resources:Data_Centres_in_Greater_Melbourne
https://www.datacenterdynamics.com/en/news/centuria-eyes-250mw-of-data-center-capacity-in-australia/</t>
  </si>
  <si>
    <t>EX-056</t>
  </si>
  <si>
    <t>Digital Realty Deer Park（MEL10／MEL11）</t>
  </si>
  <si>
    <t>98 and 72 Radnor Drive, Deer Park VIC 3023</t>
  </si>
  <si>
    <t>2012 年啟動的 turn-key 小型設施（DCM wiki：MEL11 13.4 MW），無 ≥5 MW 空置容量或擴建的公開證據。</t>
  </si>
  <si>
    <t>https://datacentremoratorium.net/index.php/Resources:Digital_Realty_MEL10
https://www.datacenterknowledge.com/next-gen-data-centers/digital-realty-melbourne-project-to-boost-economy</t>
  </si>
  <si>
    <t>EX-057</t>
  </si>
  <si>
    <t>Digital Realty MEL10 / MEL11（Deer Park）</t>
  </si>
  <si>
    <t>98 Radnor Drive（MEL10）、72 Radnor Drive（MEL11），Deer Park VIC</t>
  </si>
  <si>
    <t>營運中（MEL11 13.4 MW，DCM wiki）；無 ≥5 MW 剩餘容量或擴建證據；MEL12 官網頁 404，未找到。</t>
  </si>
  <si>
    <t>https://datacentremoratorium.net/index.php/Resources:Data_Centres_in_Greater_Melbourne
https://www.digitalrealty.com/data-centers/asia-pacific/melbourne/mel11</t>
  </si>
  <si>
    <t>EX-058</t>
  </si>
  <si>
    <t>Equinix ME1 / ME2 / ME4 / ME5</t>
  </si>
  <si>
    <t>578 Lorimer St, Port Melbourne（ME1/ME2）；2 Davis Court, Derrimut（ME4）；22-36 Walsh St, West Melbourne（ME5）</t>
  </si>
  <si>
    <t>皆為營運中；官網頁（ME2、ME4）與可得資料均未載 ≥5 MW 剩餘容量或擴建；先前 提到的 ME2 phase 3 找不到證據。地址取自 DCM wiki 索引。</t>
  </si>
  <si>
    <t>https://datacentremoratorium.net/index.php/Resources:Data_Centres_in_Greater_Melbourne
https://www.equinix.com.au/data-centers/asia-pacific-colocation/australia-colocation/melbourne-data-centers/me4</t>
  </si>
  <si>
    <t>EX-059</t>
  </si>
  <si>
    <t>Equinix ME1／ME2／ME4／ME5（Port Melbourne、Derrimut、West Melbourne）</t>
  </si>
  <si>
    <t>578 Lorimer Street, Port Melbourne；2 Davis Court, Derrimut；22-36 Walsh Street, West Melbourne</t>
  </si>
  <si>
    <t>營運中。ME2 phase 3（約 1,500 櫃）依 Equinix 2024-06 稿應已於 2024 完工。登記冊另有舊案 PA1600153（552-578 Lorimer Street 『Data Center』，2017-07-12 核發、2020-04-27 修訂）可能為 ME2 用地，未證實。無 ≥5 MW 擴建證據。</t>
  </si>
  <si>
    <t>https://www.planning.vic.gov.au/planning-approvals/ministerial-permits-register/ministerial-permits/77e22ec2-b89b-e811-a867-000d3ad0ed15
https://w.media/equinix-invests-au240-million-in-data-centre-expansion-to-support-ai-adoption-in-australia/</t>
  </si>
  <si>
    <t>EX-060</t>
  </si>
  <si>
    <t>HiQ Eco-Hub（Sunbury / Bulla）</t>
  </si>
  <si>
    <t>HiQ</t>
  </si>
  <si>
    <t>580 Sunbury Road, Bulla VIC</t>
  </si>
  <si>
    <t>1 GW 超大規模園區僅在社區諮詢階段（2026-03 投資人手冊），尚未向 DTP 提出申請；DCM wiki 預期將走 DFP。無正式申請，依規則不列入。；DCM wiki：2026-03 投資人手冊構想，含廢棄物轉能源、BESS 與 1 GW 超大規模園區，仍在社區諮詢，尚未向 DFP 送件。登記冊關鍵字查詢無對應案件。</t>
  </si>
  <si>
    <t>https://datacentremoratorium.net/index.php/Resources:HiQ_Eco-Hub
https://hiq.au/eco-hub/</t>
  </si>
  <si>
    <t>EX-061</t>
  </si>
  <si>
    <t>Keppel Hazelwood North / Morwell 資料中心園區（720MW 潛在）</t>
  </si>
  <si>
    <t>Keppel（Connectivity Division，Keppel Data Centre Fund III 等私募基金）；地主 Lightwood Group</t>
  </si>
  <si>
    <t>Frimins Lane (Latrobe City 頁面拼作 Firimins Lane) &amp; Tramway Road, Hazelwood North VIC 3840</t>
  </si>
  <si>
    <t>2026-01-16 Keppel 與 Lightwood 簽署租賃權：123 公頃工業用地，潛在 720MW gross power，分階段，投資約 A$100 億；與超大規模及 neocloud 洽談中（Keppel Connectivity 執行長 Manjot Singh Mann，經 Latrobe Valley Express 2026-02-03）；非飲用水來自前 Hazelwood 電廠設施，專用輸電連接鄰近終端站。尚未提交規劃申請：Latrobe City 官網『Proposed Developments』頁（2026-09 更新）寫明 no approvals have been lodged、Planning Approval: Not yet applied for，Keppel 計畫 2026 年底做社區諮詢，預期直接向州政府申請（Clause 53.22 / DFP）。依規則不列入 records，DFP 申請一提出即可升級為 planned_filed。Baxtel 估 2028（聚合站）。DatacenterMap 座標 (-38.2724, 146.3916) 約在前電廠，僅供參考。</t>
  </si>
  <si>
    <t>https://www.latrobe.vic.gov.au/Property/Development/Proposed_Developments_in_Our_Region
https://djsir.vic.gov.au/news-and-articles/future-data-centre-campus-poised-to-bring-jobs-and-investment-in-latrobe-valley
https://latrobevalleyexpress.com.au/news/2026/02/03/calls-for-energy-realism-in-light-of-slated-hazelwood-data-centre/
https://www.latrobe.vic.gov.au/news-and-media/10_billion_data_centre_proposed_for_Morwell_0
https://www.datacentermap.com/australia/morwell/keppel-dc-morwell/</t>
  </si>
  <si>
    <t>EX-062</t>
  </si>
  <si>
    <t>Latrobe City 申請 2026/165（Hazelwood Drive 資料中心，申請人未揭露）</t>
  </si>
  <si>
    <t>Hazelwood Drive, Morwell VIC 3840（街號未揭露）</t>
  </si>
  <si>
    <t>Latrobe City Council 規劃登記冊（ePathway，Morwell River Ward）：2026/165，申請日 2026-08-18（PlanningAlerts 記為 2026-08-17 收件），描述 Clause 33.01-1 Use of land for utility installation (data centre)，狀態 FI Request（市府已要求補件）。申請人、規模、MW 均未揭露。Latrobe City 官網稱 Keppel 尚未提交，所以這不是 Keppel 案，但 Hazelwood Drive（OSM 約 -38.2486, 146.4116）與 Keppel 場址同在 Hazelwood 區，需追蹤。無法確認 ≥5MW。</t>
  </si>
  <si>
    <t>https://www.planningalerts.org.au/applications/3540469
https://latrobeprd-pwy-epw01.cloud.infor.com/ePathway/Prod/Web/GeneralEnquiry/EnquiryDetailView.aspx?Id=4319042&amp;EnquiryListId=64</t>
  </si>
  <si>
    <t>EX-063</t>
  </si>
  <si>
    <t>NEXTDC M1 / M2</t>
  </si>
  <si>
    <t>826 Lorimer Street, Port Melbourne（M1）；75 Sharps Road &amp; 9 Barrie Road, Tullamarine（M2）</t>
  </si>
  <si>
    <t>營運中；DCM wiki 標 M2「Expanding」，但無具日期擴建證據；NEXTDC 整體已預售（FY26 前瞻訂單 565.1 MW）。</t>
  </si>
  <si>
    <t>EX-064</t>
  </si>
  <si>
    <t>NEXTDC M5 Lovely Banks（土地儲備）</t>
  </si>
  <si>
    <t>155 Robbs Road; 675 &amp; 775 Evans Road, Lovely Banks VIC</t>
  </si>
  <si>
    <t>僅土地儲備，DCM wiki 稱推測性 1,200 MW，無規劃申請。；2026-06 以約 A$165m 購入原擬住宅用地，僅為土地儲備；Geelong 議會表示關切。無資料中心申請。；2026-06 報導 NEXTDC 以 A$1.65 億購入 169 公頃農地（原 Geelong Rise 住宅開發案），鄰近 Moorabool Terminal Station 與 Victorian Big Battery，與 HyperDC MBL1（715 Ballan Road）依兩處座標計算僅相距約 1.5 公里，兩案同處 Moorabool 變電走廊。僅有土地，未見資料中心規劃申請、MW 或時程，NEXTDC 官網站點清單也未列出。是 Geelong 區最大的 NEXTDC 後續擴張線索，需追蹤其 DFP 申請。座標 -38.0234763, 144.3001727（OSM 門牌命中；DatacenterMap 相同）。</t>
  </si>
  <si>
    <t>https://datacentremoratorium.net/index.php/Resources:Data_Centres_in_Regional_Victoria
https://www.realestatesource.com.au/6b-data-centre-planned-near-geelong/
https://timesnewsgroup.com.au/geelongtimes/news/pressure-mounts-over-data-centre-planning/
https://www.datacenterdynamics.com/en/news/australian-data-center-firm-nextdc-buys-169-hectares-outside-melbourne/
https://baxtel.com/data-center/nextdc-geelong-expansion
https://www.datacentermap.com/australia/melbourne/nextdc-lovely-banks/</t>
  </si>
  <si>
    <t>EX-065</t>
  </si>
  <si>
    <t>PAC1 Leakes Road 資料中心（營運商未識別，AusNet 已動工建設其 220kV 連接）</t>
  </si>
  <si>
    <t>未識別</t>
  </si>
  <si>
    <t>114-146 Leakes Road, Truganina VIC 3029（取自 lead 登記冊 PA2504040）</t>
  </si>
  <si>
    <t>AusNet『Laverton North transmission works』：為 Truganina 一座資料中心新建 220kV 地下輸電電纜（Cherry Lane、Leakes Road、Fitzgerald Road 道路用地）、在資料中心場址新建 220kV 變電站、升級 Altona Terminal Station 220kV 開關場；2026 年中動工，預計 2027 完成（AusNet 官網）。與 先前 登記冊 PA2504040（Altona TS 到 PAC1 Leakes Road，許可 2026-02-17）吻合，推定專案真實且推進中；但營運商、MW、是否對外出租皆未識別，故不列 records，請 先前 設法識別。</t>
  </si>
  <si>
    <t>https://www.ausnetservices.com.au/projects-and-innovation/major-projects/laverton-north-transmission-works
https://www.planning.vic.gov.au/planning-approvals/ministerial-permits-register</t>
  </si>
  <si>
    <t>EX-066</t>
  </si>
  <si>
    <t>STACK MEL01A / MEL01B</t>
  </si>
  <si>
    <t>MEL01A（2023-08）與 MEL01B（2025-11 竣工）各 36 MW 已營運；未見剩餘容量證據。擴建部分見 MEL01C/D 紀錄。</t>
  </si>
  <si>
    <t>https://www.datacenterdynamics.com/en/news/stack-tops-out-swiss-data-center-completes-construction-in-melbourne/</t>
  </si>
  <si>
    <t>EX-067</t>
  </si>
  <si>
    <t>Stockland Truganina 土地（Melbourne Drive）</t>
  </si>
  <si>
    <t>Stockland</t>
  </si>
  <si>
    <t>Melbourne Drive, Truganina VIC 3029</t>
  </si>
  <si>
    <t>DCM wiki 列為土地儲備，無申請。</t>
  </si>
  <si>
    <t>https://datacentremoratorium.net/index.php/Resources:Stockland_Truganina</t>
  </si>
  <si>
    <t>EX-068</t>
  </si>
  <si>
    <t>Stockland Truganina（Melbourne Drive）</t>
  </si>
  <si>
    <t>Stockland / EdgeConneX</t>
  </si>
  <si>
    <t>Melbourne Drive, Truganina VIC</t>
  </si>
  <si>
    <t>DCM wiki 標為 landbanked，無申請。</t>
  </si>
  <si>
    <t>EX-069</t>
  </si>
  <si>
    <t>Syncline『Victorian AI Hub』（Plumpton）</t>
  </si>
  <si>
    <t>Syncline Energy</t>
  </si>
  <si>
    <t>77-347 Holden Road, Plumpton VIC 3335</t>
  </si>
  <si>
    <t>350 ha、擬建 4 棟、2.4 GW，首期 2030 年。SMH／The Age 2026-05-22：政府尚未收到正式申請；Star Weekly 2026-07-14：無正式申請；Guardian 2026-07-26：公司稱至少兩年後才動工。Brimbank 的 Star Weekly 2026-08-21 稱申請『審查中』，與前述矛盾，未見登記冊證據。→ 無正式送件，不列 records。</t>
  </si>
  <si>
    <t>https://www.theguardian.com/australia-news/2026/jul/26/mega-datacentre-planned-for-outer-melbourne-will-be-almost-six-times-the-size-of-chadstone-shopping-centre
https://www.smh.com.au/national/victoria/as-big-as-175-mcg-fields-the-mega-data-centre-coming-to-melbourne-s-west-20260522-p5zzv7.html
https://meltonmoorabool.starweekly.com.au/news/plumpton-questions-raised/
https://brimbanknorthwest.starweekly.com.au/news/west-is-not-a-dumping-ground-council-demands-pause-on-ai-data-hubs/</t>
  </si>
  <si>
    <t>EX-070</t>
  </si>
  <si>
    <t>Vantage MEL-C 園區（Truganina）</t>
  </si>
  <si>
    <t>Truganina VIC 3029（街址未知）</t>
  </si>
  <si>
    <t>只有 Baxtel 聚合器稱『Vantage is constructing the MEL-C Campus』（29 英畝）；Vantage 官網 APAC 只列 Melbourne MEL1；無任何政府或官方文件，街址未知。</t>
  </si>
  <si>
    <t>https://baxtel.com/data-center/vantage-melbourne-mel-c
https://vantage-dc.com/data-centers/melbourne/</t>
  </si>
  <si>
    <t>EX-071</t>
  </si>
  <si>
    <t>Vantage MEL-C（Leakes Rd）</t>
  </si>
  <si>
    <t>Leakes Road, 墨爾本西部（街號未知）</t>
  </si>
  <si>
    <t>只有 Baxtel 標示施工中/2027 年、2 層；Vantage 官網 APAC 地點只列 Melbourne（MEL1），政府文件未見。僅有聚合器證據、街號未知，故未列入 records，待查證後可升級。</t>
  </si>
  <si>
    <t>https://baxtel.com/data-center/vantage-melbourne-mel-c
https://vantage-dc.com/?s=melbourne</t>
  </si>
  <si>
    <t>EX-072</t>
  </si>
  <si>
    <t>Vantage 第二座墨爾本園區與 MEL-C（Truganina）</t>
  </si>
  <si>
    <t>Truganina VIC 3029（街址未公布）</t>
  </si>
  <si>
    <t>Baxtel 匿名條目：Vantage 計畫第二座墨爾本園區（約 29 英畝，計畫 2028）與 MEL-C（Truganina，兩層，計畫 2029）。無地址、無申請或動工證據（聚合站線索）。Vantage MEL1 Tullamarine（45 Tullamarine Park Rd，48MW critical IT/64MW）為既有園區，不在我方範圍。</t>
  </si>
  <si>
    <t>https://baxtel.com/data-center/aliwkv
https://baxtel.com/data-center/1pigpp
https://www.datacentermap.com/australia/melbourne/vantage-mel1-melbourne/</t>
  </si>
  <si>
    <t>EX-073</t>
  </si>
  <si>
    <t>Victorian AI Centre（Syncline Energy，Plumpton）</t>
  </si>
  <si>
    <t>Syncline Energy（營運/租賃模式未知）</t>
  </si>
  <si>
    <t>Holden Road, Plumpton VIC 3335（街號未知）</t>
  </si>
  <si>
    <t>DatacenterMap（聚合站，唯一來源）稱 350 公頃場址、140 公頃建四棟資料中心、最大 2.4GW，處於規劃與環境審批階段、至少兩年內不會動工，社區諮詢進行中。未找到申請文件、登記冊記錄或官網，故不列 records。DatacenterMap 座標 (-37.6668, 144.7122)。</t>
  </si>
  <si>
    <t>https://www.datacentermap.com/australia/melbourne/victorian-ai-centre/</t>
  </si>
  <si>
    <t>EX-074</t>
  </si>
  <si>
    <t>X2M Connect / Resi Ventures Miners Rest 資料中心與能源園區</t>
  </si>
  <si>
    <t>X2M Connect（ASX: X2M，負責電力、冷卻、連網管理）與 Resi Ventures（土地方）</t>
  </si>
  <si>
    <t>13-91 Victoria Street, Miners Rest VIC 3352（DatacenterMap 地址；Miners Rest Renewable Energy Integration Precinct，距 Ballarat 市中心約 10 公里）</t>
  </si>
  <si>
    <t>2026-07 土地交割完成；規劃 10-100MW 高密度 AI 資料中心，加 10MW+ 電池、重型電動車充電、厭氧消化與溫室園藝；X2M 與 DCD 均稱仍須規劃與監管核准，未見申請。X2M 另於 2026-08 成立資料中心子公司 X2MDC，簽署 A$2.5 億以上 GPU 資料中心交付協議，客戶與地點未公開，總管線最高 150MW。屬早期線索。</t>
  </si>
  <si>
    <t>https://www.datacenterdynamics.com/en/news/aussie-iot-firm-x2m-partners-with-real-estate-firm-for-data-center-development-in-victoria/
https://www.datacenterdynamics.com/en/news/x2m-sets-up-dedicated-data-center-subsidiary-and-signs-a-deal-for-data-center-project/
https://www.datacentermap.com/australia/ballarat/x2m-connect-data-centre/</t>
  </si>
  <si>
    <t>EX-075</t>
  </si>
  <si>
    <t>X2M／Resi Ventures Miners Rest 資料中心與再生能源園區（Ballarat）</t>
  </si>
  <si>
    <t>X2M Connect／Resi Ventures</t>
  </si>
  <si>
    <t>13-91 Victoria Street, Miners Rest VIC 3352</t>
  </si>
  <si>
    <t>City of Ballarat 2026-07-15 聲明：未收到任何規劃申請，僅有早期溝通，可能直接送規劃部長。規模 10–100 MW（wiki）。</t>
  </si>
  <si>
    <t>https://www.ballarat.vic.gov.au/news/statement-regarding-miners-rest-data-centre-proposal</t>
  </si>
  <si>
    <t>EX-076</t>
  </si>
  <si>
    <t>5G Networks Brisbane</t>
  </si>
  <si>
    <t>5G Networks (5GN)</t>
  </si>
  <si>
    <t>Brisbane QLD（街道未取得）</t>
  </si>
  <si>
    <t>Baxtel Brisbane 市場表列 4.5 MW（營運中，聚合器），低於 5 MW，無擴建證據。</t>
  </si>
  <si>
    <t>https://baxtel.com/data-center/brisbane</t>
  </si>
  <si>
    <t>EX-077</t>
  </si>
  <si>
    <t>DigiCo BNE1 / BNE2（Brisbane Airport）</t>
  </si>
  <si>
    <t>DigiCo Infrastructure REIT（HMC Capital）</t>
  </si>
  <si>
    <t>2-4 Cycas Lane, Brisbane Airport QLD 4008</t>
  </si>
  <si>
    <t>Brisbane Airport Corporation 頁面（已開啟）：2-4 Cycas Lane，2020-09 完工的 Tier IV 設施，客戶為 iseek（現屬 DigiCo）。DatacenterMap 搜尋摘要（未開啟）：BNE1 已安裝 1.8 MW、BNE2 1.7 MW，BNE1 土地向 BAC 租賃至 2049。DigiCo 1H FY26 公告（2026-02-20）：新簽約 22 MW 中含 QLD 2 MW；FY26 簡報（2026-08-21）資產表僅列 BNE、BNE1、BNE2，沒有新增的 Brisbane 在建專案。皆小於 5 MW。</t>
  </si>
  <si>
    <t>https://www.bne.com.au/property/our-airport-city/property-portfolio/iseek-data-centre
https://baxtel.com/data-center/digico-bne2
https://announcements.asx.com.au/asxpdf/20260220/pdf/06wj5yyhn754y6.pdf
https://investorpa.com/announcement-pdf/20260821/330767.pdf</t>
  </si>
  <si>
    <t>EX-078</t>
  </si>
  <si>
    <t>Edge Centres（EC11 Brisbane、EC20 Gold Coast、Sippy Downs 等）</t>
  </si>
  <si>
    <t>多個小型站點（Brisbane、Gold Coast、Sippy Downs、Toowoomba；地址未逐一取得）</t>
  </si>
  <si>
    <t>Baxtel 昆士蘭頁：Edge Centres 6 個站點合計 5.2 MW，單站遠小於 5 MW。</t>
  </si>
  <si>
    <t>https://baxtel.com/data-center/queensland
https://w.media/edge-centres-acquires-queensland-based-dc-matrix/</t>
  </si>
  <si>
    <t>EX-079</t>
  </si>
  <si>
    <t>Fujitsu Eight Mile Plains Data Centre</t>
  </si>
  <si>
    <t>Fujitsu Australia（2026-07-20 簽約出售給 Next Capital，預計 2026 年內交割，尚未交割）</t>
  </si>
  <si>
    <t>7 Brandl Street, Eight Mile Plains QLD 4113</t>
  </si>
  <si>
    <t>地址已確認：Baxtel 頁面（已開啟）與 Fujitsu 資料表（搜尋摘要，PDF 本身被轉址未開啟）皆為 7 Brandl St；inflect 網址顯示位於 Brisbane Technology Park（未開啟）。Fujitsu 資料表（搜尋摘要）：2006 年啟用、810 m2、兩個資料大廳、約 2 MW，距 Brisbane CBD 17 km。Next Capital 只說各站將逐一評估擴建（W.Media 2026-07-20），本站沒有公開擴建計畫，也查無送件。知悉事實『Eight Mile Plains 2 MW』屬實。</t>
  </si>
  <si>
    <t>https://baxtel.com/data-center/fujitsu-eight-mile-plains
https://w.media/next-capital-agrees-to-acquire-fujitsus-australian-data-centre-business/
https://nextcapital.com.au/next-capital-buys-fujitsu-australian-data-centres/
https://www.fujitsu.com/au/imagesgig5/EightMilePlains_DC.pdf</t>
  </si>
  <si>
    <t>EX-080</t>
  </si>
  <si>
    <t>NEXTDC B1 Brisbane</t>
  </si>
  <si>
    <t>20 Wharf Street, Brisbane City QLD 4000</t>
  </si>
  <si>
    <t>營運中的 Tier III 設施，2.25 MW（NEXTDC 官網）。NEXTDC 官網與 Wikipedia 皆無 B3，FY25、1H26、FY26 簡報的發展項目頁也沒有 B3，查無 NEXTDC B3 Brisbane。</t>
  </si>
  <si>
    <t>https://www.nextdc.com/data-centres/brisbane-data-centres
https://en.wikipedia.org/wiki/NEXTDC</t>
  </si>
  <si>
    <t>EX-081</t>
  </si>
  <si>
    <t>NEXTDC B2 Brisbane Stage 2</t>
  </si>
  <si>
    <t>454 St Pauls Terrace, Fortitude Valley QLD 4006</t>
  </si>
  <si>
    <t>NEXTDC FY26 簡報（2026-08-27）：B2 僅 2 MW 在建；NEXTDC 簽約量遠超已建成容量。</t>
  </si>
  <si>
    <t>https://www.nextdc.com/hubfs/Financial%20Reports/FY26/NEXTDC%20FY26%20Results%20Presentation.pdf</t>
  </si>
  <si>
    <t>EX-082</t>
  </si>
  <si>
    <t>NEXTDC SC2 Sunshine Coast</t>
  </si>
  <si>
    <t>Maroochydore QLD 4558（緊鄰 SC1 與 Sunshine Coast 海纜登陸站；NEXTDC 未公開街道門牌）</t>
  </si>
  <si>
    <t>NEXTDC FY26 簡報（2026-08-27）：SC2 規劃總功率約 6 MW、初期約 1 MW，註明 '1MW in progress for new contracted submarine cable'，practical completion 1H FY28（1H26 簡報為 2H FY27，已延後）。官網列 In Development、6 MW（projected）。性質為海纜登陸站的邊緣機房（Tabua 海纜／Australia Connect，W.Media 2025-04-23），在建的 1 MW 已簽給海纜客戶，不是可出租的 5 MW 以上容量。知悉事實『SC2 6 MW』只是規劃總量。</t>
  </si>
  <si>
    <t>https://www.nextdc.com/data-centres/brisbane-data-centres
https://www.nextdc.com/hubfs/Financial%20Reports/FY26/NEXTDC%20FY26%20Results%20Presentation.pdf
https://www.nextdc.com/hubfs/ASX%20Announcements/1H26%20Results%20Presentation.pdf
https://w.media/nextdc-to-start-developing-sc2-at-maroochydore-sunshine-coast/</t>
  </si>
  <si>
    <t>EX-083</t>
  </si>
  <si>
    <t>Pulse Data Centre Wellcamp（Centuria Industrial REIT 持有）</t>
  </si>
  <si>
    <t>Pulse Data Centre（營運）；Centuria Industrial REIT（2026 年起持有）</t>
  </si>
  <si>
    <t>Wellcamp, Toowoomba QLD 4350（街道門牌未取得）</t>
  </si>
  <si>
    <t>W.Media（Centuria HY26，2026-02-12 公告）：Centuria 以 A$30m 收購 Wellcamp 資料中心，既有容量最多 2.5 MW，15 年租約，含站內變電站與周邊土地的擴建選擇權（optionality）。Baxtel：3,565 m2、5.7 公頃、2018 年啟用。Centuria 2026-06-23 宣稱全產業組合有超過 200 MW 潛在電力，但未見 Wellcamp 的擴建申請或核准。Toowoomba Regional Council 2026-08-18 決議草擬禁止資料中心使用飲用水的政策（W.Media 2026-09-08）。位於 Toowoomba，不屬東南昆士蘭。</t>
  </si>
  <si>
    <t>https://w.media/centuria-adds-aud-60-2m-in-dc-assets-lodges-plans-for-40mw-melbourne-site/
https://baxtel.com/data-center/centuria-wellcamp-qld
https://w.media/centuria-raises-aud-300m-for-ai-factories-pursues-200mw-power-pipeline/
https://w.media/queensland-council-moves-to-protect-drinking-water-as-data-centre-enquiries-mount/</t>
  </si>
  <si>
    <t>EX-084</t>
  </si>
  <si>
    <t>Wellcamp Data Centre (Toowoomba) - Centuria Industrial REIT</t>
  </si>
  <si>
    <t>Centuria Industrial REIT／Centuria DC（承租人，15 年 triple net 租約；2026-01 向 Pulse Properties 以 A$30m 購入）</t>
  </si>
  <si>
    <t>Wellcamp Business Park, Wellcamp QLD 4350（Baxtel 稱 Lot 1；街道門牌未能確認）</t>
  </si>
  <si>
    <t>Centuria HY26（W.Media 2026-02-12）：既有容量最高 2.5 MW，含場內變電站與周邊土地的擴建彈性；Centuria 2026-06 簡報把 Toowoomba 列為其 200 MW 以上電力管線中的既有資產，但未見擴建申請。屬觀察項目，目前不符 5 MW 門檻。</t>
  </si>
  <si>
    <t>https://w.media/centuria-adds-aud-60-2m-in-dc-assets-lodges-plans-for-40mw-melbourne-site/
https://w.media/centuria-raises-aud-300m-for-ai-factories-pursues-200mw-power-pipeline/
https://baxtel.com/data-center/centuria-wellcamp-qld</t>
  </si>
  <si>
    <t>EX-085</t>
  </si>
  <si>
    <t>DigiCo Brisbane Airport 綠地案（Baxtel 稱 BNE3，DatacenterMap 稱 BNE3／BNE4）</t>
  </si>
  <si>
    <t>Cycas Lane, Brisbane Airport QLD 4008（Export Park 區；Baxtel 列 4 Cycas La，DatacenterMap 搜尋摘要列 6 Cycas Lane，門牌不一致）</t>
  </si>
  <si>
    <t>聚合器與搜尋摘要稱：緊鄰 BNE2 的 9,786 m2 綠地、Tier IV、19.6 MW IT、預計 2027 年完工，DigiCo 對 BAC 租約有擴充選擇權。但沒有找到任何核准或送件紀錄；DigiCo FY26 簡報（2026-08-21）只說 greenfield 處於 evaluation and planning，未把本案列為在建。完工日 2027 僅出自 Baxtel 與 DatacenterMap（聚合器，不能當完工證據）。簡報註腳 'BNE has been renamed' 所指對象不明，不可據此推定本案已更名或動工。機場用地的核准路徑（BAC／Airports Act）未能查證。</t>
  </si>
  <si>
    <t>https://baxtel.com/data-center/digico-bne3
https://www.datacentermap.com/australia/brisbane/digico-brisbane-bne4/
https://investorpa.com/announcement-pdf/20260821/330767.pdf</t>
  </si>
  <si>
    <t>EX-086</t>
  </si>
  <si>
    <t>EC2 Toowoomba (Edge Centres)</t>
  </si>
  <si>
    <t>157 Hume Street, Toowoomba QLD 4350</t>
  </si>
  <si>
    <t>Baxtel（聚合站，僅供線索）：2022 年建成的營運中邊緣型設施，MW 未公布；未見 5 MW 以上擴建申請或空置容量證據，故不納入。可信度低。</t>
  </si>
  <si>
    <t>https://baxtel.com/data-center/ec2-toowoomba</t>
  </si>
  <si>
    <t>EX-087</t>
  </si>
  <si>
    <t>NEXTDC GC1 Gold Coast</t>
  </si>
  <si>
    <t>Gold Coast QLD（未公開）</t>
  </si>
  <si>
    <t>NEXTDC FY26 簡報：規劃總功率約 6 MW、初期約 1 MW，狀態 Design &amp; Town Planning；官網為 In Planning。查無地址與任何送件紀錄，不符 planned_filed 條件。</t>
  </si>
  <si>
    <t>https://www.nextdc.com/hubfs/Financial%20Reports/FY26/NEXTDC%20FY26%20Results%20Presentation.pdf
https://www.nextdc.com/data-centres/brisbane-data-centres</t>
  </si>
  <si>
    <t>EX-088</t>
  </si>
  <si>
    <t>North Queensland Regional Data Centre (Townsville, 2017 proposal)</t>
  </si>
  <si>
    <t>Townsville City Council 與 James Cook University（2017 年報導）</t>
  </si>
  <si>
    <t>Dalrymple Road, Townsville QLD（地方災害協調中心地下樓層；門牌未載明）</t>
  </si>
  <si>
    <t>Industry Queensland 2017-10-28：Tier 3 受管資料中心，設於地方災害協調中心下方；舊案、規模小、無 MW，非當前管線，不納入。</t>
  </si>
  <si>
    <t>https://www.i-q.net.au/main/backing-for-townsville-data-centre</t>
  </si>
  <si>
    <t>EX-089</t>
  </si>
  <si>
    <t>Polaris Brisbane（Springfield）</t>
  </si>
  <si>
    <t>Polaris Data Centre（Springfield Land Corporation 持有）</t>
  </si>
  <si>
    <t>11 Mary Mackenroth Lane, Springfield QLD 4300（Baxtel 標為 Brisbane；郵遞區號依 Springfield 推定）</t>
  </si>
  <si>
    <t>營運中設施（2008／2009 年啟用，Parkside 商業區），Baxtel 市場表列 7 MW（聚合器，口徑不明）。Baxtel 頁面稱 'Power Growth +0% since 2022'，查無擴建計畫、空置容量證據或送件紀錄，不符 operating_with_spare 的證據門檻。</t>
  </si>
  <si>
    <t>https://baxtel.com/data-center/polaris-brisbane
https://baxtel.com/data-center/brisbane
https://en.wikipedia.org/wiki/Greater_Springfield,_Queensland</t>
  </si>
  <si>
    <t>EX-090</t>
  </si>
  <si>
    <t>Supernode BESS Stage 1-3（非資料中心）</t>
  </si>
  <si>
    <t>Supernode（Quinbrook）</t>
  </si>
  <si>
    <t>電池儲能，不是資料中心：Stage 1-2 約 520 MW／1,858 MWh 運轉，Stage 3 約 250 MW／1,010 MWh 施工中；承租方 Origin Energy 與 Stanwell。列在此處是為了說明各聚合器的 under construction 標示指的是電池，資料機房本身未動工。</t>
  </si>
  <si>
    <t>https://www.quinbrook.com/portfolio-companies/supernode/
https://statements.qld.gov.au/statements/100095</t>
  </si>
  <si>
    <t>EX-091</t>
  </si>
  <si>
    <t>Swanbank 其他資料中心送件（12285/2026/MCU、9000/2026/SPSR）</t>
  </si>
  <si>
    <t>Lot 6 Unnamed Road, Swanbank QLD 4306；99999 Blackheath Road, Swanbank QLD 4306</t>
  </si>
  <si>
    <t>PlanningAlerts（Ipswich City Council 資料鏡像）：12285/2026/MCU 為 Material Change of Use - Warehouse (Data Centre)，2026-08-03 收件；9000/2026/SPSR 為 Superseded Planning Scheme Request（資料中心視為 general industry），約 2026-06-07 收件。無 MW、申請人與規模，且可能就是 的同一案（推測），保留在稽核表供查證。</t>
  </si>
  <si>
    <t>https://www.planningalerts.org.au/applications/3532795
https://www.planningalerts.org.au/applications/3501680</t>
  </si>
  <si>
    <t>EX-092</t>
  </si>
  <si>
    <t>Urbis Bundamba Data Center</t>
  </si>
  <si>
    <t>Urbis（規劃顧問提案人）</t>
  </si>
  <si>
    <t>7001 Hoepner Road, Bundamba QLD 4304</t>
  </si>
  <si>
    <t>Baxtel：2018-10 提出申請，標示 In Doubt、'unclear if the project moved ahead'。無 MW、無近期證據，視為陳舊線索。；Your Neighbourhood 頁面日期 2018-10-11：單層（12.1 公尺）、第 1 階段 GFA 4,838 平方公尺，MW 未載明，屬舊案且規模小，疑為 Baxtel 所列既有 Bundamba Data Center；不是當前管線項目，不納入。</t>
  </si>
  <si>
    <t>https://baxtel.com/data-center/3218
https://yourneighbourhood.com.au/hoepnerroad-bundamba/</t>
  </si>
  <si>
    <t>EX-093</t>
  </si>
  <si>
    <t>Equinix Perth PE3 (phase 2 not evidenced)</t>
  </si>
  <si>
    <t>1/37 Lemnos Street, Shenton Park WA 6008（Equinix 官網；PE2 與 PE3 相鄰，PE1 在 East Perth）</t>
  </si>
  <si>
    <t>PE3 於 2021-12 開幕（DCD 2021-12-09）：第一期約 700 櫃、1,830 m²、投資 A$71.7m；全部建成目標 1,650 櫃、10,600 m²（Baxtel：4.3 kW/櫃）。以 1,650 x 4.3 kW 粗估全站約 7 MW，未建的約 950 櫃約 4 MW（此為本人推算，非官方數字），低於 5 MW。未見第二期動工或核准文件，也未見 Equinix 在 Perth 的新案（PE4）公告。</t>
  </si>
  <si>
    <t>https://www.equinix.com/data-centers/asia-pacific-colocation/australia-colocation/perth-data-centers/pe3
https://www.datacenterdynamics.com/en/news/equinix-launches-pe3-data-center-in-perth-australia/
https://itbrief.com.au/story/equinix-extends-digital-edge-with-new-data-centre-in-perth
https://baxtel.com/data-center/equinix-perth-pe3</t>
  </si>
  <si>
    <t>EX-094</t>
  </si>
  <si>
    <t>NEXTDC P1 Perth Stage 2 (Malaga expansion)</t>
  </si>
  <si>
    <t>4 Millrose Drive, Malaga WA 6090（DAP 核准範圍：Lot 101 No.10 Malaga Drive，及 Lot 327 No.10、Lot 328 No.12 Millrose Drive）</t>
  </si>
  <si>
    <t>(1) 政府：Outer Metro DAP 於 2024-05-08 核准五層樓擴建，開發價值 A$56.4m（Echo Newspaper 2024-05-16）。(2) 施工：Multiplex 於 2025-11-18/19 宣布 Stage 2 封頂，A$110m、五層、實質完工 2026 Q3；稱 Stage 2 doubles capacity，另有兩個資料機房留待未來（ChannelLife、BuildAustralia）。(3) NEXTDC FY26 業績簡報（ASX 2026-08-27）第 18、31 頁：P1 Perth Building expansion works continue with 2MW under construction；已建 5.5 MW + 在建 2 MW；全站規劃約 10MW+；狀態 Operational。1H26（ASX 2026-02-25）同為 2 MW，半年無新增交付。(4) 在建增量只有 2 MW，未達 5 MW，故列入 excluded；但全站規劃 10MW+，若 先前 採整站 &gt;=5 MW 的口徑，可改列 records（under_construction，confidence high）。(5) NEXTDC 官網及 FY26 簡報只有 P1 與 P2，沒有 P3 Perth。(6) NEXTDC 全國合約使用量 740 MW 相當已建 288 MW 的 257%；Rest of Aus. 已建 24 MW、已簽約 14 MW（60%，FY26 簡報第 18 頁），可租空間極有限。(7) 金額衝突：DAP 開發價值 A$56.4m 與 Multiplex 合約 A$110m 口徑不同。</t>
  </si>
  <si>
    <t>https://announcements.asx.com.au/asxpdf/20260827/pdf/073c08w3kby6d5.pdf
https://announcements.asx.com.au/asxpdf/20260827/pdf/073c04gt4ts40y.pdf
https://www.nextdc.com/news/asx-release-1h26-record-results
https://www.nextdc.com/data-centres
https://www.buildaustralia.com.au/projects/multiplex-tops-out-sage-2-of-nextdcs-new-110m-perth-data-centre/
https://channellife.com.au/story/multiplex-tops-out-stage-two-of-perth-data-centre-with-aud-110m-boost
https://echonewspaper.com.au/news/malaga-data-centre-approved/</t>
  </si>
  <si>
    <t>EX-095</t>
  </si>
  <si>
    <t>NEXTDC P1 Perth Stage 2（Malaga 擴建）</t>
  </si>
  <si>
    <t>Lot 101 (No. 10) Malaga Drive and Lots 327 (No. 10) and 328 (No. 12) Millrose Drive, Malaga WA 6090（NEXTDC 官網列 P1 為 4 Millrose Drive）</t>
  </si>
  <si>
    <t>DAP/24/02641（申請人 Urbis，業主 NEXTDC Limited 與 The Trust Company (Australia) Ltd，City of Swan DA-15/2024，價值 A$56.38m）由 Metro Outer DAP 於 2024-05-08 以 4 比 1 通過（MODAP No. 11；agenda、RAR、minutes 已讀）：新建五層樓，1–3 樓為 data hall、4 樓冷卻與泵、5 樓發電機，三地塊合計 10,858 sqm。NEXTDC FY26 業績簡報（ASX 2026-08-27，WA-B 讀取共享副本）：P1 Perth Building expansion works continue with 2MW under construction；P1 已建 5.5 MW、另 2 MW 在建、全站規劃約 10MW+。工程已啟動（核准條件未另訂有效期，預設 2 年，但已動工），在建增量僅 2 MW，低於 5 MW，故不列 records。若 先前 以整站規劃 10MW+ 為準可改列。WA-A 引 Multiplex 2025-11 封頂新聞（A$110m），WA-B 未開啟。</t>
  </si>
  <si>
    <t>https://www.planning.wa.gov.au/docs/default-source/daps/20240508---minutes---no-11---city-of-cockburn---city-of-wanneroo---city-of-swan.pdf?sfvrsn=b5437042_1
https://www.planning.wa.gov.au/docs/default-source/daps/20240508---agenda---no-11---city-of-cockburn---city-of-wanneroo---city-of-swan.pdf?sfvrsn=bc192323_2
https://announcements.asx.com.au/asxpdf/20260827/pdf/073c08w3kby6d5.pdf
https://echonewspaper.com.au/news/malaga-data-centre-approved/
https://www.nextdc.com/data-centres/p1-perth-data-centre</t>
  </si>
  <si>
    <t>EX-096</t>
  </si>
  <si>
    <t>NEXTDC P2 Perth (AI capacity in progress)</t>
  </si>
  <si>
    <t>11 Newcastle Street, Perth WA 6000（Baxtel；NEXTDC/Multiplex 稱位於 East Perth）</t>
  </si>
  <si>
    <t>NEXTDC FY26 簡報（ASX 2026-08-27）第 18、31 頁：P2 Perth 已建 6 MW，Additional 4MW in progress to support AI deployment，全站規劃約 20MW+，Tier IV，營運中。在建 4 MW 低於 5 MW，也沒有證據顯示有 &gt;=5 MW 的未租空間；1H26 簡報（2026-02-25）已列同樣 4 MW，半年無新增交付。</t>
  </si>
  <si>
    <t>https://announcements.asx.com.au/asxpdf/20260827/pdf/073c08w3kby6d5.pdf
https://www.nextdc.com/data-centres/p2-perth-data-centre
https://baxtel.com/data-center/nextdc-p2-perth</t>
  </si>
  <si>
    <t>EX-097</t>
  </si>
  <si>
    <t>NEXTDC P2 Perth（AI 容量增建）</t>
  </si>
  <si>
    <t>11 Newcastle Street, Perth WA 6000</t>
  </si>
  <si>
    <t>NEXTDC FY26 業績簡報（ASX 2026-08-27，已讀）：P2 Perth 6 MW built、Additional 4MW in progress to support AI deployment，全站規劃約 20MW+，營運中。官網稱 20MW+、Tier IV、12,000 sqm 技術空間；2024-03 規格書曾列 P2 目標 IT 23.5 MW、P1 13 MW，與 FY26 簡報的規劃值不同（口徑變動）。在建增量 4 MW 低於 5 MW，也無證據顯示有 &gt;= 5 MW 未租容量。DAP 2022-10 至 2026-10 無 P2 擴建案。</t>
  </si>
  <si>
    <t>https://announcements.asx.com.au/asxpdf/20260827/pdf/073c08w3kby6d5.pdf
https://www.nextdc.com/hubfs/NXT_Tech_Specs_Perth_Region_240323.pdf
https://www.nextdc.com/data-centres/perth-data-centres/p2-perth</t>
  </si>
  <si>
    <t>EX-098</t>
  </si>
  <si>
    <t>NEXTDC PH1 Port Hedland（邊緣資料中心）</t>
  </si>
  <si>
    <t>17 Loreto Circuit, Port Hedland WA 6721</t>
  </si>
  <si>
    <t>NEXTDC 2023-08-15 新聞稿：Pilbara 首座 Tier III 邊緣資料中心，與 BHP、Vocus、Microsoft 合作，計畫總容量 1.5 MW。地址取自 NEXTDC Perth 區技術規格書（2024-03）。這是任務提到的 Port Hedland（NEXTDC）案。DAP Regional 2022-10 至 2026-10 無 Port Hedland 資料中心案。</t>
  </si>
  <si>
    <t>https://www.nextdc.com/news/nextdc-to-partner-with-bhp-vocus-and-microsoft-with-launch-of-first-pilbara-data-centre
https://www.nextdc.com/hubfs/NXT_Tech_Specs_Perth_Region_240323.pdf</t>
  </si>
  <si>
    <t>EX-099</t>
  </si>
  <si>
    <t>Pier DC (DC Alliance) Canning Vale expansion</t>
  </si>
  <si>
    <t>Pier DC（DC Alliance 旗下；新加坡 AsiaPhos 擬收購 51%）</t>
  </si>
  <si>
    <t>1 Martin Place, Canning Vale WA 6155（Baxtel；W.Media 稱 Canning Vale 工業區）</t>
  </si>
  <si>
    <t>W.Media、DCD（2026-06-09）：現有 2 MW 供電、約 700 kW IT 負載，計畫擴至 8 MW；AsiaPhos 擬以約 SGD 7m 取得 DC Alliance 51%，尚在盡職調查，未簽最終協議。無任何規劃或擴建申請證據。Tier III、WA GovNext-ICT 成員。與 先前 已知清單 Pier DC 8 MW 相符，但 8 MW 僅為計畫目標。</t>
  </si>
  <si>
    <t>https://w.media/asiaphos-to-acquire-perth-data-centre-in-pivot-to-digital-infrastructure/
https://www.datacenterdynamics.com/en/news/singaporean-former-phosphate-mining-company-asiaphos-proposes-acquisition-of-data-center-in-perth-australia/
https://baxtel.com/data-center/pier-dc</t>
  </si>
  <si>
    <t>EX-100</t>
  </si>
  <si>
    <t>Vocus Bentley data centre (5 Watts Place)</t>
  </si>
  <si>
    <t>Vocus（租戶）；業主於 2026-07 出售</t>
  </si>
  <si>
    <t>5 Watts Place, Bentley Technology Park, Bentley WA 6102</t>
  </si>
  <si>
    <t>DCD 2026-07-13：CBRE 以 A$13.13m 場外出售，1 MW、二層、1,965 m²，全數租給 Vocus 與 Curtin University。Vocus 在 WA 另有至少 6 個小型市區機房（1 William St、45 St Georges Tce、7 Murchison Tce、118 Bennett St、4 McGrath Rd Munster、43 King Edward Rd Osborne Park），均未逐一查證容量。Bentley Technology Park 的 12 層樓分區放寬（Urban Developer 2026-07-16）是規劃方案，不是資料中心專案。</t>
  </si>
  <si>
    <t>https://www.datacenterdynamics.com/en/news/vocus-occupied-data-center-outside-perth-australia-sold/
https://www.theurbandeveloper.com/articles/bentley-tech-park-12-storey-data-centre-expansion-plans-curtin-technology-wa</t>
  </si>
  <si>
    <t>EX-101</t>
  </si>
  <si>
    <t>GreenSquareDC Hazelmere 120 MW（已撤回）</t>
  </si>
  <si>
    <t>GreenSquareDC</t>
  </si>
  <si>
    <t>Hazelmere WA 6055，Stirling Crescent 北側、Helena River 南側、Helena River Steiner School 東側（無門牌）</t>
  </si>
  <si>
    <t>DCD 2026-05-28：GreenSquareDC 向 City of Swan 撤回約 15,000 sqm、120 MW 申請（CEO Charles Penny 稱備用發電機噪音評估方法 unrealistic and impractical）。Echo（2026-05-14）：City of Swan 建議否決、1,829 份反對、Metro Outer DAP 原訂 2026-05-19 審議。DAP 案號與地段 WA-B 未取得（ 稱為 Stirling Crescent Lots 14 and 15，WA-B 未驗證）。</t>
  </si>
  <si>
    <t>https://www.datacenterdynamics.com/en/news/swiss-backed-greensquaredc-withdraws-application-for-120mw-data-center-in-perth-australia/
https://echonewspaper.com.au/?p=11905
https://bebeez.eu/2026/05/28/swiss-backed-greensquaredc-withdraws-application-for-120mw-data-center-in-perth-australia/</t>
  </si>
  <si>
    <t>EX-102</t>
  </si>
  <si>
    <t>GreenSquareDC WAi1 Hazelmere (withdrawn 2026-05)</t>
  </si>
  <si>
    <t>GreenSquareDC（Partners Group 持有，2025-03 收購）</t>
  </si>
  <si>
    <t>Lots 14 and 15 Stirling Crescent, Hazelmere WA 6055（Helena River 南側、Helena River Steiner School 東側，約 4.5 ha）</t>
  </si>
  <si>
    <t>2026-03 向州（Outer Metro DAP）重新提出 Hazelmere 申請（Business News 2026-03-23）。City of Swan 職員因備用發電機噪音建議拒絕，DAP 原訂 2026-05-19 開會；公眾意見約 1,890-1,897 份（約 1,829-1,836 份反對）；CEO Charles Penny 於 2026-05-14 前後致函撤回（WAtoday 2026-05-14、Guardian 2026-05-15、ACS 2026-05-19、DCD/BeBeez 2026-05-28）。衝突：金額 A$600m（Urban Developer、Perth is OK!）對 A$1.1b（Business News、ACS、West Australian）；發電機 18 台（Urban Developer）對 88 台（ACS）；Urban Developer 稱三層樓。對照 先前 已知清單 WAi1 48 MW 在建或 RenewMap 120 MW：120 MW 即此 Hazelmere 案，已撤回、從未動工；48 MW 則來自 Belmont 舊案的單棟容量（見下一筆）。</t>
  </si>
  <si>
    <t>https://www.theurbandeveloper.com/articles/greensquaredc-data-centre-hazelmere-perth-wa-public-comment
https://ia.acs.org.au/article/2026/community-backlash-kills-wa-data-centre.html
https://bebeez.eu/2026/05/28/swiss-backed-greensquaredc-withdraws-application-for-120mw-data-center-in-perth-australia/
https://www.datacenterdynamics.com/en/news/swiss-backed-greensquaredc-withdraws-application-for-120mw-data-center-in-perth-australia/
https://perthisok.com/news/new-hazelmere-data-centre-plans-cdc/
https://www.businessnews.com.au/article/GreenSquareDC-launches-11b-Perth-data-centre-play
https://www.businessnews.com.au/article/Plug-pulled-on-11b-GreensquareDC-data-centre</t>
  </si>
  <si>
    <t>EX-103</t>
  </si>
  <si>
    <t>CDC land purchase - 50 Hazelmere Circus (land and warehouse only)</t>
  </si>
  <si>
    <t>50 Hazelmere Circus, Hazelmere WA 6055</t>
  </si>
  <si>
    <t>The West Australian SQM 專欄（2026-09-22）：CDC 向 Exanthem Pty Ltd 與 Netti Foo Foo Endeavours 以 A$15,326,350 購入，現況為 518 m2 單層辦公室加高桁架倉庫、71 個車位，由 Raine and Horne Commercial 經手。純土地與既有建物，無資料中心申請或核准；用途與 Bushmead Road 案的關係未說明。</t>
  </si>
  <si>
    <t>https://thewest.com.au/business/commercial-property/sqm-42-million-end-of-an-era-for-bgc-facility-and-other-major-sales-in-perths-commercial-property-market-c-22906257</t>
  </si>
  <si>
    <t>EX-104</t>
  </si>
  <si>
    <t>CDC Wangara land holding</t>
  </si>
  <si>
    <t>Wangara 工業區（地址未知）</t>
  </si>
  <si>
    <t>The West Australian 2025-08-11：地產記錄顯示 CDC 在 2022 年於 Wangara 與 Hazelmere 取得工業用地；The West Australian SQM 專欄（2026-09-22）再度稱 CDC 在 Hazelmere、Wangara、Maddington 皆持有物業。Hazelmere 現已提案（見 records ）；Wangara 無任何公開計畫、申請或規模。</t>
  </si>
  <si>
    <t>https://thewest.com.au/business/infrastructure/cdc-data-centres-unveils-plans-for-415m-maddington-data-centre-c-19636890
https://thewest.com.au/business/commercial-property/sqm-42-million-end-of-an-era-for-bgc-facility-and-other-major-sales-in-perths-commercial-property-market-c-22906257</t>
  </si>
  <si>
    <t>EX-105</t>
  </si>
  <si>
    <t>DUG Technology Geraldton supercomputing campus</t>
  </si>
  <si>
    <t>DUG Technology（Perth，自用 HPC 業者）</t>
  </si>
  <si>
    <t>Geraldton WA（地址未公布）</t>
  </si>
  <si>
    <t>Business News 2026-07-24 稱 DUG 已悄悄放棄 Geraldton 無碳超算園區；2026-07-28 更正為嚴重延遲而非取消（付費牆，僅讀到摘要）。無 MW、無申請資料；屬自用 HPC，非第三方出租機房。</t>
  </si>
  <si>
    <t>https://www.businessnews.com.au/article/DUG-pulls-plug-on-Geraldton-data-centre
https://www.businessnews.com.au/article/DUG-backflips-on-Geraldton-data-centre-claim</t>
  </si>
  <si>
    <t>EX-106</t>
  </si>
  <si>
    <t>Fujitsu Malaga Data Centre (Next Capital acquisition)</t>
  </si>
  <si>
    <t>Fujitsu Australia，業務由 Next Capital Private Equity 收購（2026-07-20 簽約，預計 2026 年底前完成）</t>
  </si>
  <si>
    <t>16 Mulgul Road, Malaga WA 6090（業主 Centuria Industrial REIT，2024-07 以 A$39m 購入並回租 Fujitsu）</t>
  </si>
  <si>
    <t>已營運（2009 年落成），二層樓、6,560 m²，8 個機房合計 5 MW（Fujitsu 簡介，經 DCD 2024-07-08 引述）。Fujitsu 五站合計約 25 MW、約 7 MW 已租給約 130 家客戶（BeBeez 2026-07-20，為全組合數字，非單站）；Next Capital 稱各站將個別評估擴建（W.Media 2026-07-20）。Malaga 單站總量僅 5 MW 且已有客戶，無公開證據顯示 &gt;=5 MW 未租空間或擴建，故不列 records。出售方 GDCG 簡報（經 DCD 引述）：Fujitsu 15 年租約，2024 年時剩約 1.5 年，另有一個 5 年續約選擇權。</t>
  </si>
  <si>
    <t>https://www.datacenterdynamics.com/en/news/australias-centuria-reit-acquires-fujitsu-occupied-data-center-in-perth-from-gdcg/
https://bebeez.eu/2026/07/20/fujitsu-sells-australian-data-center-business-to-next-capital/
https://w.media/next-capital-agrees-to-acquire-fujitsus-australian-data-centre-business/
https://www.itnews.com.au/news/fujitsu-sells-five-australian-data-centres-627511
https://baxtel.com/data-center/fujitsu-malaga</t>
  </si>
  <si>
    <t>EX-107</t>
  </si>
  <si>
    <t>Gingerah Energy - Project Meridien (Kimberley)</t>
  </si>
  <si>
    <t>Gingerah Energy（Karajarri Traditional Lands Association、Fugro、Longreach Capital Investment 合資）</t>
  </si>
  <si>
    <t>Karajarri country，Broome 以南（Kimberley），確切地址未公布</t>
  </si>
  <si>
    <t>ABC 2026-04-20：初期 240 MW IT、全期約 1 GW（四倍），風/光/天然氣/電池供電；環境研究進行中，計畫向 WA EPA 提交申請，預計 2029 底或 2030 初開工、2032 營運。The West Australian 2026-07-15 同稱 early stage、離網 behind-the-meter。與 先前 已知清單（RenewMap 100 MW）不一致，以 ABC 的 240 MW IT 為準。尚無規劃申請或 EPA 受理紀錄，距今至少三年，不是 5 MW 租戶的近期選項。</t>
  </si>
  <si>
    <t>https://www.abc.net.au/news/2026-04-20/plans-emerge-gigawatt-scale-ai-data-centre-kimberley/106567332
https://w.media/renewable-powered-ai-factory-proposed-for-australias-kimberley-region/
https://thewest.com.au/business/why-this-wa-data-centre-operator-isnt-worried-about-canberras-new-ai-rules-c-22583401</t>
  </si>
  <si>
    <t>EX-108</t>
  </si>
  <si>
    <t>GreenSquareDC WAi1 Belmont (2022 JDAP approval, no construction evidence)</t>
  </si>
  <si>
    <t>37 Abernethy Road, Belmont WA 6104（Baxtel 作 37-39 Abernethy Road；Abernethy Rd、Barker St、Brennan Way 三面臨街）</t>
  </si>
  <si>
    <t>Metro Inner-South JDAP 於 2022-10-17 一致核准（地主 Bulong Pty Ltd，申請人 Urbis；四層、約 68,000 m² GFA、96 MW，PerthNow 2022-10-16、DCD 2022-10-17）。2023-07 Multiplex 被選為承建商；iTnews 2023-07-27 稱 two 48MW buildings, with approval to expand to 150MW（這就是 48 MW 的來源）。此後找不到動工證據（無開工通知、新聞或承建商公告），GreenSquareDC 於 2026-03 改向 Hazelmere 重新提案，Urban Developer（2026-05-13）更稱 Hazelmere 將是其 first in WA。WA 開發許可一般在 2 年內未實質動工即失效（一般規則，未逐案核對是否獲展期）。判斷為已放棄或許可可能失效，故不列 records；Baxtel 稱 Project cancelled before construction。需向 City of Belmont 確認許可是否仍有效。</t>
  </si>
  <si>
    <t>https://www.perthnow.com.au/wa/perth/central/southern/state-planners-approve-plans-for-600-million-data-centre-on-abernethy-road-in-belmont-c-8568277
https://www.datacenterdynamics.com/en/news/greensquaredc-granted-planning-permission-for-96mw-data-center-in-perth-australia/
https://www.itnews.com.au/news/greensquaredc-signs-multiplex-for-data-centre-build-598498
https://w.media/greensquaredc-engages-multiplex-for-groundbreaking-wai1-net-zero-data-centre-project-perth-wa/
https://baxtel.com/data-center/greensquaredc-wai1</t>
  </si>
  <si>
    <t>EX-109</t>
  </si>
  <si>
    <t>GreenSquareDC WAi1（Belmont）</t>
  </si>
  <si>
    <t>37 (Lot 3) Abernethy Road, Belmont WA 6104</t>
  </si>
  <si>
    <t>DAP/22/02272（申請人 Urbis，地主 Bulong Pty Ltd，用途 Proposed Warehouse (Data Centre)）由 Metro Inner-South JDAP 於 2022-10-17 一致通過，條件 22 明訂核准有效 4 年、未實質動工即失效，故 2026-10-17 失效（距今 14 天）。2022 年媒體：96 MW、兩棟四層、34,377 sqm、A$600m；2023-07 Multiplex 被指名承包商（A$1bn）。但查無任何動工證據；DPLH 當前 DAP 清單沒有 Abernethy Road 的 Form 2 延期案；GreenSquareDC 官網 Locations 頁只列 SYD1 Norwest 與 MEL1 Spotswood，不含任何 WA 據點；Baxtel 標示 Project cancelled before construction；同公司 Hazelmere 120 MW 案已於 2026-05-28 撤回。更正 先前資料：WAi1 並非 48 MW 在建專案。除非有新買家或延期核准，視為休眠。</t>
  </si>
  <si>
    <t>https://www.planning.wa.gov.au/docs/default-source/daps/20221017-minutes-no-114-city-of-belmont-city-of-melville.pdf?sfvrsn=97c6e09e_5
https://greensquaredc.com/locations/
https://baxtel.com/data-center/greensquaredc-wai1
https://w.media/greensquaredc-engages-multiplex-for-groundbreaking-wai1-net-zero-data-centre-project-perth-wa/
https://baxtel.com/news/new-company-plans-96mw-data-center-site-in-perth-australia</t>
  </si>
  <si>
    <t>EX-110</t>
  </si>
  <si>
    <t>NEXTDC NE1 Newman（邊緣資料中心）</t>
  </si>
  <si>
    <t>96 Woodstock Street, Newman WA 6753</t>
  </si>
  <si>
    <t>NEXTDC 官網導覽稱 Pilbara's Edge Data Centre；MW 未公布，邊緣型設施推定遠小於 5 MW（推論，未驗證）。地址取自 NEXTDC 技術規格書（2024-03）。</t>
  </si>
  <si>
    <t>https://www.nextdc.com/hubfs/NXT_Tech_Specs_Perth_Region_240323.pdf
https://www.nextdc.com/investor-centre</t>
  </si>
  <si>
    <t>EX-111</t>
  </si>
  <si>
    <t>Perth eastern-precinct 14.27 ha industrial site marketed with data centre potential</t>
  </si>
  <si>
    <t>無（土地待售）</t>
  </si>
  <si>
    <t>Perth 東部核心工業區（Green Street 付費牆，地址未取得）</t>
  </si>
  <si>
    <t>Green Street News 2026-04-14：14.27 ha 工業用地以具資料中心潛力掛牌；純土地，無資料中心核准或申請。</t>
  </si>
  <si>
    <t>https://greenstreetnews.com/article/perth-industrial-site-with-data-centre-potential-hits-the-market/</t>
  </si>
  <si>
    <t>EX-112</t>
  </si>
  <si>
    <t>Sovereign Green Compute (Perth startup)</t>
  </si>
  <si>
    <t>Sovereign Green Compute</t>
  </si>
  <si>
    <t>未公布（Business News：擬在原住民土地設置資料中心）</t>
  </si>
  <si>
    <t>Business News 2026-04-21（付費牆，僅讀到標題與摘要）：Perth 公司，投資人含 Canva 早期投資者 Bill Tai 與 Google Maps 創辦人；無地址、MW、規劃申請。</t>
  </si>
  <si>
    <t>https://www.businessnews.com.au/article/Canva-backer-Google-Maps-founder-invest-in-Perth-data-play-Sovereign-Green-Compute</t>
  </si>
  <si>
    <t>EX-113</t>
  </si>
  <si>
    <t>STACK Perth PER01A/PER01B (Wangara) - aggregator-only lead</t>
  </si>
  <si>
    <t>92 Windsor Road, Wangara WA 6065（僅見 Baxtel）</t>
  </si>
  <si>
    <t>Baxtel 列為 Planned：Wangara 兩棟（PER01A、PER01B），全部完成約 20.5k m²，Western Power 22 kV；無 MW、無規劃文件、無日期。STACK 官網 APAC 頁僅列 Melbourne、Sydney、Osaka、Tokyo、Johor Bahru，未見 Perth；WA DAP 現行申請清單（2026-09-29）及 Significant Development 清單均無資料中心案。屬聚合站線索，無任何申請佐證，不列 records。</t>
  </si>
  <si>
    <t>https://baxtel.com/data-center/stack-perth-per01
https://stackinfra.com/data-centers/apac/</t>
  </si>
  <si>
    <t>EX-114</t>
  </si>
  <si>
    <t>Firmus Project Southgate — Tailem Bend 與 Stirling North（Port Augusta）AI factory</t>
  </si>
  <si>
    <t>Firmus Technologies</t>
  </si>
  <si>
    <t>Tailem Bend SA 與 Stirling North SA（Port Augusta 附近）；街道與地段未揭露</t>
  </si>
  <si>
    <t>2026-06-23 Firmus 確認兩處基地，稱用於自家 AI Factory 營運，規模與投資額將另行公布；2026-06-30 與 Gunvor 簽 12 年 600 MW firm 電力合約（區域管線 2.7 GW）；2026-09-08 W.Media：目標 24 個月內營運，未提核准、MW 或客戶。無任何公開申請紀錄。</t>
  </si>
  <si>
    <t>https://w.media/firmus-confirms-south-australian-ai-factory-sites-renewable-energy-plans-due-within-weeks/
https://w.media/firmus-secures-600mw-energy-agreement-to-support-sa-ai-factory-expansion/
https://w.media/firmus-signs-openai-as-anchor-while-contracted-capacity-passes-900-mw/</t>
  </si>
  <si>
    <t>EX-115</t>
  </si>
  <si>
    <t>Adelaide 其他小型託管設施（Colocity DC1/DC3、DigiCo ADL2 Hawthorn、Equinix AE1、Telstra Waymouth、5G Networks）</t>
  </si>
  <si>
    <t>多家</t>
  </si>
  <si>
    <t>Adelaide 都會區（例：60 Belair Road, Hawthorn；247 Pulteney Street, Adelaide）</t>
  </si>
  <si>
    <t>Baxtel 估算 Adelaide 市場共 11 座設施、約 20 MW，無單一 5 MW 以上的空置或擴建證據（Colocity DC1 約 2 MW）。</t>
  </si>
  <si>
    <t>https://baxtel.com/data-center/adelaide</t>
  </si>
  <si>
    <t>EX-116</t>
  </si>
  <si>
    <t>Colocity Adelaide DC1（與 DC3）</t>
  </si>
  <si>
    <t>Colocity Pty Ltd</t>
  </si>
  <si>
    <t>247 Pulteney Street, Adelaide SA 5000</t>
  </si>
  <si>
    <t>2007 年啟用，約 100 平方米技術空間，Baxtel 列 2.0 MW，未見擴建。</t>
  </si>
  <si>
    <t>https://baxtel.com/data-center/colocity-adelaide-dc1</t>
  </si>
  <si>
    <t>EX-117</t>
  </si>
  <si>
    <t>DCI Adelaide 01（ADL01）</t>
  </si>
  <si>
    <t>DCI Data Centers</t>
  </si>
  <si>
    <t>Kidman Park SA（街號未揭露）</t>
  </si>
  <si>
    <t>已營運的小型設施，Baxtel 列 1.6 MW。</t>
  </si>
  <si>
    <t>https://baxtel.com/data-center/south-australia</t>
  </si>
  <si>
    <t>EX-118</t>
  </si>
  <si>
    <t>DCI Adelaide ADL02 與 ADL01（Kidman Park）</t>
  </si>
  <si>
    <t>Kidman Park SA（Findon Road 一帶；街號未取得）</t>
  </si>
  <si>
    <t>ADL02 為 4 MW IT（2024-12-02 啟用，A$70m，TIER-Ready III，官方稱可立即入駐）；Kidman Park 園區含 ADL01 合計 5.4 MW IT。單棟低於 5 MW，且無證據顯示園區仍有 5 MW 以上空置。RenewMap 寫 10 MW、Baxtel 寫 6 MW，與 DCI 官方不符。</t>
  </si>
  <si>
    <t>https://www.dcidatacenters.com/news/adl02-launch/
https://www.dcidatacenters.com/locations/</t>
  </si>
  <si>
    <t>EX-119</t>
  </si>
  <si>
    <t>DigiCo ADL2（前 YourDC Hawthorn）</t>
  </si>
  <si>
    <t>DigiCo Infrastructure REIT</t>
  </si>
  <si>
    <t>60 Belair Road, Hawthorn SA 5062</t>
  </si>
  <si>
    <t>2015 年啟用，兩個機房、580 平方米技術空間、約 220 櫃，規模遠小於 5 MW。</t>
  </si>
  <si>
    <t>https://baxtel.com/data-center/digico-adelaide-adl2</t>
  </si>
  <si>
    <t>EX-120</t>
  </si>
  <si>
    <t>Equinix Adelaide AE1</t>
  </si>
  <si>
    <t>Equinix（2017 年自 Metronode 取得）</t>
  </si>
  <si>
    <t>274 Hindley Street, Adelaide SA 5000</t>
  </si>
  <si>
    <t>carrier-neutral 小型 colocation，Baxtel 歸類 extra small，未見擴建計畫；MW 未揭露，僅為聚合網站資料。</t>
  </si>
  <si>
    <t>https://baxtel.com/data-center/equinix-adelaide-ae1</t>
  </si>
  <si>
    <t>EX-121</t>
  </si>
  <si>
    <t>NEXTDC A1 Adelaide</t>
  </si>
  <si>
    <t>125 Frome Street, Adelaide SA 5000（2022 新聞稿寫 211 Pirie Street）</t>
  </si>
  <si>
    <t>2024-09-04 啟用，Tier IV，5 MW IT、1,470 櫃、2,922 平方米技術空間（2022 新聞稿曾稱 up to 10 MW critical power）。NEXTDC FY26 簡報（2026-08-27）僅列 A1 Adelaide: Additional 2MW in progress to support AI deployment，沒有 5 MW 以上的擴建或剩餘容量證據；啟用時間也早於 2025-07。</t>
  </si>
  <si>
    <t>https://www.nextdc.com/data-centres/a1-adelaide-data-centre
https://www.nextdc.com/news/nextdc-invest-100m-new-world-class-data-centre-adelaide-cbd
https://w.media/nextdc-unveils-first-tier-iv-data-centre-in-adelaide-to-advance-south-australias-digital-economy/
https://www.nextdc.com/hubfs/Financial%20Reports/FY26/NEXTDC%20FY26%20Results%20Presentation.pdf</t>
  </si>
  <si>
    <t>EX-122</t>
  </si>
  <si>
    <t>Telstra Waymouth 與 5G Networks Adelaide</t>
  </si>
  <si>
    <t>Telstra；5G Networks</t>
  </si>
  <si>
    <t>Waymouth Street, Adelaide SA 5000（Telstra；街號未確認）；5G Networks 地址未確認</t>
  </si>
  <si>
    <t>Baxtel 阿德萊德市場頁將兩者列為 extra small；市場合計 11 座、約 20 MW、8 家業者。僅聚合網站資料，未開啟個別頁面。</t>
  </si>
  <si>
    <t>EX-123</t>
  </si>
  <si>
    <t>1414 Degrees Aurora Energy Precinct 資料中心（Port Augusta 以北）</t>
  </si>
  <si>
    <t>1414 Degrees（SiliconAurora）加一家未具名的澳洲資料中心開發營運商</t>
  </si>
  <si>
    <t>Aurora Energy Precinct，Port Augusta 以北約 20 km SA（場址 1,580 公頃，其中 40 公頃授予資料中心夥伴獨家權），確切地址未公布</t>
  </si>
  <si>
    <t>階段：17 MW 起步（33 kV）、200 MW（待 275 kV 輸電）、遠期最高 1 GW。2026-07-27 僅簽非約束性 Heads of Agreement，商業條款、規劃核准、接入安排與正式協議皆待談；2026-09-01 ASX 公告 1414 Degrees 取得 Aurora 100% 所有權並與 ElectraNet 談 275 kV 接入。場址現有的 Crown 核准僅涵蓋太陽能與 140 MW/280 MWh 電池，沒有資料中心申請。</t>
  </si>
  <si>
    <t>https://w.media/south-australia-energy-precinct-bets-on-staged-ai-data-centre-deployment/
https://reneweconomy.com.au/thermal-battery-company-chasing-1-gw-data-centre-deal-for-site-once-earmarked-for-giant-solar-towers/
https://bulletin.webull.com/qbd/announcement/20260901/499502695/463d3fad2232412949a9c926abe9447b.pdf</t>
  </si>
  <si>
    <t>EX-124</t>
  </si>
  <si>
    <t>Aurora Energy Precinct Data Centre（1414 Degrees / SiliconAurora）</t>
  </si>
  <si>
    <t>1414 Degrees（SiliconAurora）加一家未具名資料中心夥伴</t>
  </si>
  <si>
    <t>Aurora Energy Precinct，Port Augusta 以北約 20 km, SA（場址 1,580 ha，其中約 40 ha 規劃供資料中心）</t>
  </si>
  <si>
    <t>階段規劃 17 MW（33 kV 連接）、200 MW（待 275 kV 輸電）、遠期 1 GW。2026-07/08 僅簽 non-binding Heads of Agreement，商業條款、規劃核准、連接安排與正式協議皆待談，夥伴未具名，租賃與使用費條款待協商；未見 DA、s131 或 EPBC 紀錄。屬概念階段，無正式申請。</t>
  </si>
  <si>
    <t>https://esdnews.com.au/1414-degrees-inks-major-data-centre-deal-in-south-australia/
https://w.media/south-australia-energy-precinct-bets-on-staged-ai-data-centre-deployment/
https://reneweconomy.com.au/thermal-battery-company-chasing-1-gw-data-centre-deal-for-site-once-earmarked-for-giant-solar-towers/</t>
  </si>
  <si>
    <t>EX-125</t>
  </si>
  <si>
    <t>DCI Adelaide 02（ADL02）</t>
  </si>
  <si>
    <t>已營運（約 2022 下半年），Tier III。DCI 2021 稱擴建後 5.4 MW IT；Baxtel 6.0 MW；RenewMap 10 MW。沒有 5 MW 以上未出租容量或擴建的公開證據。</t>
  </si>
  <si>
    <t>https://dcidatacenters.com/locations/adelaide-02/
https://dcidatacenters.com/locations/
https://baxtel.com/data-center/south-australia</t>
  </si>
  <si>
    <t>EX-126</t>
  </si>
  <si>
    <t>Firmus Project Southgate：Stirling North AI Factory（Port Augusta 附近）</t>
  </si>
  <si>
    <t>Stirling North, near Port Augusta SA，確切地址未公布</t>
  </si>
  <si>
    <t>Firmus 南澳專頁：Stirling North 規劃約 1.3 GW critical IT（約 1.5 GW 電力接入），兩場址合計約 2.3 GW IT、2.7 GW 電力。與 Gunvor 簽 12 年 600 MW firm 電力協議（2026-06-30），並支持 Koolunga 電池（200 MW/800 MWh，Brinkworth）。無任何規劃申請，故不列 records。</t>
  </si>
  <si>
    <t>https://firmus.co/ourcommitments/sa-community
https://firmus.co/newsroom/firmus-secures-600-mw-energy-supply-agreement-in-south-australia-linked-to-1-2-gw-of-new-renewable-generation-and-battery-storage</t>
  </si>
  <si>
    <t>EX-127</t>
  </si>
  <si>
    <t>Firmus Project Southgate：Tailem Bend AI Factory</t>
  </si>
  <si>
    <t>Tailem Bend 以北約 5 km 農地（Murray Bridge News 稱 Kepa 或 Naturi 一帶），確切地址未公布；涉及 Coorong District Council 與 Rural City of Murray Bridge</t>
  </si>
  <si>
    <t>Firmus 南澳專頁：Tailem Bend 規劃約 1.0 GW critical IT（約 1.2 GW 電力接入），subject to planning approval。尚未提出任何申請：共同 CEO 在 2026-07-15 社區會上稱 not yet lodged plans；專頁稱正與 DSD 及技術監管辦公室確定審批路徑並尋求 Crown sponsorship。屬推測性公告，依指示列入 gaps。Firmus 為 AI 雲與 AI Factory 業者（出售 GPU 算力，非機房租賃）。</t>
  </si>
  <si>
    <t>https://firmus.co/ourcommitments/sa-community
https://www.abc.net.au/news/2026-07-16/sa-firmus-factory-tailem-bend-community-meeting/106919542
https://www.murraybridge.news/whats-the-deal-with-the-two-data-centres-proposed-near-tailem-bend/
https://w.media/firmus-confirms-south-australian-ai-factory-sites-renewable-energy-plans-due-within-weeks/</t>
  </si>
  <si>
    <t>EX-128</t>
  </si>
  <si>
    <t>125 Frome Street, Adelaide SA 5000（2022 年市府售地紀錄寫 211 Pirie Street）</t>
  </si>
  <si>
    <t>營運中，Tier IV，官方頁面列設計與現有容量均為 5 MW IT（1,470 機櫃），未提擴建階段；NEXTDC 整體幾乎全數預售。沒有證據顯示 5 MW 以上的空置容量或擴建。</t>
  </si>
  <si>
    <t>https://www.nextdc.com/data-centres/a1-adelaide-data-centre</t>
  </si>
  <si>
    <t>EX-129</t>
  </si>
  <si>
    <t>Project Helios</t>
  </si>
  <si>
    <t>Grid Share（開發商）</t>
  </si>
  <si>
    <t>南澳（位置未揭露）</t>
  </si>
  <si>
    <t>僅見 RenewMap 搜尋摘要：開發中、尚無 DA。公開頁面列不出細節，位置與客戶不明。</t>
  </si>
  <si>
    <t>https://renewmap.com.au/resources/projects/sa/datacentre/</t>
  </si>
  <si>
    <t>EX-130</t>
  </si>
  <si>
    <t>RenewMap：South East Adelaide Co-Development</t>
  </si>
  <si>
    <t>未具名（SA-A 與搜尋摘要指向 Skylab Australia）</t>
  </si>
  <si>
    <t>阿德萊德東南部，未公布</t>
  </si>
  <si>
    <t>RenewMap 2026-10 頁面列 1,200 MW、Development 階段，無開發商、無 DA；較早摘要曾寫 200 MW。MW 不穩定且無申請，僅作線索，疑與 Skylab Cooke Plains 同案。</t>
  </si>
  <si>
    <t>EX-131</t>
  </si>
  <si>
    <t>Skylab Australia：Cooke Plains 資料中心 + 太陽能 + 電池</t>
  </si>
  <si>
    <t>Skylab Australia（夥伴為未具名的資料中心營運商）</t>
  </si>
  <si>
    <t>Cooke Plains SA（Tailem Bend 東南），確切地址未公布；涉及 Coorong 與 Murray Bridge 兩個議會</t>
  </si>
  <si>
    <t>800 MW 資料中心搭配 250 MW 太陽能、200 MW 電池，可能加燃氣；已購地；首期預計 2028 Q3；DA 預計在 2026-07 起 12 個月內才提出。無申請，故不列 records。RenewMap 的 South East Adelaide Co-Development（1,200 MW）可能是同案，未核實。</t>
  </si>
  <si>
    <t>https://www.murraybridge.news/whats-the-deal-with-the-two-data-centres-proposed-near-tailem-bend/</t>
  </si>
  <si>
    <t>EX-132</t>
  </si>
  <si>
    <t>South East Adelaide Co-Development</t>
  </si>
  <si>
    <t>SkyLab Australia（開發商）</t>
  </si>
  <si>
    <t>阿德萊德東南部（確切位置未揭露）</t>
  </si>
  <si>
    <t>RenewMap（2026-10 頁面）列 1,200 MW、Development；較早的搜尋摘要為 200 MW。摘要稱尚未提交 DA，位置、客戶均不明。MW 數字不穩定，僅作線索。</t>
  </si>
  <si>
    <t>EX-133</t>
  </si>
  <si>
    <t>NEXTDC C1 Canberra</t>
  </si>
  <si>
    <t>19 Battye Street, Bruce ACT 2617（Baxtel；NEXTDC 官網僅寫 Bruce）</t>
  </si>
  <si>
    <t>NEXTDC 官網：4.4 MW IT load、2,260 m2 technical space、Federal Government Certified Strategic Hosting Provider；官網未提及擴建或 C2 Canberra。</t>
  </si>
  <si>
    <t>https://nextdc.com/data-centres/canberra-data-centres/c1-canberra
https://baxtel.com/data-center/nextdc-canberra-c1</t>
  </si>
  <si>
    <t>EX-134</t>
  </si>
  <si>
    <t>19 Battye Street, Bruce ACT 2617</t>
  </si>
  <si>
    <t>NEXTDC 官網載 4.4MW IT 負載（2,260 m2 技術空間）；官網與部落格均無擴建或 C2 計畫。屬 HCF Strategic Enclave。已查 ACT DA 登記冊亦無 Bruce 相關資料中心案件。</t>
  </si>
  <si>
    <t>https://www.nextdc.com/data-centres/c1-canberra-data-centre
https://www.hostingcertification.gov.au/certified-service-providers</t>
  </si>
  <si>
    <t>EX-135</t>
  </si>
  <si>
    <t>Telstra Deakin Canberra</t>
  </si>
  <si>
    <t>Telstra</t>
  </si>
  <si>
    <t>109 Kent Street, Deakin ACT 2600（Baxtel）</t>
  </si>
  <si>
    <t>Baxtel 引 Telstra 規格：資料中心空間 800 m2、技術空間 263 m2、機櫃最高 21 kW；規模明顯小於 5 MW（MW 未公布）。</t>
  </si>
  <si>
    <t>https://baxtel.com/data-center/telstra-deakin-canberra</t>
  </si>
  <si>
    <t>EX-136</t>
  </si>
  <si>
    <t>130 Oaks Estate Road 租約變更（Block 680 Majura，62.4 ha）</t>
  </si>
  <si>
    <t>Oaks Estate Road Nominee Pty Ltd（承租人）</t>
  </si>
  <si>
    <t>130 Oaks Estate Road, Majura ACT 2609 (Block 680 Majura)</t>
  </si>
  <si>
    <t>僅租約變更：DA202544671 於 2026-07-02 附條件核准，為 62.4 ha NUZ1 Broadacre 地塊新增約 24 種用途（含 data centre、major electricity storage facility、major electrical sub-station、power generation station）；NCA 有支持函。無資料中心專案、營運商或 MW，列為土地儲備觀察項。</t>
  </si>
  <si>
    <t>https://www.planning.act.gov.au/applications-and-assessments/development-applications/browse-das/development-application-details?da-number=202544671&amp;amendment-version=</t>
  </si>
  <si>
    <t>EX-137</t>
  </si>
  <si>
    <t>14 Tennant Street Fyshwick 租約變更（Block 8 與 22 Section 28）</t>
  </si>
  <si>
    <t>Tranteret Pty Ltd（承租人；聯絡信箱屬 hiquality.com.au 網域）</t>
  </si>
  <si>
    <t>14 Tennant Street, Fyshwick ACT 2609 (Blocks 8 and 22 Section 28)</t>
  </si>
  <si>
    <t>僅地塊合併與租約變更：DA202443172 於 2025-04-01 附條件核准，在原有土地用途外加入「data centre」等通用工業用途；無資料中心專案、營運商或 MW。</t>
  </si>
  <si>
    <t>https://www.planning.act.gov.au/applications-and-assessments/development-applications/browse-das/development-application-details?da-number=202443172&amp;amendment-version=</t>
  </si>
  <si>
    <t>EX-138</t>
  </si>
  <si>
    <t>14 Tennant Street Fyshwick 租約變更（含 data centre 用途）</t>
  </si>
  <si>
    <t>無（土地承租人 Hallinan；代理 Purdon Planning）</t>
  </si>
  <si>
    <t>14 Tennant Street, Fyshwick ACT 2609（Block 22 與 Block 8 Section 28）</t>
  </si>
  <si>
    <t>DA 202443172（2025-04-01 有條件核准）只是合併地塊並在原混凝土管製造用地新增 data centre 等 9 種用途；沒有資料中心建築、MW 或營運商，屬純土地用途權利。</t>
  </si>
  <si>
    <t>https://www.planning.act.gov.au/applications-and-assessments/development-applications/browse-das/development-application-details?da-number=202443172</t>
  </si>
  <si>
    <t>EX-139</t>
  </si>
  <si>
    <t>722 Canberra Avenue 商業園區細分（Sustainable Data Resource Pty Ltd）</t>
  </si>
  <si>
    <t>Sustainable Data Resource Pty Ltd（承租人；2023 年租約變更時承租人為 Bonshaw ACT Pty Ltd）</t>
  </si>
  <si>
    <t>722 Canberra Avenue, Jerrabomberra district Block 2233 及 Symonston Block 12 Section 111, ACT 2609</t>
  </si>
  <si>
    <t>僅土地/租約變更，無資料中心建築申請：DA202341949（2024-03-28 核准）把「communications facility limited to data centre」等用途加入租約；DA202544243（2025-07-04 送件，仍在審查，2026-09-09 又修正）把約 56 ha 地塊細分為 7 塊「superblock」加變電站塊，GFA 上限合計 268,310 m2，擬加入包含 data centre、major electricity storage、power generation 等 30 多種用途。承租人名稱暗示以資料為主題，但無 MW、無營運商、無建築設計；列為長期土地儲備觀察項。</t>
  </si>
  <si>
    <t>https://www.planning.act.gov.au/applications-and-assessments/development-applications/browse-das/development-application-details?da-number=202544243&amp;amendment-version=
https://www.planning.act.gov.au/applications-and-assessments/development-applications/browse-das/development-application-details?da-number=202341949&amp;amendment-version=</t>
  </si>
  <si>
    <t>EX-140</t>
  </si>
  <si>
    <t>ADC Fyshwick（Australian Data Centres）</t>
  </si>
  <si>
    <t>Australian Data Centres (ADC)</t>
  </si>
  <si>
    <t>105 Gladstone Street, Fyshwick ACT 2609（Baxtel）</t>
  </si>
  <si>
    <t>前 Verizon 機房（2009 年建，2013 年 Verizon 將面積擴大一倍），ADC 於 2025-12 收購（W.Media、Baxtel）；MW 未公布，無擴建 DA。</t>
  </si>
  <si>
    <t>https://baxtel.com/data-center/adc-fyshwick
https://w.media/australian-data-centres-adds-second-operational-campus-in-canberra/</t>
  </si>
  <si>
    <t>EX-141</t>
  </si>
  <si>
    <t>ADC Mitchell (Australian Data Centres)</t>
  </si>
  <si>
    <t>Australian Data Centres</t>
  </si>
  <si>
    <t>38 Vicars Street, Mitchell ACT 2911</t>
  </si>
  <si>
    <t>營運中；5.6MW 為 Baxtel 市場頁數字，其設施頁僅載 7MVA N+1 變壓器；無未租容量或擴建證據。HCF Certified Strategic 設施；同公司另有 ADC Fyshwick（HCF Strategic Enclave，未查到細節）。</t>
  </si>
  <si>
    <t>https://baxtel.com/data-center/adc-mitchell
https://www.hostingcertification.gov.au/certified-service-providers</t>
  </si>
  <si>
    <t>EX-142</t>
  </si>
  <si>
    <t>ADC Mitchell（Australian Data Centres）</t>
  </si>
  <si>
    <t>38 Vicars Street, Mitchell ACT 2911（Baxtel）</t>
  </si>
  <si>
    <t>運轉中。Baxtel 引 ADC：7 MVA 變壓器容量、5 組 2.25 MVA 旋轉式 UPS、單機櫃最高 33 kW。ADC 於 2025-12-09 稱兩個 Canberra 園區 remaining capacity available，但未給 MW（W.Media）；ADC 稱擁有 scalable powered land bank，並提供 build-to-suit 主權資料中心方案，Certified Strategic，客戶為政府與企業。IT MW 可能接近或低於 5 MW，無法確認，故未列入 records。</t>
  </si>
  <si>
    <t>https://baxtel.com/data-center/adc-mitchell
https://w.media/australian-data-centres-adds-second-operational-campus-in-canberra/</t>
  </si>
  <si>
    <t>EX-143</t>
  </si>
  <si>
    <t>CDC Beard 1 (BE1)</t>
  </si>
  <si>
    <t>Tantalum Street, Beard ACT 2620（Block 25 Section 11；Baxtel 標示 18 Tantalum St）</t>
  </si>
  <si>
    <t>已運轉設施（2 層、10 個 data hall、GFA 15,347.76 m2）。Stantec 交通報告（CDC 之 DA 202645149 附件）稱 BE1 為 35 MW，2023-10 取得規劃核准、現已運轉；cdc.com/au/canberra 寫 39 MW 且仍稱 under construction（過時）；CDC 2026-03-26 投資人簡報標示 BE1 運轉中。無公開證據顯示尚有 5 MW 以上未租容量，故不列入 records；若要知道現貨容量需直接詢問 CDC。</t>
  </si>
  <si>
    <t>https://dafinder.blob.core.windows.net/dadocuments/DOCs/TRAFFICREPORT-202645149-01.pdf
https://cdc.com/au/canberra
https://announcements.asx.com.au/asxpdf/20260326/pdf/06xtcw1cnqqc5p.pdf</t>
  </si>
  <si>
    <t>EX-144</t>
  </si>
  <si>
    <t>CDC Beard 1 (BE1) - Beard Campus 第一期</t>
  </si>
  <si>
    <t>23 Tantalum Street, Beard ACT 2620 (Block 25 Section 11)</t>
  </si>
  <si>
    <t>已建成營運：CDC 2026-03-26 投資人簡報圖例標為營運中，BE2 的 DA 開發成果報告（2026，隨 DA 提交）稱 Stage 1 已建成；2 層、10 機房、GFA 15,348 m2，CDC 官網載 39MW。啟用日不明（2024 動工，最晚 2026-03 前營運），無任何公開證據顯示仍有 5MW 以上未租容量，故不列入 records。CDC 官網仍寫「興建中」屬過時。</t>
  </si>
  <si>
    <t>https://announcements.asx.com.au/asxpdf/20260326/pdf/06xtcw1cnqqc5p.pdf
https://dafinder.blob.core.windows.net/dadocuments/DOCs/DEVOUTCOMEREP-202645149-01.pdf
https://cdc.com/locations/canberra</t>
  </si>
  <si>
    <t>EX-145</t>
  </si>
  <si>
    <t>CDC Fyshwick (FY1, FY2)</t>
  </si>
  <si>
    <t>FY1：2 Leonora Street, Fyshwick ACT 2609（Baxtel）；FY2：Block 7 Section 85 Fyshwick（Evoenergy DA 文件）</t>
  </si>
  <si>
    <t>運轉容量 45 MW（cdc.com/au/canberra）。Evoenergy DA 202645400（2026-09-30 有條件核准）將自 Fyshwick Zone Substation 鋪設 6 條管道、2 條 11 kV 高壓電纜與 1 條光纖管道至 CDC Fyshwick 2（約 1.5 km），文件稱用於 increasing electrical loads，土建預計 2026-11 起約 5 個月；顯示 FY2 用電增加，但未見新建築 DA，且無空置容量證據。</t>
  </si>
  <si>
    <t>https://cdc.com/au/canberra
https://www.planning.act.gov.au/applications-and-assessments/development-applications/browse-das/development-application-details?da-number=202645400
https://baxtel.com/data-center/cdc-fyshwick-1</t>
  </si>
  <si>
    <t>EX-146</t>
  </si>
  <si>
    <t>FY1: 2 Leonora Street, Fyshwick ACT 2609 (Block 6 Section 85); FY2: 11 Tom Price Street, Fyshwick ACT 2609 (Block 7 Section 85)</t>
  </si>
  <si>
    <t>營運中，CDC 官網載 45MW。觀察項：Evoenergy 為「提供資料中心額外容量」興建 11kV 饋線至 CDC Fyshwick 2（ESO202600015，2026-05；DA202645400 於 2026-09-30 附條件核准，6 條地下管道、2 條高壓電纜），顯示 FY2 可能增容，但公開文件無新建築 DA，也無 MW，故不列入 records。</t>
  </si>
  <si>
    <t>https://cdc.com/locations/canberra
https://www.planning.act.gov.au/__data/assets/pdf_file/0008/3068324/ESO202600015-Block-3-Section-45-Fyshwick.pdf
https://www.planning.act.gov.au/applications-and-assessments/development-applications/browse-das/development-application-details?da-number=202645400&amp;amendment-version=</t>
  </si>
  <si>
    <t>EX-147</t>
  </si>
  <si>
    <t>CDC Hume Campus 3（擬建 4 座）</t>
  </si>
  <si>
    <t>John Cory Road, Block 28 Section 23, Hume ACT 2620</t>
  </si>
  <si>
    <t>只有被駁回的 ESO，尚無 DA，不符「已正式送件」的門檻；時程遙遠。</t>
  </si>
  <si>
    <t>EX-148</t>
  </si>
  <si>
    <t>CDC Hume Campus One (HU1-HU3)</t>
  </si>
  <si>
    <t>56 Sheppard Street, Hume ACT 2620（Baxtel：CDC Hume 1；HU2、HU3 門牌未查證）</t>
  </si>
  <si>
    <t>cdc.com/au/canberra：Hume Campus One 共三棟（HU1 於 2008 年啟用），運轉容量 21 MW；無擴建或空置容量證據。</t>
  </si>
  <si>
    <t>https://cdc.com/au/canberra
https://baxtel.com/data-center/cdc-hume-1</t>
  </si>
  <si>
    <t>EX-149</t>
  </si>
  <si>
    <t>54-56 Sheppard Street, Hume ACT 2620</t>
  </si>
  <si>
    <t>營運中（HU1 於 2008 年開幕）；CDC 官網載營運容量 21MW。無未租容量或擴建證據。地址取自 OSM 標註（CDC Hume Datacentre 1-3）。</t>
  </si>
  <si>
    <t>https://cdc.com/locations/canberra</t>
  </si>
  <si>
    <t>EX-150</t>
  </si>
  <si>
    <t>CDC Hume Campus Two (HU4, HU5)</t>
  </si>
  <si>
    <t>5 Tralee Street, Hume ACT 2620（Block 103 Section 7）</t>
  </si>
  <si>
    <t>運轉容量 51 MW（cdc.com/au/canberra）；在建擴建 HU6 已另列 records ；已運轉部分無空置容量證據。</t>
  </si>
  <si>
    <t>https://cdc.com/au/canberra
https://baxtel.com/data-center/cdc-hume-4</t>
  </si>
  <si>
    <t>EX-151</t>
  </si>
  <si>
    <t>CDC Hume Campus Two (HU4-HU5)</t>
  </si>
  <si>
    <t>5 Tralee Street, Hume ACT 2620 (Block 103 Section 7)</t>
  </si>
  <si>
    <t>營運中，CDC 官網載營運容量 51MW（HU4、HU5）；擴建部分即 的 HU6。無其他未租容量證據。</t>
  </si>
  <si>
    <t>https://cdc.com/locations/canberra
https://www.datacentermap.com/australia/canberra/cdc-hume-hu6/</t>
  </si>
  <si>
    <t>EX-152</t>
  </si>
  <si>
    <t>Coram Deo Capital（Stuart Robert）Canberra 資料中心構想</t>
  </si>
  <si>
    <t>Coram Deo Capital Pty Ltd</t>
  </si>
  <si>
    <t>Canberra ACT，HMAS Harman 旁私有地（確切地址未公開）</t>
  </si>
  <si>
    <t>W.Media（2024-10-12）：構想階段，傳閱簡報擬募資 A$500m；無 MW、無送件紀錄；報導聚焦利益衝突。與 Symonston/Jerrabomberra 超級街廓是否為同一地塊未驗證。</t>
  </si>
  <si>
    <t>https://w.media/proposal-for-new-data-centre-in-canberra-founded-on-morrison-government-policy-under-scrutiny/</t>
  </si>
  <si>
    <t>EX-153</t>
  </si>
  <si>
    <t>DCI Canberra CBR01（Poplars Innovation Precinct）</t>
  </si>
  <si>
    <t>DCI Data Centers（Brookfield 旗下）</t>
  </si>
  <si>
    <t>2 Wolseley Place, Jerrabomberra NSW 2619（Baxtel；Poplars Innovation Precinct）</t>
  </si>
  <si>
    <t>DCI 2022-08 宣布取得土地與電力，20 MW、原定 2024 上線；dcidatacenters.com/locations 現仍列為 Sites in development。Baxtel 稱已送出 5,826 m2 規劃申請，但 NSW Planning Portal DA data API 的 Queanbeyan-Palerang 資料（2019 起 4,394 筆）查無資料中心 DA（Wolseley Place 僅有輕工業/倉儲/自助倉儲 DA），DCI 的 Canberra 新聞頁也已 404。依規則無送件證據故不納入 records，列為待查線索。</t>
  </si>
  <si>
    <t>https://dcidatacenters.com/locations/
https://baxtel.com/data-center/dci-canberra-cbr01
https://baxtel.com/news/dci-data-centers-plans-20mw-data-center-in-canberra-australia
https://w.media/dci-to-build-20-mw-cloud-edge-data-centre-in-canberra/</t>
  </si>
  <si>
    <t>EX-154</t>
  </si>
  <si>
    <t>DCI Canberra CBR01（跨州線索：推定位於 NSW Jerrabomberra，非 ACT）</t>
  </si>
  <si>
    <t>2 Wolseley Place, Poplars Innovation Precinct, Jerrabomberra NSW 2619（Baxtel 所載；Wolseley 不在 ACT 地址庫）</t>
  </si>
  <si>
    <t>Baxtel：2022 年宣布 20MW，後續提出 5,826 m2 建築的規劃申請，預計 2027；但歸屬 Queanbeyan-Palerang Regional Council（NSW），QPRC 網站對本代理回 403，無政府來源可驗證申請與核准狀態，且不在主腦的 NSW SSD 資料中心清單內。請 NSW 組確認；Baxtel 稱 DCI 為 Brookfield 旗下，與主腦已知「DCI 為印尼資本」不一致，待查。</t>
  </si>
  <si>
    <t>https://baxtel.com/data-center/dci-canberra-cbr01</t>
  </si>
  <si>
    <t>EX-155</t>
  </si>
  <si>
    <t>Equinix CA1 Canberra</t>
  </si>
  <si>
    <t>51 Dacre Street, Mitchell ACT 2911（Baxtel）</t>
  </si>
  <si>
    <t>2015 年由 Metronode 興建（2 層）、2018 年被 Equinix 收購（Baxtel）；MW 未公布，無擴建證據；Equinix 官網無法讀取（403/連線失敗）。規模與年代判斷應小於 5 MW，但未能以官方資料證實。</t>
  </si>
  <si>
    <t>https://baxtel.com/data-center/equinix-canberra-ca1</t>
  </si>
  <si>
    <t>EX-156</t>
  </si>
  <si>
    <t>51 Dacre Street, Mitchell ACT 2911</t>
  </si>
  <si>
    <t>營運中，單一站點（Equinix 官網坎培拉頁僅列 CA1）；5MW 僅見於 Baxtel 彙整站，無未租容量或擴建證據。HCF Certified Strategic 設施。</t>
  </si>
  <si>
    <t>https://www.equinix.com/data-centers/asia-pacific-colocation/australia-colocation/canberra-data-centers
https://baxtel.com/data-center/equinix-canberra-ca1</t>
  </si>
  <si>
    <t>EX-157</t>
  </si>
  <si>
    <t>Macquarie Data Centres Canberra（IC4 / IC5 Bunker campus）</t>
  </si>
  <si>
    <t>Canberra ACT（地址因安全理由保密）</t>
  </si>
  <si>
    <t>macquariedatacentres.com 稱 Canberra 地址、技術空間與 IT 負載皆保密/未揭露；IC5 於 2020-12 啟用（Baxtel）。Macquarie Technology FY26 簡報（2026-08）稱 MDC 全部已安裝容量僅 21 MW（涵蓋 Macquarie Park、Canberra、Sydney CBD），且 Macquarie Park 校區完工後為 65 MW（含 IC3 SuperWest 47 MW），即 IC2 + IC3 East 約 18 MW；據此推算 Canberra 加 Sydney CBD 合計約 3 MW（推論，口徑未必一致）。客戶含 42% 的聯邦政府機構以及企業客戶；SCEC Zone 4 可用、Zone 5 ready；未見擴建證據。</t>
  </si>
  <si>
    <t>https://www.macquariedatacentres.com/data-centres/canberra/
https://www.macquarietechnologygroup.com/wp-content/uploads/2026/08/FY26-Group-Investor-Presentation.pdf
https://baxtel.com/data-center/macquarie-ic5-bunker</t>
  </si>
  <si>
    <t>EX-158</t>
  </si>
  <si>
    <t>Macquarie Technology IC4 / IC5 Bunker (Canberra)</t>
  </si>
  <si>
    <t>Macquarie Technology Group (Macquarie Government)</t>
  </si>
  <si>
    <t>6 Pearce Avenue, Fairbairn (Canberra Airport) ACT 2609 (Block 660 Section 1, Majura district)</t>
  </si>
  <si>
    <t>營運中的政府專用地下機房園區（IC5 於 2020-12 開幕，Tier IV，Baxtel）；MW 未公開，無擴建證據；地址取自 ACT 官方地址庫（Fairbairn RAAF Base, 6 Pearce Avenue）。位於 Canberra Airport 聯邦土地，Airport 發展頁所列 MDP 未見資料中心。HCF Certified Strategic 設施。</t>
  </si>
  <si>
    <t>https://baxtel.com/data-center/macquarie-ic5-bunker
https://www.canberraairport.com.au/corporate/about/development
https://www.hostingcertification.gov.au/certified-service-providers</t>
  </si>
  <si>
    <t>EX-159</t>
  </si>
  <si>
    <t>STACK Canberra (CAN01A) - Baxtel 條目，無法證實</t>
  </si>
  <si>
    <t>STACK Infrastructure（僅 Baxtel 主張）</t>
  </si>
  <si>
    <t>6 Val Reid Cres, Hume ACT 2620（Baxtel 所載，ACT 官方地址庫查無此門牌）</t>
  </si>
  <si>
    <t>Baxtel 稱 2023 年建成、8 機房、28MW（市場頁）。但 STACK 官網亞太地點僅列 Johor Bahru、Melbourne、Osaka、Sydney、Tokyo，Home Affairs HCF 認證名單無 STACK，ACTGOV_ADDRESSES 查無 6 Val Reid Crescent，DA 登記冊亦無 STACK 案件。判斷為彙整站條目有誤或身分混淆（無法確認其實際對應的設施），不列入 records。</t>
  </si>
  <si>
    <t>https://baxtel.com/data-center/stack-canberra
https://www.stackinfra.com/data-centers/canberra/
https://www.hostingcertification.gov.au/certified-service-providers</t>
  </si>
  <si>
    <t>EX-160</t>
  </si>
  <si>
    <t>STACK Canberra（CAN01A，Hume）</t>
  </si>
  <si>
    <t>6 Val Reid Crescent, Hume ACT 2620（Baxtel；未獨立驗證）</t>
  </si>
  <si>
    <t>W.Media/DCD（2022-06-10）稱 STACK 與 Hickory 的澳洲平台含 Canberra（Hume）28 MW，已獲規劃核准、預計 2022-Q3 動工、2023 交付，且須 FIRB 核准。Baxtel 標為已運轉（2023 建成、8 個 data hall、Evoenergy 11 kV）。但 STACK 官網地點清單（亞太：Johor Bahru、Melbourne、Osaka、Sydney、Tokyo）不含 Canberra，ACT DA Finder 查無對應資料中心 DA（該資料集多僅索引 2023-11 之後的案件）。是否已建成、是否仍有可租容量無法確認，列為待查線索。</t>
  </si>
  <si>
    <t>https://w.media/stack-infrastructure-partners-with-hickory-for-australian-data-centre-platform/
https://baxtel.com/data-center/stack-canberra</t>
  </si>
  <si>
    <t>EX-161</t>
  </si>
  <si>
    <t>Sustainable Data Resource Pty Ltd 之 Symonston/Jerrabomberra 超級街廓（Bonshaw 地塊）</t>
  </si>
  <si>
    <t>Sustainable Data Resource Pty Ltd（承租人；無營運商資料）</t>
  </si>
  <si>
    <t>722 Canberra Avenue, Jerrabomberra ACT（Block 2233 Jerrabomberra 與 Block 12 Section 111 Symonston；近 Woods Lane；約 56.47 ha）</t>
  </si>
  <si>
    <t>DA 202544243（2025-07-04 提出，仍在審查；2026-09-09 又提出 S168D 修正）擬將地塊切成 7 個超級街廓，並在租約新增約 40 項用途（含 data centre、major electrical sub-station、major electricity storage facility、power generation station 等），目標為輕工業/商業園區。DA 202341949（2024-03-28 核准）已先行在租約加入 communications facility limited to data centre 等用途。沒有任何具體資料中心建築 DA、MW 或營運商，屬土地與用途權利，依規則排除。基地東鄰 HMAS Harman；W.Media（2024-10-12）報導 Stuart Robert 的 Coram Deo Capital 構想在 HMAS Harman 旁私有地蓋資料中心，是否同一地塊未驗證。</t>
  </si>
  <si>
    <t>https://www.planning.act.gov.au/applications-and-assessments/development-applications/browse-das/development-application-details?da-number=202544243
https://dafinder.blob.core.windows.net/dadocuments/DOCs/DEVOUTCOMEREP-202544243-03.pdf
https://www.planning.act.gov.au/applications-and-assessments/development-applications/browse-das/development-application-details?da-number=202341949</t>
  </si>
  <si>
    <t>EX-162</t>
  </si>
  <si>
    <t>其他小型/電信機房（OSM 標註，未深入查證）</t>
  </si>
  <si>
    <t>Telstra Deakin；Vocus TransACT House Dickson；TransACT Telehouse；Iron Mountain；Verizon；Defence 自有設施</t>
  </si>
  <si>
    <t>Deakin；470 Northbourne Avenue, Dickson；34-42 Sheppard Street, Hume；105 Gladstone Street, Fyshwick；Jerrabomberra district 國防用地</t>
  </si>
  <si>
    <t>多為電信交換機房、文件儲存或政府自用設施（Telstra Deakin、Vocus Dickson 為 HCF Strategic Enclave），無 5MW 以上、第三方可租或擴建的公開證據。僅供稽核涵蓋範圍，未逐一查證。</t>
  </si>
  <si>
    <t>https://www.hostingcertification.gov.au/certified-service-providers</t>
  </si>
  <si>
    <t>EX-163</t>
  </si>
  <si>
    <t>DXN Tasmania One（Baxtel：DXN-TAS01）</t>
  </si>
  <si>
    <t>DXN Limited（ASX: DXN）</t>
  </si>
  <si>
    <t>40-50 Innovation Drive, Dowsing Point TAS 7010</t>
  </si>
  <si>
    <t>營運中模組化／colo 設施；Baxtel 標 2.0 MW（聚合器），DatacenterMap 稱每櫃供電約 7 kW；非新建。</t>
  </si>
  <si>
    <t>https://baxtel.com/data-center/dxn-tas01
https://www.datacentermap.com/australia/hobart/tasma-dc2-3/</t>
  </si>
  <si>
    <t>EX-164</t>
  </si>
  <si>
    <t>DXN-TAS01（Hobart colocation，已出售）</t>
  </si>
  <si>
    <t>DXN Limited（ASX: DXN）→ 2026-06-30 起由 DADT 持有</t>
  </si>
  <si>
    <t>40 Innovation Dr（Baxtel 所列；DXN 官網僅稱 Hobart 地區）</t>
  </si>
  <si>
    <t>容量 2 MW 僅來自 Baxtel（聚合器，低可信度）。ARNnet 2026-07-01：DXN 將持有 TAS01 的子公司以最高 A$520,000（現金 A$400,000＋最多 A$120,000 earn-out）售予 DADT，2026-06-30 生效，客戶含 Tasmania 政府機關與企業；屬小型區域 colocation，無擴建計畫。</t>
  </si>
  <si>
    <t>https://www.arnnet.com.au/article/4191379/dxn-exits-tasmania-data-centre-business-in-520k-divestment.html
https://baxtel.com/data-center/dxn-tas01
https://dxn.solutions/</t>
  </si>
  <si>
    <t>EX-165</t>
  </si>
  <si>
    <t>TasmaNet DC3 data centre（Tasmania）</t>
  </si>
  <si>
    <t>TasmaNet</t>
  </si>
  <si>
    <t>TasmaNet 官網自稱「Tasmania 唯一的 Tier 2+ 私營資料中心」，以每個 rack unit 計價的 colocation，頁面未公布地址或 MW。規模屬社區／企業級 colo，推定遠低於 5 MW（此為依計價單位的推定，非公布數字）。</t>
  </si>
  <si>
    <t>https://tasmanet.com.au/products/data-centre/dc3-data-centre</t>
  </si>
  <si>
    <t>EX-166</t>
  </si>
  <si>
    <t>Viridis Burnie data centre</t>
  </si>
  <si>
    <t>Viridis Green Data Centres Limited</t>
  </si>
  <si>
    <t>39-41 Alexander Street, Burnie TAS 7320</t>
  </si>
  <si>
    <t>DCD 2026-04-09 稱獲准興建 1 MW、Burnie CBD、預計 2027 上半年上線；塔州政府 2026-09-08 提交國會文件列為小於 1 MW（Pulse 2026-09-09）。</t>
  </si>
  <si>
    <t>https://www.datacenterdynamics.com/en/news/australias-viridis-gets-approval-for-1mw-tasmania-data-center/
https://pulsetasmania.com.au/news/document-reveals-six-secret-ai-data-centre-proposals-for-tasmania/
https://www.datacentermap.com/australia/burnie/viridis-burnie/
https://baxtel.com/data-center/viridis-burnie-tasmania</t>
  </si>
  <si>
    <t>EX-167</t>
  </si>
  <si>
    <t>Viridis Green Data Centres — Burnie edge data centre</t>
  </si>
  <si>
    <t>39-41 Alexander Street, Burnie TAS 7320（前 The Advocate 印刷中心；地址取自 Baxtel）</t>
  </si>
  <si>
    <t>W.Media 2026-04-09：獲 Burnie City Council 規劃核准，電網取電約 1 MW，Tier III，目標 2027 上半年上線，基地約 1,215 m²，主打政府／國防／產業客戶並配微電網；Baxtel 標示提供 colocation。規模遠低於 5 MW。核准日期與 DA 編號文中未載；Burnie council 現行公告頁已無此案。</t>
  </si>
  <si>
    <t>https://w.media/viridis-secures-approval-for-tasmania-edge-data-centre/
https://baxtel.com/data-center/viridis-burnie-tasmania</t>
  </si>
  <si>
    <t>EX-168</t>
  </si>
  <si>
    <t>42-24 Cambridge 與 42-24 Derwent Park 資料中心</t>
  </si>
  <si>
    <t>42-24 Pty Ltd（TasNetworks 子公司）</t>
  </si>
  <si>
    <t>67 Kennedy Drive, Cambridge TAS 7170；104 Gormanston Road, Moonah TAS 7009</t>
  </si>
  <si>
    <t>TasNetworks Annual Planning Report 2025 確認子公司 42-24 提供電信、IT 與資料中心服務；MW 未公布。Cambridge 站位於 Kennedy Drive，與 DCD 2016-08-16 報導的 Red Cloud A$40m Tier III 計畫地點相同，疑為同一設施但未證實；無 5 MW 以上證據。</t>
  </si>
  <si>
    <t>https://www.datacentermap.com/australia/hobart/
https://www.tasnetworks.com.au/Documents/Manual-documents/Planning-and-upgrades/APR/TasNetworks-Annual-Planning-Report-2025
https://www.datacenterdynamics.com/en/news/tasmanian-data-center-gets-a-step-closer/</t>
  </si>
  <si>
    <t>EX-169</t>
  </si>
  <si>
    <t>Firmus Launceston Stage 2（+300 MW）</t>
  </si>
  <si>
    <t>23 Killafaddy Road, St Leonards TAS 7250（同 TAS-A-01，是否在同一用地未確認）</t>
  </si>
  <si>
    <t>Firmus 與 DCD 2025-09-02 稱 Stage 2 為 300 MW、須取得最終核准；未見任何規劃申請，不符合『已正式提交』門檻，故不列為記錄。</t>
  </si>
  <si>
    <t>https://www.datacenterdynamics.com/en/news/firmus-gets-go-ahead-for-ai-data-center-project-in-launceston-tasmania/
https://firmus.co/newsroom/tasmanian-world-first-ai-factory-zone-clears-path-for-firmus-project-southgate</t>
  </si>
  <si>
    <t>EX-170</t>
  </si>
  <si>
    <t>Hobart 市區小型 colo：TasmaNet DC1、Vocus Data Centre Hobart</t>
  </si>
  <si>
    <t>TasmaNet；Vocus Communications</t>
  </si>
  <si>
    <t>Level 9, 1 Franklin Wharf, Hobart TAS 7000；Level 2, 29 Elizabeth Street, Hobart TAS 7000</t>
  </si>
  <si>
    <t>MW 未公布；為市區辦公大樓內的小型 colo，無任何 5 MW 以上證據（僅聚合器列出）。</t>
  </si>
  <si>
    <t>https://www.datacentermap.com/australia/hobart/</t>
  </si>
  <si>
    <t>EX-171</t>
  </si>
  <si>
    <t>Liberty Bell Bay 舊錳冶煉廠址（Bell Bay）</t>
  </si>
  <si>
    <t>Liberty Bell Bay（已清算）</t>
  </si>
  <si>
    <t>Bell Bay TAS（地址未確定）</t>
  </si>
  <si>
    <t>僅為土地與電力議題：Hydro Tasmania 意見書稱與 Liberty Bell Bay 於 2024-12 簽 10 年能源合約，2025-05 有限度運轉，後進入清算；ABC 稱有 50 MW 概念案對該址表示興趣，無資料中心核准或申請。</t>
  </si>
  <si>
    <t>https://www.parliament.tas.gov.au/__data/assets/pdf_file/0012/112260/152.-Hydro-Tasmania-Submission.pdf
https://www.abc.net.au/news/2026-09-09/six-new-confidential-data-centre-proposals-tasmania-revealed/107131974</t>
  </si>
  <si>
    <t>EX-172</t>
  </si>
  <si>
    <t>Tasmania 六個匿名資料中心構想（州政府 OCG 清單）</t>
  </si>
  <si>
    <t>未公開（Firmus 向 ABC 確認不是這六案的背後業者）</t>
  </si>
  <si>
    <t>ABC 2026-09-09 引述州政府提交議會的文件：有 6 個保密提案，2 個處於 feasibility（已選定偏好場址；其中 1 案需 200–300 MW，位於西北部）、4 個處於 concept（其中 1 案 200–300 MW；1 案 50 MW，對已停產的 Liberty Bell Bay 錳冶煉廠表達興趣），合計至少約 500 MW（此欄 500 為「至少合計」）。業者、地址、申請文件皆未公開，無任何規劃申請，不符合 planned_filed 門檻；因業者身分未知，無法判斷是否可出租，是 Tasmania 日後最可能出現第三方出租供給的線索。建議取得該份議會文件並追蹤西北部各 council 公告。</t>
  </si>
  <si>
    <t>https://www.abc.net.au/news/2026-09-09/six-new-confidential-data-centre-proposals-tasmania-revealed/107131974</t>
  </si>
  <si>
    <t>EX-173</t>
  </si>
  <si>
    <t>匿名提案：5 MW 案（概念）與小於 1 MW 案（暫停）</t>
  </si>
  <si>
    <t>同一份政府文件；5 MW 案處於概念階段、無地址無申請；小於 1 MW 案標示 on hold。</t>
  </si>
  <si>
    <t>https://pulsetasmania.com.au/news/document-reveals-six-secret-ai-data-centre-proposals-for-tasmania/</t>
  </si>
  <si>
    <t>EX-174</t>
  </si>
  <si>
    <t>匿名提案：兩個 50 MW 案（概念階段；其一對 Liberty Bell Bay 舊錳冶煉廠址表示興趣）</t>
  </si>
  <si>
    <t>未公開（其一表達興趣的場址為 Bell Bay 的 Liberty Bell Bay 冶煉廠）</t>
  </si>
  <si>
    <t>概念階段、無申請、無名稱；合計容量依政府文件，經 ABC 與 Pulse 轉述。</t>
  </si>
  <si>
    <t>https://www.abc.net.au/news/2026-09-09/six-new-confidential-data-centre-proposals-tasmania-revealed/107131974
https://pulsetasmania.com.au/news/document-reveals-six-secret-ai-data-centre-proposals-for-tasmania/</t>
  </si>
  <si>
    <t>EX-175</t>
  </si>
  <si>
    <t>匿名提案：塔州西北部 200–300 MW（feasibility 階段，已選定場址）</t>
  </si>
  <si>
    <t>未公開（西北部）</t>
  </si>
  <si>
    <t>塔州政府 2026-09-08 提交國會文件列為 proponent 3–8 之一，容量 200–300 MW，僅知有 north-west 偏好場址；無名稱、無地址、未見任何規劃申請，不符合『已正式提交』門檻。原文件未取得，依 Pulse／ABC 報導。</t>
  </si>
  <si>
    <t>https://pulsetasmania.com.au/news/document-reveals-six-secret-ai-data-centre-proposals-for-tasmania/
https://www.abc.net.au/news/2026-09-09/six-new-confidential-data-centre-proposals-tasmania-revealed/107131974</t>
  </si>
  <si>
    <t>EX-176</t>
  </si>
  <si>
    <t>匿名提案：第二個 200–300 MW 案</t>
  </si>
  <si>
    <t>同一份政府文件；ABC 稱此案處於 feasibility 或較早階段、場址未明；是否與西北部案為同一公司未知；無申請文件。</t>
  </si>
  <si>
    <t>EX-177</t>
  </si>
  <si>
    <t>Charles Darwin University 資料中心（PA2021/0065）</t>
  </si>
  <si>
    <t>Charles Darwin University（規劃顧問 Master Plan NT）</t>
  </si>
  <si>
    <t>Lot 9198 (7) Ellengowan Drive, Brinkin NT 0810</t>
  </si>
  <si>
    <t>NT DCA Darwin Meeting 374（2021-05-21）同意 data centre（PA2021/0065）；到場者含 CDU 人員，推定為大學自用設施（紀錄未明寫用途）；MW 未公布。</t>
  </si>
  <si>
    <t>https://environment.nt.gov.au/media/docs/boards-and-committees/development-consent-authority/dca-minutes/2021/darwin/mindcadar374-21-5-21.PDF</t>
  </si>
  <si>
    <t>EX-178</t>
  </si>
  <si>
    <t>Area9 Darwin</t>
  </si>
  <si>
    <t>Area9</t>
  </si>
  <si>
    <t>20 Catterthun Street, Winnellie NT 0820</t>
  </si>
  <si>
    <t>營運中的小型設施，MW 未公布。依 Baxtel NT 市場頁『NT 最大的資料中心是 NEXTDC D1（1 MW）』推定遠小於 5 MW；此為推定，未獨立核實。；Baxtel NT 市場頁僅列為營運中、MW 0.0／未公布；本次未開啟其個別頁面，也沒有擴建或空置容量證據。</t>
  </si>
  <si>
    <t>https://baxtel.com/data-center/area9-darwin
https://www.datacentermap.com/australia/darwin/area9-data-center/
https://baxtel.com/data-center/northern-territory</t>
  </si>
  <si>
    <t>EX-179</t>
  </si>
  <si>
    <t>DXN Secure Data Centre – Darwin</t>
  </si>
  <si>
    <t>DXN Limited</t>
  </si>
  <si>
    <t>27 Harvey Street, Darwin City NT 0800</t>
  </si>
  <si>
    <t>營運中的小型設施，MW 未公布。依 Baxtel NT 市場頁『NT 最大的資料中心是 NEXTDC D1（1 MW）』推定遠小於 5 MW；此為推定，未獨立核實。</t>
  </si>
  <si>
    <t>https://baxtel.com/data-center/secure-data-centre-darwin
https://baxtel.com/data-center/northern-territory
https://www.datacentermap.com/australia/darwin/</t>
  </si>
  <si>
    <t>EX-180</t>
  </si>
  <si>
    <t>NEXTDC D1 Darwin</t>
  </si>
  <si>
    <t>2 Harvey Street（地段 Lot 9702, 8 Ryko Court）, Darwin City NT 0800</t>
  </si>
  <si>
    <t>已於 2024-08-14 開幕營運（A$80m，Kapitol Group 承建，anchor tenant Vocus）。NEXTDC 官網規格表與設施頁列 D1 = 1 MW IT（3,000 m2），Baxtel 也稱 1 MW 為 NT 最大。開幕新聞稿曾稱 'target capacity of 7MW'、2022 年規劃稱約 8 MW，應為園區（D1+D2）整體目標而非 D1 現有容量。NT DCA 稱 D1 為『the smaller data centre located at 8 Ryko Court approved under DP23/0213』（PA2023/0228，Meeting 408，2023-08-18）。NEXTDC 新聞稿（頁面日期 2025-12-02）稱 D1 取得 Home Affairs HCF 的 Certified Strategic（NT 唯一）。無 &gt;=5 MW 空置容量或擴建證據（擴建即 D2，見 ）。</t>
  </si>
  <si>
    <t>https://www.nextdc.com/data-centres/darwin-data-centres/d2-darwin
https://www.nextdc.com/news/nextdc-opens-80m-data-centre-in-darwin-with-nt-gov-and-vocus-in-major-boost-to-the-regions-growing-digital-economy
https://www.nextdc.com/news/expanding-australias-sovereign-digital-foundations-a1-adelaide-and-d1-darwin-achieve-certified-strategic-status
https://dli.nt.gov.au/__data/assets/pdf_file/0004/1270948/mindcadar408-18-8-23.pdf
https://environment.nt.gov.au/media/docs/boards-and-committees/development-consent-authority/dca-minutes/2025/darwin/mindcadar440-4-4-25_.pdf
https://baxtel.com/data-center/northern-territory</t>
  </si>
  <si>
    <t>EX-181</t>
  </si>
  <si>
    <t>NEXTDC D2 Darwin</t>
  </si>
  <si>
    <t>2-6 Ryko Court, Darwin City NT 0800</t>
  </si>
  <si>
    <t>NEXTDC FY26 簡報（2026-08-27）：D2 僅 1.5 MW 在建，且為新簽海纜客戶專用，不是 5 MW 區塊（站點規劃容量約 6 MW）。</t>
  </si>
  <si>
    <t>EX-182</t>
  </si>
  <si>
    <t>Secure Data Centre - Darwin</t>
  </si>
  <si>
    <t>Secure Data Centre（DCD 2021 稱已被 DXN 收購）</t>
  </si>
  <si>
    <t>27 Harvey Street, Darwin NT（Baxtel）</t>
  </si>
  <si>
    <t>營運中的小型設施：DCD 2021-10-19 描述為 350 m2 地堡、2 個機房、70 機櫃，規模遠小於 5 MW（MW 未公布）。</t>
  </si>
  <si>
    <t>https://baxtel.com/data-center/secure-data-centre-darwin
https://www.datacenterdynamics.com/en/news/dci-data-centers-to-build-10mw-facility-in-darwin-australia</t>
  </si>
  <si>
    <t>EX-183</t>
  </si>
  <si>
    <t>Beetaloo Digital Weddell 資料中心園區（Weddell，NT）</t>
  </si>
  <si>
    <t>Beetaloo Digital（ASX 上市公司 Beetaloo Energy 全資子公司）</t>
  </si>
  <si>
    <t>Weddell NT（達爾文南方約 30 km；185 ha 連續土地，地號未公開）</t>
  </si>
  <si>
    <t>NT 政府 2026-07-22 給予 Beetaloo Digital 為期 12 個月的『not to deal』獨家權（185 ha），Beetaloo Energy 同日發 ASX 公告。2000 MW 是現場燃氣發電容量而非 IT 容量；規劃最多兩個超大規模園區，DCD 稱渲染圖至少四棟資料中心建築，願景投資 A$40bn；公司明講仍需找財團夥伴、完成概念研究並取得政府與監管批准；與 Halliburton 簽的是非約束性 MOU（上游氣源）。查無任何 DA、EIS、EPBC 轉介或 NT EPA 意向書，無租戶，屬『只有土地承諾』。Territory Coordinator 官網有一則『Beetaloo Digital advances plans for Weddell data centre』（被 Cloudflare 擋住，未開啟）。若日後出現 NT EPA 意向書或 EPBC 轉介即可升級為 planned_filed，建議列入觀察名單；獨家權約於 2027-07 到期。</t>
  </si>
  <si>
    <t>https://www.datacenterdynamics.com/en/news/australian-gas-firm-plots-gigawatt-scale-gas-powered-data-center-campus/
https://esdnews.com.au/northern-territory-commits-land-to-gas-backed-data-centre/
https://www.energy-pedia.com/news/australia/beetaloo-energy-launches-beetaloo-digital-and-secures-land-in-the-northern-territory-for-proposed-integrated-power-and-data-centre-developm-204701
https://reneweconomy.com.au/government-backs-disaster-proposal-to-power-hyperscale-data-centre-with-fracked-beetaloo-gas/
https://ntindependent.com.au/nt-government-backs-proposed-2gw-data-centre-at-weddell/
https://territorycoordinator.nt.gov.au/news-and-insights/beetaloo-digital-advances-plans-for-weddell-data-centre</t>
  </si>
  <si>
    <t>EX-184</t>
  </si>
  <si>
    <t>Beetaloo Digital 資料中心＋燃氣發電園區（Weddell）</t>
  </si>
  <si>
    <t>Beetaloo Digital Pty Ltd（Beetaloo Energy Australia Ltd, ASX: BTL 的全資子公司）</t>
  </si>
  <si>
    <t>Weddell NT 0822（185 ha 綠地，距 Darwin 約 30 km；DatacenterMap 標示 Finn Rd, Weddell，座標約 -12.622, 131.002，聚合站推估）</t>
  </si>
  <si>
    <t>2000 MW 是『現場燃氣發電上限（最多 2 GW）』，不是 IT 容量；官方稿稱最多兩個超大規模園區、A$40bn。2026-07-22 NT 政府給予 12 個月排他性 'not to deal' 承諾（Territory Coordinator 頁面 2026-08-05 更新）。ASX 稿載明須先完成概念研究、取得財團夥伴與政府／監管批准，pre-FEED 進行中、無時程。查無任何申請：NT EPA 評估登錄（2026-10-02）、NT DCA Litchfield 會議紀錄（至 Meeting 313，2026-09-16）、NTLIS 公示清單（2026-10-03）皆無。政策風險：聯邦能源部長 Bowen（NT Independent 2026-08-05）稱純燃氣的 NT 資料中心不符國家標準、不得進行；NT Independent 2026-08-26 報導有人呼籲暫停 NT 資料中心審批並公開調查（付費牆，僅見標題）。若日後提出 NT EPA 轉介或 DA，再改列 planned_filed。</t>
  </si>
  <si>
    <t>https://territorycoordinator.nt.gov.au/news-and-insights/beetaloo-digital-advances-plans-for-weddell-data-centre
https://esdnews.com.au/northern-territory-commits-land-to-gas-backed-data-centre/
https://ntindependent.com.au/nt-government-backs-proposed-2gw-data-centre-at-weddell/
https://ntindependent.com.au/bowen-says-gas-only-nt-data-centres-will-not-meet-new-rules-warns-of-federal-action/
https://www.datacenterdynamics.com/en/news/australian-gas-firm-plots-gigawatt-scale-gas-powered-data-center-campus/
https://kalkinemedia.com/au/news/announcements/beetaloo-energy-unveils-beetaloo-digital-subsidiary-and-secures-185-hectare-site-in-northern-territory-for-integrated-gas-power-and-data-centre-project
https://www.datacentermap.com/australia/darwin/beetaloo-digital-campus/</t>
  </si>
  <si>
    <t>EX-185</t>
  </si>
  <si>
    <t>DCI Data Centers DRW01（Darwin Technology Park）</t>
  </si>
  <si>
    <t>DCI Data Centers（Brookfield Asset Management 旗下投資組合公司）</t>
  </si>
  <si>
    <t>Darwin Technology Park, Darwin NT（2.7 ha，可擴至 5 ha；無街道地址；DatacenterMap 搜尋摘要稱 0822 Wishart，未能核實；OSM 的 Wishart 郊區中心點約 -12.4575, 130.9342）</t>
  </si>
  <si>
    <t>2021-10-19 宣布買下 2.7 ha 土地（DCI CEO 原話為購買土地，買斷而非租賃），10 MW IT、Tier III-ready，『subject to development application approval』。其後查無 DA 編號、批准、動工或時程；DCI 官網 Locations 頁的營運與開發中站點完全沒有 Darwin（頁尾標 2024，可能更新較慢）；NTLIS 展示中申請清單（2026-10-03）也沒有此案；Baxtel 標 Planned，其地圖點是達爾文市中心預設點，不可用。因查無提交紀錄，不符 planned_filed。另更正 先前資料：DCI 並非印尼資本，DCD 2021-10-19 與 DCI 官網皆稱其為 Brookfield 旗下公司。若客戶有興趣可直接詢問 DCI 是否仍持有該地並願意 build-to-suit。</t>
  </si>
  <si>
    <t>https://www.datacenterdynamics.com/en/news/dci-data-centers-to-build-10mw-facility-in-darwin-australia
https://itwire.com/business-it-news/data-centres/dci-investment-in-the-top-end-to-build-data-centre-infrastructure
https://www.cyberdaily.au/security/7248-dci-data-centers-unveils-plan-to-build-secure-cloud-edge-data-centre-in-darwin
https://w.media/dci-data-centers-to-build-10mw-data-centre-in-darwin-australia/
https://dcidatacenters.com/locations/
https://baxtel.com/data-center/dci-darwin-drw01</t>
  </si>
  <si>
    <t>EX-186</t>
  </si>
  <si>
    <t>DCI DRW01 Darwin（Darwin Technology Park）</t>
  </si>
  <si>
    <t>DCI Data Centers（Brookfield Infrastructure 旗下投資組合公司，2019-01 起）</t>
  </si>
  <si>
    <t>Darwin Technology Park, Wishart NT 0822（確切地段／門牌未公布；DatacenterMap 座標約 -12.4559, 130.9287，聚合站推估，約為 Wishart 郊區中心）</t>
  </si>
  <si>
    <t>2021-10-19 DCI 宣布購地：2.7 ha、可支撐至多 10 MW IT、Tier III-ready，並有權擴到 5 ha；官方稿明言 'subject to development application approval'。未找到任何 DA／許可：NT DCA 會議紀錄 2021 至 2026-09（Darwin 約 61 份等，見 search_log）無 DCI 或 Darwin Technology Park 案，NTLIS 公示清單（2026-10-03）亦無；DCI 官網（locations、news、about、products，2026-10-03 抓取）已完全不提 Darwin／DRW01（現列 Sydney 01 與 02/03、Adelaide 01/02/03、Canberra 01、Auckland 01/02、Seoul 01），Baxtel／DatacenterMap 僅標 Planned。判斷為停滯或未證實；依規則（無申請不計入）排除。建議直接向 DCI 確認土地是否仍持有。</t>
  </si>
  <si>
    <t>https://www.datacenterdynamics.com/en/news/dci-data-centers-to-build-10mw-facility-in-darwin-australia
https://datacentremagazine.com/data-centres/dci-secures-land-darwin-build-cloud-edge-data-centre
https://dcidatacenters.com/locations/
https://dcidatacenters.com/about/
https://www.datacentermap.com/australia/darwin/dci-darwin-01/
https://baxtel.com/data-center/dci-darwin-drw01</t>
  </si>
  <si>
    <t>EX-187</t>
  </si>
  <si>
    <t>Inligo Networks Darwin Cable Landing Station（Asia Connect Cable ACC-1 登陸站）</t>
  </si>
  <si>
    <t>Inligo Networks</t>
  </si>
  <si>
    <t>1 Conacher Street, Darwin NT 0820（DatacenterMap 拼為 'Conacher Stret'）</t>
  </si>
  <si>
    <t>海纜登陸站，不是可租賃的 MW 級資料中心：Baxtel 稱可登陸 4 條以上海纜、最少 200 個機櫃（AC／DC 電力）；MW 未公布，推估遠低於 5 MW。Baxtel 標示尚未動工（announced）。</t>
  </si>
  <si>
    <t>https://baxtel.com/data-center/inligo-networks-darwin-cls
https://www.datacentermap.com/australia/darwin/</t>
  </si>
  <si>
    <t>EX-188</t>
  </si>
  <si>
    <t>Inligo Networks Darwin 海纜登陸站（CLS）</t>
  </si>
  <si>
    <t>Darwin NT（Baxtel 顯示距 NEXTDC D2 約 1.4 英里）</t>
  </si>
  <si>
    <t>Baxtel 稱 Inligo 正在達爾文建設海纜登陸站，屬網路基礎設施而非可租賃的資料中心；本次未開啟個別頁面。</t>
  </si>
  <si>
    <t>https://baxtel.com/data-center/nextdc-d2-darwin</t>
  </si>
  <si>
    <t>EX-189</t>
  </si>
  <si>
    <t>2 Harvey Street, Darwin City NT 0800（NEXTDC 官網總覽頁另列 8 Ryko Court，見 NT-B-01 的 address_notes）</t>
  </si>
  <si>
    <t>營運中（2024-08 開幕，A$80m）。官網稱設計為 7+ MW Tier IV，但只列已建 IT 容量 1MW+（3,000 m2、1,500 機櫃）；查無公開證據顯示有 5 MW 以上未租出容量或進行中的 5 MW 以上擴建，故不列 operating_with_spare。後續擴建取決於需求，可向 NEXTDC 詢問。錨定租戶 Vocus。</t>
  </si>
  <si>
    <t>https://www.nextdc.com/data-centres/darwin-data-centres/d1-darwin
https://www.nextdc.com/hubfs/240903%20update%20D1%20Tech%20Specs%20final.pdf
https://www.technologydecisions.com.au/content/data-centres/news/nextdc-opens-80m-darwin-data-centre-197367883
https://baxtel.com/data-center/nextdc-d1-darwin</t>
  </si>
  <si>
    <t>EX-190</t>
  </si>
  <si>
    <t>NEXTDC 達爾文第二站址（2022 公告的 15 ha 以上超大規模園區用地）</t>
  </si>
  <si>
    <t>未公開（一則搜尋摘要稱位於 Wishart Estate，未在任何已開啟的來源證實）</t>
  </si>
  <si>
    <t>NEXTDC 2022-03-29 稱已取得第二個達爾文站址（當時稱 D2）超過 15 ha 的權利，規劃為長期超大規模園區，並與 NT 政府及 Land Development Corporation 規劃中。之後沒有 MW、DA、動工或租約資訊；2026 年官網的『D2 Darwin』已改指 CBD 內 6 MW 建物（即 ）。僅有土地、無申請，故排除；這塊地的去向值得向 NEXTDC 追問。</t>
  </si>
  <si>
    <t>https://www.datacenterdynamics.com/en/news/nextdc-details-plans-for-data-center-in-darwin-australia
https://w.media/nextdc-partners-with-the-northern-territory-government-in-australia-to-develop-a-large-data-centre/
https://www.arnnet.com.au/?p=1254916
https://datacenternews.asia/story/nextdc-nt-govt-unveil-data-centre-development-plans</t>
  </si>
  <si>
    <t>來源：所有專案引用的網址</t>
  </si>
  <si>
    <t>分類依網域判斷：.gov.au、規劃入口、區政府網站＝政府；營運商／開發商官網與 ASX 公告＝營運商；產業與新聞媒體＝媒體；聚合網站（Baxtel、DatacenterMap、RenewMap 等）及無法判斷者＝其他。網域不在已知清單時，依代理放入的欄位（政府／營運商／媒體來源）推定。「已讀原文」＝曾列入 opened_sources。</t>
  </si>
  <si>
    <t>分類</t>
  </si>
  <si>
    <t>網域</t>
  </si>
  <si>
    <t>網址</t>
  </si>
  <si>
    <t>引用專案</t>
  </si>
  <si>
    <t>引用專案分級</t>
  </si>
  <si>
    <t>出現欄位</t>
  </si>
  <si>
    <t>已讀原文</t>
  </si>
  <si>
    <t>政府</t>
  </si>
  <si>
    <t>api.apps1.nsw.gov.au</t>
  </si>
  <si>
    <t>https://api.apps1.nsw.gov.au/eplanning/data/v0/OnlineDA</t>
  </si>
  <si>
    <t>是</t>
  </si>
  <si>
    <t>ausnetservices.com.au</t>
  </si>
  <si>
    <t>https://www.ausnetservices.com.au/projects-and-innovation/major-projects/laverton-north-transmission-works</t>
  </si>
  <si>
    <t>VIC-015、VIC-024</t>
  </si>
  <si>
    <t>政府來源、已讀原文來源</t>
  </si>
  <si>
    <t>https://www.ausnetservices.com.au/projects-and-innovation/major-projects/spotswood-underground-electricity-transmission-connection</t>
  </si>
  <si>
    <t>政府來源、媒體來源、已讀原文來源</t>
  </si>
  <si>
    <t>casey-web.t1cloud.com</t>
  </si>
  <si>
    <t>https://casey-web.t1cloud.com/T1PRDefault/WebApps/eProperty/P1/eTrack/eTrackApplicationDetails.aspx?r=P1.WEBGUEST&amp;f=%24P1.ETR.APPDET.VIW&amp;ApplicationId=PA26-0190</t>
  </si>
  <si>
    <t>casey.vic.gov.au</t>
  </si>
  <si>
    <t>https://www.casey.vic.gov.au/news/update-planning-permit-application-data-centre-clyde-north</t>
  </si>
  <si>
    <t>cdn.sanity.io</t>
  </si>
  <si>
    <t>https://cdn.sanity.io/files/q43wife6/production/99214a09587f09192abb37953032135ff09f3d92.pdf</t>
  </si>
  <si>
    <t>cmtedd.act.gov.au</t>
  </si>
  <si>
    <t>https://www.cmtedd.act.gov.au/open_government/inform/act_government_media_releases/barr/2026/providing-a-clear-framework-for-data-centres-in-the-act</t>
  </si>
  <si>
    <t>dafinder.blob.core.windows.net</t>
  </si>
  <si>
    <t>https://dafinder.blob.core.windows.net/dadocuments/DOCs/APP-202645149-04.pdf</t>
  </si>
  <si>
    <t>https://dafinder.blob.core.windows.net/dadocuments/DOCs/DEVOUTCOMEREP-202443633-01.pdf</t>
  </si>
  <si>
    <t>https://dafinder.blob.core.windows.net/dadocuments/DOCs/DEVOUTCOMEREP-202443633-S205E-01.pdf</t>
  </si>
  <si>
    <t>https://dafinder.blob.core.windows.net/dadocuments/DOCs/DEVOUTCOMEREP-202645149-01.pdf</t>
  </si>
  <si>
    <t>https://dafinder.blob.core.windows.net/dadocuments/DOCs/ENVSIGNIFICANCE-202645149-01.pdf</t>
  </si>
  <si>
    <t>https://dafinder.blob.core.windows.net/dadocuments/DOCs/ESO-202645149-APPLICATION_FORM-01.pdf</t>
  </si>
  <si>
    <t>https://dafinder.blob.core.windows.net/dadocuments/DOCs/NOISEREPORT-202645149-01.pdf</t>
  </si>
  <si>
    <t>https://dafinder.blob.core.windows.net/dadocuments/DOCs/NOTICEOFDECISION-202443633-S205D-SIGNED.pdf</t>
  </si>
  <si>
    <t>https://dafinder.blob.core.windows.net/dadocuments/DOCs/NOTICEOFDECISION-202443633-S205E-SIGNED.pdf</t>
  </si>
  <si>
    <t>https://dafinder.blob.core.windows.net/dadocuments/DOCs/NOTICEOFDECISION-202443633-SIGNED.pdf</t>
  </si>
  <si>
    <t>https://dafinder.blob.core.windows.net/dadocuments/DOCs/NOTICEOFDECISION-202645149-SIGNED.pdf</t>
  </si>
  <si>
    <t>https://dafinder.blob.core.windows.net/dadocuments/DOCs/SUPP-202443633-INFRASTRUCTURE_REPORT-01.pdf</t>
  </si>
  <si>
    <t>https://dafinder.blob.core.windows.net/dadocuments/DOCs/SUPP-202443633-STATEMENT-01.pdf</t>
  </si>
  <si>
    <t>https://dafinder.blob.core.windows.net/dadocuments/DOCs/TRAFFICREPORT-202645149-01.pdf</t>
  </si>
  <si>
    <t>defencesa.com</t>
  </si>
  <si>
    <t>否</t>
  </si>
  <si>
    <t>developmenti.wdrc.qld.gov.au</t>
  </si>
  <si>
    <t>djsir.vic.gov.au</t>
  </si>
  <si>
    <t>https://djsir.vic.gov.au/news-and-articles/cdcs-data-centres-fueling-jobs-and-growth-in-the-west</t>
  </si>
  <si>
    <t>VIC-001、VIC-011</t>
  </si>
  <si>
    <t>主清單、觀察名單 (出租性待確認)</t>
  </si>
  <si>
    <t>ehume.hume.vic.gov.au</t>
  </si>
  <si>
    <t>https://ehume.hume.vic.gov.au/T1PRProd/WebApps/eProperty/P1/eTrack/eTrackApplicationDetails.aspx?ApplicationId=P26624&amp;f=%24P1.ETR.APPDET.VIW&amp;r=P1.HCC.WEBGUEST</t>
  </si>
  <si>
    <t>epbcpublicportal.environment.gov.au</t>
  </si>
  <si>
    <t>https://epbcpublicportal.environment.gov.au/_entity/sharepointdocumentlocation/5c72ac54-e89c-f111-b8db-70a8a5564bc0/2ab10dab-d681-4911-b881-cc99413f07b6?file=00-2026-10605+Referral.pdf</t>
  </si>
  <si>
    <t>https://epbcpublicportal.environment.gov.au/all-referrals/project-referral-summary/?id=f4f8aae0-956b-f111-ab0b-000d3aca9bcb</t>
  </si>
  <si>
    <t>geo.abs.gov.au</t>
  </si>
  <si>
    <t>https://geo.abs.gov.au/arcgis/rest/services/ASGS2021/LGA/MapServer/0/query</t>
  </si>
  <si>
    <t>georgetown.tas.gov.au</t>
  </si>
  <si>
    <t>https://georgetown.tas.gov.au/volumes/documents/Shared/Council-Meetings/2026/08.-August-2026/2026-08-25-Ordinary-Council-Meeting-Agenda.pdf</t>
  </si>
  <si>
    <t>https://georgetown.tas.gov.au/volumes/documents/Shared/Council-Meetings/2026/08.-August-2026/2026-08-25-Ordinary-Council-Meeting-Confirmed-Minutes-Public-Copy.pdf</t>
  </si>
  <si>
    <t>industry.gov.au</t>
  </si>
  <si>
    <t>https://www.industry.gov.au/sites/default/files/aip/2026-09/mel02-building-a-aipp-summary.pdf</t>
  </si>
  <si>
    <t>invest.vic.gov.au</t>
  </si>
  <si>
    <t>https://www.invest.vic.gov.au/news-and-events/news/2026/march/cdc-data-centres-officially-opens-its-first-melbourne-campus-expanding-its-ability-to-deliver-secure-and-sustainable-solutions</t>
  </si>
  <si>
    <t>latrobe.tas.gov.au</t>
  </si>
  <si>
    <t>https://www.latrobe.tas.gov.au/notice-board/latest-news/call-for-stronger-framework-for-ai-data-centres</t>
  </si>
  <si>
    <t>https://www.latrobe.tas.gov.au/notice-board/latest-news/proposed-ai-data-centre-wesley-vale</t>
  </si>
  <si>
    <t>https://www.latrobe.tas.gov.au/services/building-and-planning-services/planningapp</t>
  </si>
  <si>
    <t>majorprojects.planningportal.nsw.gov.au</t>
  </si>
  <si>
    <t>https://majorprojects.planningportal.nsw.gov.au/prweb/PRRestService/mp/01/getContent?AttachRef=PDA-100709964%2120260329T220047.132+GMT</t>
  </si>
  <si>
    <t>https://majorprojects.planningportal.nsw.gov.au/prweb/PRRestService/mp/01/getContent?AttachRef=PDA-102095472%2120260312T005913.750+GMT</t>
  </si>
  <si>
    <t>https://majorprojects.planningportal.nsw.gov.au/prweb/PRRestService/mp/01/getContent?AttachRef=PDA-105602456%2120260306T053125.861+GMT</t>
  </si>
  <si>
    <t>https://majorprojects.planningportal.nsw.gov.au/prweb/PRRestService/mp/01/getContent?AttachRef=PDA-107168706%2120260409T032440.056+GMT</t>
  </si>
  <si>
    <t>https://majorprojects.planningportal.nsw.gov.au/prweb/PRRestService/mp/01/getContent?AttachRef=PDA-126361990%2120260713T012616.739+GMT</t>
  </si>
  <si>
    <t>https://majorprojects.planningportal.nsw.gov.au/prweb/PRRestService/mp/01/getContent?AttachRef=PDA-128187739%2120260616T074612.162+GMT</t>
  </si>
  <si>
    <t>https://majorprojects.planningportal.nsw.gov.au/prweb/PRRestService/mp/01/getContent?AttachRef=PDA-132889488%2120260916T080733.975+GMT</t>
  </si>
  <si>
    <t>https://majorprojects.planningportal.nsw.gov.au/prweb/PRRestService/mp/01/getContent?AttachRef=PDA-137556738%2120260806T061124.974+GMT</t>
  </si>
  <si>
    <t>https://majorprojects.planningportal.nsw.gov.au/prweb/PRRestService/mp/01/getContent?AttachRef=PDA-76301215%2120241023T043841.777+GMT</t>
  </si>
  <si>
    <t>https://majorprojects.planningportal.nsw.gov.au/prweb/PRRestService/mp/01/getContent?AttachRef=PDA-79878476%2120250209T213959.321+GMT</t>
  </si>
  <si>
    <t>https://majorprojects.planningportal.nsw.gov.au/prweb/PRRestService/mp/01/getContent?AttachRef=PDA-81670721%2120250328T083256.004+GMT</t>
  </si>
  <si>
    <t>NSW-004、NSW-033</t>
  </si>
  <si>
    <t>https://majorprojects.planningportal.nsw.gov.au/prweb/PRRestService/mp/01/getContent?AttachRef=PDA-88817956%2120250728T071939.077+GMT</t>
  </si>
  <si>
    <t>https://majorprojects.planningportal.nsw.gov.au/prweb/PRRestService/mp/01/getContent?AttachRef=PDA-90331213%2120250818T033632.818+GMT</t>
  </si>
  <si>
    <t>https://majorprojects.planningportal.nsw.gov.au/prweb/PRRestService/mp/01/getContent?AttachRef=PDA-95012491%2120250926T033914.129+GMT</t>
  </si>
  <si>
    <t>NSW-002、NSW-021</t>
  </si>
  <si>
    <t>https://majorprojects.planningportal.nsw.gov.au/prweb/PRRestService/mp/01/getContent?AttachRef=SSD-101067971%2120260528T060715.082+GMT</t>
  </si>
  <si>
    <t>https://majorprojects.planningportal.nsw.gov.au/prweb/PRRestService/mp/01/getContent?AttachRef=SSD-102795459%2120251222T014859.011+GMT</t>
  </si>
  <si>
    <t>https://majorprojects.planningportal.nsw.gov.au/prweb/PRRestService/mp/01/getContent?AttachRef=SSD-108835458%2120260409T072028.589+GMT</t>
  </si>
  <si>
    <t>https://majorprojects.planningportal.nsw.gov.au/prweb/PRRestService/mp/01/getContent?AttachRef=SSD-108835458%2120260831T062154.327+GMT</t>
  </si>
  <si>
    <t>https://majorprojects.planningportal.nsw.gov.au/prweb/PRRestService/mp/01/getContent?AttachRef=SSD-112059740%2120260820T022208.882+GMT</t>
  </si>
  <si>
    <t>https://majorprojects.planningportal.nsw.gov.au/prweb/PRRestService/mp/01/getContent?AttachRef=SSD-113934740%2120260831T070615.862+GMT</t>
  </si>
  <si>
    <t>https://majorprojects.planningportal.nsw.gov.au/prweb/PRRestService/mp/01/getContent?AttachRef=SSD-128819490%2120260714T063731.206+GMT</t>
  </si>
  <si>
    <t>https://majorprojects.planningportal.nsw.gov.au/prweb/PRRestService/mp/01/getContent?AttachRef=SSD-128819490%2120260831T062516.442+GMT</t>
  </si>
  <si>
    <t>https://majorprojects.planningportal.nsw.gov.au/prweb/PRRestService/mp/01/getContent?AttachRef=SSD-133677993%2120260831T070108.748+GMT</t>
  </si>
  <si>
    <t>https://majorprojects.planningportal.nsw.gov.au/prweb/PRRestService/mp/01/getContent?AttachRef=SSD-21342738%2120230901T061348.447+GMT</t>
  </si>
  <si>
    <t>https://majorprojects.planningportal.nsw.gov.au/prweb/PRRestService/mp/01/getContent?AttachRef=SSD-21342738-MOD-2%2120260812T003248.610+GMT</t>
  </si>
  <si>
    <t>https://majorprojects.planningportal.nsw.gov.au/prweb/PRRestService/mp/01/getContent?AttachRef=SSD-24299707%2120231127T020928.161+GMT</t>
  </si>
  <si>
    <t>https://majorprojects.planningportal.nsw.gov.au/prweb/PRRestService/mp/01/getContent?AttachRef=SSD-24299707-MOD-1%2120241219T224421.352+GMT</t>
  </si>
  <si>
    <t>https://majorprojects.planningportal.nsw.gov.au/prweb/PRRestService/mp/01/getContent?AttachRef=SSD-24299707-PA-22%2120260723T112244.245+GMT</t>
  </si>
  <si>
    <t>https://majorprojects.planningportal.nsw.gov.au/prweb/PRRestService/mp/01/getContent?AttachRef=SSD-41589232%2120230915T074128.135+GMT</t>
  </si>
  <si>
    <t>https://majorprojects.planningportal.nsw.gov.au/prweb/PRRestService/mp/01/getContent?AttachRef=SSD-41589232-MOD-2%2120260828T070329.740+GMT</t>
  </si>
  <si>
    <t>https://majorprojects.planningportal.nsw.gov.au/prweb/PRRestService/mp/01/getContent?AttachRef=SSD-41589232-PA-14%2120240822T035712.620+GMT</t>
  </si>
  <si>
    <t>https://majorprojects.planningportal.nsw.gov.au/prweb/PRRestService/mp/01/getContent?AttachRef=SSD-53338465%2120241216T034941.727+GMT</t>
  </si>
  <si>
    <t>https://majorprojects.planningportal.nsw.gov.au/prweb/PRRestService/mp/01/getContent?AttachRef=SSD-63168959%2120240711T064100.786+GMT</t>
  </si>
  <si>
    <t>https://majorprojects.planningportal.nsw.gov.au/prweb/PRRestService/mp/01/getContent?AttachRef=SSD-63235720%2120260611T061649.742+GMT</t>
  </si>
  <si>
    <t>https://majorprojects.planningportal.nsw.gov.au/prweb/PRRestService/mp/01/getContent?AttachRef=SSD-63741210%2120251224T003217.140+GMT</t>
  </si>
  <si>
    <t>https://majorprojects.planningportal.nsw.gov.au/prweb/PRRestService/mp/01/getContent?AttachRef=SSD-66777221%2120250411T063539.397+GMT</t>
  </si>
  <si>
    <t>https://majorprojects.planningportal.nsw.gov.au/prweb/PRRestService/mp/01/getContent?AttachRef=SSD-66777221-MOD-2%2120260414T055621.028+GMT</t>
  </si>
  <si>
    <t>https://majorprojects.planningportal.nsw.gov.au/prweb/PRRestService/mp/01/getContent?AttachRef=SSD-66777221-PA-5%2120250529T050113.400+GMT</t>
  </si>
  <si>
    <t>https://majorprojects.planningportal.nsw.gov.au/prweb/PRRestService/mp/01/getContent?AttachRef=SSD-67407231%2120251009T033248.267+GMT</t>
  </si>
  <si>
    <t>https://majorprojects.planningportal.nsw.gov.au/prweb/PRRestService/mp/01/getContent?AttachRef=SSD-67407231-PA-2%2120260804T071034.216+GMT</t>
  </si>
  <si>
    <t>https://majorprojects.planningportal.nsw.gov.au/prweb/PRRestService/mp/01/getContent?AttachRef=SSD-69223466%2120260724T063200.298+GMT</t>
  </si>
  <si>
    <t>https://majorprojects.planningportal.nsw.gov.au/prweb/PRRestService/mp/01/getContent?AttachRef=SSD-69637456%2120251223T231353.781+GMT</t>
  </si>
  <si>
    <t>https://majorprojects.planningportal.nsw.gov.au/prweb/PRRestService/mp/01/getContent?AttachRef=SSD-69637456-PA-4%2120260908T051808.581+GMT</t>
  </si>
  <si>
    <t>https://majorprojects.planningportal.nsw.gov.au/prweb/PRRestService/mp/01/getContent?AttachRef=SSD-70889211%2120251128T050853.709+GMT</t>
  </si>
  <si>
    <t>https://majorprojects.planningportal.nsw.gov.au/prweb/PRRestService/mp/01/getContent?AttachRef=SSD-70889211-PA-21%2120260612T050533.584+GMT</t>
  </si>
  <si>
    <t>https://majorprojects.planningportal.nsw.gov.au/prweb/PRRestService/mp/01/getContent?AttachRef=SSD-70889211-PA-23%2120260722T061549.935+GMT</t>
  </si>
  <si>
    <t>https://majorprojects.planningportal.nsw.gov.au/prweb/PRRestService/mp/01/getContent?AttachRef=SSD-71368959%2120251222T223948.276+GMT</t>
  </si>
  <si>
    <t>https://majorprojects.planningportal.nsw.gov.au/prweb/PRRestService/mp/01/getContent?AttachRef=SSD-74069708%2120260903T232908.106+GMT</t>
  </si>
  <si>
    <t>https://majorprojects.planningportal.nsw.gov.au/prweb/PRRestService/mp/01/getContent?AttachRef=SSD-80018208%2120250624T053649.263+GMT</t>
  </si>
  <si>
    <t>https://majorprojects.planningportal.nsw.gov.au/prweb/PRRestService/mp/01/getContent?AttachRef=SSD-80814238%2120261002T063830.858+GMT</t>
  </si>
  <si>
    <t>https://majorprojects.planningportal.nsw.gov.au/prweb/PRRestService/mp/01/getContent?AttachRef=SSD-81928961%2120260623T233326.415+GMT</t>
  </si>
  <si>
    <t>https://majorprojects.planningportal.nsw.gov.au/prweb/PRRestService/mp/01/getContent?AttachRef=SSD-82211208%2120251111T070105.391+GMT</t>
  </si>
  <si>
    <t>https://majorprojects.planningportal.nsw.gov.au/prweb/PRRestService/mp/01/getContent?AttachRef=SSD-92743706%2120260204T015908.828+GMT</t>
  </si>
  <si>
    <t>nsw.gov.au</t>
  </si>
  <si>
    <t>https://www.nsw.gov.au/ministerial-releases/data-centre-investment-sustainable-development</t>
  </si>
  <si>
    <t>NSW-023、NSW-031</t>
  </si>
  <si>
    <t>ntepa.nt.gov.au</t>
  </si>
  <si>
    <t>https://ntepa.nt.gov.au/__data/assets/pdf_file/0003/1622280/notice-of-decision-ep2026-052-project-ares.pdf</t>
  </si>
  <si>
    <t>https://ntepa.nt.gov.au/__data/assets/pdf_file/0014/1622102/referral-form.pdf</t>
  </si>
  <si>
    <t>https://ntepa.nt.gov.au/__data/assets/pdf_file/0015/1622103/referral-report.pdf</t>
  </si>
  <si>
    <t>https://ntepa.nt.gov.au/__data/assets/pdf_file/0019/1622107/project-ares-draft-sor.pdf</t>
  </si>
  <si>
    <t>https://ntepa.nt.gov.au/news/2026/public-comment-is-sought-on-new-referral-project-ares</t>
  </si>
  <si>
    <t>https://ntepa.nt.gov.au/your-business/public-registers/environmental-impact-assessments-register</t>
  </si>
  <si>
    <t>https://ntepa.nt.gov.au/your-business/public-registers/environmental-impact-assessments-register/assessments-in-progress-register/project-ares</t>
  </si>
  <si>
    <t>parliament.act.gov.au</t>
  </si>
  <si>
    <t>https://www.parliament.act.gov.au/__data/assets/pdf_file/0011/3110060/QTON-080-Answer-CED-ACT-data-centres-energy-consumption-CLAY.pdf</t>
  </si>
  <si>
    <t>parliament.tas.gov.au</t>
  </si>
  <si>
    <t>https://parliament.tas.gov.au/__data/assets/pdf_file/0012/110730/2026-08-13-ProfRazay.pdf</t>
  </si>
  <si>
    <t>https://www.parliament.tas.gov.au/__data/assets/pdf_file/0008/112220/100.-Latrobe-Council.pdf</t>
  </si>
  <si>
    <t>https://www.parliament.tas.gov.au/__data/assets/pdf_file/0009/112212/102.-Kentish-Council.pdf</t>
  </si>
  <si>
    <t>https://www.parliament.tas.gov.au/__data/assets/pdf_file/0010/112231/120.-Firmus-combined.pdf</t>
  </si>
  <si>
    <t>TAS-001、TAS-002</t>
  </si>
  <si>
    <t>https://www.parliament.tas.gov.au/__data/assets/pdf_file/0012/110064/Aurora-Energy-Media-Release-Firmus-Technologies-25-March-2026_Redacted.pdf</t>
  </si>
  <si>
    <t>https://www.parliament.tas.gov.au/__data/assets/pdf_file/0012/112260/152.-Hydro-Tasmania-Submission.pdf</t>
  </si>
  <si>
    <t>TAS-001、TAS-002、TAS-003</t>
  </si>
  <si>
    <t>planning.act.gov.au</t>
  </si>
  <si>
    <t>https://www.planning.act.gov.au/__data/assets/pdf_file/0015/3063102/ESO202600012-Beard-Proposed-Data-Centre-Development-Beard-2.pdf</t>
  </si>
  <si>
    <t>https://www.planning.act.gov.au/applications-and-assessments/development-applications/browse-das/development-application-details?da-number=202443633</t>
  </si>
  <si>
    <t>https://www.planning.act.gov.au/applications-and-assessments/development-applications/browse-das/development-application-details?da-number=202443633&amp;amendment-version=</t>
  </si>
  <si>
    <t>https://www.planning.act.gov.au/applications-and-assessments/development-applications/browse-das/development-application-details?da-number=202645149</t>
  </si>
  <si>
    <t>https://www.planning.act.gov.au/applications-and-assessments/development-applications/browse-das/development-application-details?da-number=202645149&amp;amendment-version=</t>
  </si>
  <si>
    <t>planning.vic.gov.au</t>
  </si>
  <si>
    <t>https://planning.vic.gov.au/planning-approvals/ministerial-permits-register/ministerial-permits/1b31ed89-8d2e-ef11-840a-000d3acb3ea1</t>
  </si>
  <si>
    <t>https://www.planning.vic.gov.au/planning-approvals/ministerial-permits-register</t>
  </si>
  <si>
    <t>VIC-008、VIC-009、VIC-010、VIC-016、VIC-021、VIC-022、VIC-023、VIC-024、VIC-025、VIC-028</t>
  </si>
  <si>
    <t>https://www.planning.vic.gov.au/planning-approvals/ministerial-permits-register/ministerial-permits/1113a299-b13f-f111-88b4-7c1e5262e60a</t>
  </si>
  <si>
    <t>https://www.planning.vic.gov.au/planning-approvals/ministerial-permits-register/ministerial-permits/14c42f63-3f54-f111-bec6-6045bdc28ba0</t>
  </si>
  <si>
    <t>https://www.planning.vic.gov.au/planning-approvals/ministerial-permits-register/ministerial-permits/1b31ed89-8d2e-ef11-840a-000d3acb3ea1</t>
  </si>
  <si>
    <t>https://www.planning.vic.gov.au/planning-approvals/ministerial-permits-register/ministerial-permits/1ea17bd8-75be-ef11-b8e8-002248938a9c</t>
  </si>
  <si>
    <t>https://www.planning.vic.gov.au/planning-approvals/ministerial-permits-register/ministerial-permits/25f85ea1-feba-f111-aaad-6045bdc28ea6</t>
  </si>
  <si>
    <t>https://www.planning.vic.gov.au/planning-approvals/ministerial-permits-register/ministerial-permits/4b779b5c-ef96-f111-8075-7ced8d33fb5a</t>
  </si>
  <si>
    <t>https://www.planning.vic.gov.au/planning-approvals/ministerial-permits-register/ministerial-permits/5615befd-9bb3-f011-bbd2-7ced8d337ed8</t>
  </si>
  <si>
    <t>https://www.planning.vic.gov.au/planning-approvals/ministerial-permits-register/ministerial-permits/62cc5b40-f5b5-f011-bbd2-7ced8d337ed8</t>
  </si>
  <si>
    <t>https://www.planning.vic.gov.au/planning-approvals/ministerial-permits-register/ministerial-permits/6bac05e8-144c-404a-b7b2-b9e5445cb849</t>
  </si>
  <si>
    <t>https://www.planning.vic.gov.au/planning-approvals/ministerial-permits-register/ministerial-permits/739c637a-54d6-42c8-a673-5c590bae387a</t>
  </si>
  <si>
    <t>https://www.planning.vic.gov.au/planning-approvals/ministerial-permits-register/ministerial-permits/76685df6-baaf-f011-bbd2-6045bdc32df2</t>
  </si>
  <si>
    <t>https://www.planning.vic.gov.au/planning-approvals/ministerial-permits-register/ministerial-permits/8acfef7f-1ab6-f111-aaac-000d3acbdfba</t>
  </si>
  <si>
    <t>https://www.planning.vic.gov.au/planning-approvals/ministerial-permits-register/ministerial-permits/975c57aa-6b34-f111-88b4-7c1e5262e513</t>
  </si>
  <si>
    <t>https://www.planning.vic.gov.au/planning-approvals/ministerial-permits-register/ministerial-permits/aae82a26-d98b-f111-ab0f-6045bde5e09b</t>
  </si>
  <si>
    <t>https://www.planning.vic.gov.au/planning-approvals/ministerial-permits-register/ministerial-permits/ca1e707a-7260-f111-a826-70a8a554a5c4</t>
  </si>
  <si>
    <t>https://www.planning.vic.gov.au/planning-approvals/ministerial-permits-register/ministerial-permits/e46a98dc-8d47-f111-bec6-7c1e5262e60a</t>
  </si>
  <si>
    <t>VIC-012、VIC-029</t>
  </si>
  <si>
    <t>https://www.planning.vic.gov.au/planning-approvals/ministerial-permits-register/ministerial-permits/fb678cb2-1784-4883-932a-4fdca25a480a</t>
  </si>
  <si>
    <t>https://www.planning.vic.gov.au/planning-approvals/ministerial-permits-register/ministerial-permits/fcb0d877-0b98-ef11-8a68-002248938a9c</t>
  </si>
  <si>
    <t>https://www.planning.vic.gov.au/planning-approvals/ministerial-permits-register/ministerial-permits/fdc8d827-6b74-f111-ab0f-7c1e522a8afb</t>
  </si>
  <si>
    <t>planning.wa.gov.au</t>
  </si>
  <si>
    <t>https://www.planning.wa.gov.au/development-assessment-panels/current-development-assessment-panels-applications-and-information</t>
  </si>
  <si>
    <t>https://www.planning.wa.gov.au/development-assessment-panels/daps-agendas-and-minutes/metro-outer-agenda-and-minutes</t>
  </si>
  <si>
    <t>https://www.planning.wa.gov.au/docs/default-source/daps-docs-other/current-applications.pdf</t>
  </si>
  <si>
    <t>https://www.planning.wa.gov.au/docs/default-source/daps-docs-website/current-applications.pdf?sfvrsn=ebbf7a78_310</t>
  </si>
  <si>
    <t>https://www.planning.wa.gov.au/docs/default-source/daps/agenda---no-102---city-of-gosnells.pdf?sfvrsn=36d5cb68_1</t>
  </si>
  <si>
    <t>https://www.planning.wa.gov.au/docs/default-source/daps/minutes---no-102---city-of-gosnells.pdf?sfvrsn=9164d69f_1</t>
  </si>
  <si>
    <t>https://www.planning.wa.gov.au/docs/default-source/daps/related-information---no-102---part-b---city-of-gosnells.pdf?sfvrsn=f47a3ead_1</t>
  </si>
  <si>
    <t>planningportal.nsw.gov.au</t>
  </si>
  <si>
    <t>https://www.planningportal.nsw.gov.au/major-projects/projects/1-5-khartoum-road-data-centre</t>
  </si>
  <si>
    <t>https://www.planningportal.nsw.gov.au/major-projects/projects/22-oriordan-street-alexandria-data-centre</t>
  </si>
  <si>
    <t>https://www.planningportal.nsw.gov.au/major-projects/projects/23-25-waterloo-road-data-centre</t>
  </si>
  <si>
    <t>https://www.planningportal.nsw.gov.au/major-projects/projects/51-huntingwood-drive-data-centre</t>
  </si>
  <si>
    <t>https://www.planningportal.nsw.gov.au/major-projects/projects/51-huntingwood-drive-data-centre-mod-2-design-updates</t>
  </si>
  <si>
    <t>https://www.planningportal.nsw.gov.au/major-projects/projects/aldington-road-data-centre</t>
  </si>
  <si>
    <t>https://www.planningportal.nsw.gov.au/major-projects/projects/apollo-place-data-centre</t>
  </si>
  <si>
    <t>https://www.planningportal.nsw.gov.au/major-projects/projects/ashfords-road-data-centre-gregadoo</t>
  </si>
  <si>
    <t>https://www.planningportal.nsw.gov.au/major-projects/projects/brookhollow-avenue-data-centre-expansion-norwest</t>
  </si>
  <si>
    <t>https://www.planningportal.nsw.gov.au/major-projects/projects/digico-syd1-data-centre-expansion</t>
  </si>
  <si>
    <t>https://www.planningportal.nsw.gov.au/major-projects/projects/digico-syd1-dc-mod-1-minor-design-refinements</t>
  </si>
  <si>
    <t>https://www.planningportal.nsw.gov.au/major-projects/projects/eastern-creek-data-centre-expansion-project</t>
  </si>
  <si>
    <t>https://www.planningportal.nsw.gov.au/major-projects/projects/eastern-creek-data-centre-mod-2-power-consumption-increase</t>
  </si>
  <si>
    <t>https://www.planningportal.nsw.gov.au/major-projects/projects/frederick-street-data-centre</t>
  </si>
  <si>
    <t>https://www.planningportal.nsw.gov.au/major-projects/projects/grand-avenue-data-centre-expansion-rosehill</t>
  </si>
  <si>
    <t>https://www.planningportal.nsw.gov.au/major-projects/projects/julius-avenue-data-centre</t>
  </si>
  <si>
    <t>https://www.planningportal.nsw.gov.au/major-projects/projects/kc1-data-centre-kemps-creek</t>
  </si>
  <si>
    <t>https://www.planningportal.nsw.gov.au/major-projects/projects/kurri-kurri-data-centre</t>
  </si>
  <si>
    <t>https://www.planningportal.nsw.gov.au/major-projects/projects/lanceley-place-data-centre-artarmon</t>
  </si>
  <si>
    <t>https://www.planningportal.nsw.gov.au/major-projects/projects/lane-cove-west-data-centre-mod-4-apdc-inclusion</t>
  </si>
  <si>
    <t>https://www.planningportal.nsw.gov.au/major-projects/projects/mamre-road-data-centre-campus</t>
  </si>
  <si>
    <t>https://www.planningportal.nsw.gov.au/major-projects/projects/mars-road-data-centre</t>
  </si>
  <si>
    <t>https://www.planningportal.nsw.gov.au/major-projects/projects/marsden-park-data-centre</t>
  </si>
  <si>
    <t>https://www.planningportal.nsw.gov.au/major-projects/projects/nextdc-s4-data-centre-horsley-park</t>
  </si>
  <si>
    <t>https://www.planningportal.nsw.gov.au/major-projects/projects/nextdc-s4-data-centre-phase-2-horsley-park</t>
  </si>
  <si>
    <t>https://www.planningportal.nsw.gov.au/major-projects/projects/nextdc-s4-horsley-park-mod-2-acoustic-barrier-amendments</t>
  </si>
  <si>
    <t>https://www.planningportal.nsw.gov.au/major-projects/projects/nextdc-s4-modification-1-design-modifications</t>
  </si>
  <si>
    <t>https://www.planningportal.nsw.gov.au/major-projects/projects/nextdc-s5-data-centre-and-innovation-hub</t>
  </si>
  <si>
    <t>https://www.planningportal.nsw.gov.au/major-projects/projects/nextdc-s7-data-centre-eastern-creek</t>
  </si>
  <si>
    <t>https://www.planningportal.nsw.gov.au/major-projects/projects/project-apollo-data-centre-macquarie-park</t>
  </si>
  <si>
    <t>https://www.planningportal.nsw.gov.au/major-projects/projects/project-atlas-data-centre-eastern-creek</t>
  </si>
  <si>
    <t>https://www.planningportal.nsw.gov.au/major-projects/projects/project-duke-data-centre</t>
  </si>
  <si>
    <t>https://www.planningportal.nsw.gov.au/major-projects/projects/project-pluto-data-centre</t>
  </si>
  <si>
    <t>https://www.planningportal.nsw.gov.au/major-projects/projects/road-1-data-centre</t>
  </si>
  <si>
    <t>https://www.planningportal.nsw.gov.au/major-projects/projects/southern-highlands-data-campus-power-station</t>
  </si>
  <si>
    <t>https://www.planningportal.nsw.gov.au/major-projects/projects/stack-syd01-data-centre-erskine-park</t>
  </si>
  <si>
    <t>https://www.planningportal.nsw.gov.au/major-projects/projects/talavera-road-data-centre-campus-expansion</t>
  </si>
  <si>
    <t>https://www.planningportal.nsw.gov.au/major-projects/projects/talavera-road-data-centre-mod-1-expansion</t>
  </si>
  <si>
    <t>https://www.planningportal.nsw.gov.au/planning-panel/1-5-khartoum-road-concept-da</t>
  </si>
  <si>
    <t>https://www.planningportal.nsw.gov.au/planning-panel/alterations-and-additions-existing-data-centre</t>
  </si>
  <si>
    <t>https://www.planningportal.nsw.gov.au/planning-panel/canberra-data-centre</t>
  </si>
  <si>
    <t>https://www.planningportal.nsw.gov.au/planning-panel/data-centre-4</t>
  </si>
  <si>
    <t>records.brimbank.vic.gov.au</t>
  </si>
  <si>
    <t>VIC-001、VIC-002、VIC-006、VIC-007、VIC-014</t>
  </si>
  <si>
    <t>renewalsa.sa.gov.au</t>
  </si>
  <si>
    <t>https://renewalsa.sa.gov.au/projects/technology-park-adelaide</t>
  </si>
  <si>
    <t>services1.arcgis.com</t>
  </si>
  <si>
    <t>https://services1.arcgis.com/E5n4f1VY84i0xSjy/arcgis/rest/services/ACTGOV_DAFINDER_LIST_VIEW/FeatureServer/0/query</t>
  </si>
  <si>
    <t>ACT-001、ACT-002</t>
  </si>
  <si>
    <t>sftpbspomppprod01.blob.core.windows.net</t>
  </si>
  <si>
    <t>https://sftpbspomppprod01.blob.core.windows.net/applicationfiles/1113a299-b13f-f111-88b4-7c1e5262e60a_ADV04%20-%20PA2604362-300-340%20Barry%20Road%20Campbellfield-Town%20Planning%20Report.pdf</t>
  </si>
  <si>
    <t>https://sftpbspomppprod01.blob.core.windows.net/applicationfiles/14c42f63-3f54-f111-bec6-6045bdc28ba0_ADV%204%20-%20PA2604419-413%20Francis%20Street%20Brooklyn-Cover%20Letter-200526.pdf</t>
  </si>
  <si>
    <t>https://sftpbspomppprod01.blob.core.windows.net/applicationfiles/14c42f63-3f54-f111-bec6-6045bdc28ba0_ADV%205%20-%20PA2604419-413%20Francis%20Street%20Brooklyn-Planning%20Report-200526.pdf</t>
  </si>
  <si>
    <t>https://sftpbspomppprod01.blob.core.windows.net/applicationfiles/1b31ed89-8d2e-ef11-840a-000d3acb3ea1_PA2402997-525%20MCDONALDS%20ROAD%20SOUTH%20MORANG%20-%20Officer%20Report%20-%20FINAL.pdf</t>
  </si>
  <si>
    <t>https://sftpbspomppprod01.blob.core.windows.net/applicationfiles/1ea17bd8-75be-ef11-b8e8-002248938a9c_PA2403452%20-%2085%20Sharps%20Road,%20Tullamarine%20-%20Officer%20Report%20-%20REDACTED.pdf</t>
  </si>
  <si>
    <t>https://sftpbspomppprod01.blob.core.windows.net/applicationfiles/5615befd-9bb3-f011-bbd2-7ced8d337ed8_PA2504032-1%20Oroya%20Drive%20Truganina%20-%20DTP%20Planning%20Assessment-Officer%20Report.pdf</t>
  </si>
  <si>
    <t>https://sftpbspomppprod01.blob.core.windows.net/applicationfiles/5615befd-9bb3-f011-bbd2-7ced8d337ed8_PA2504032-1%20Oroya%20Drive%20Truganina%20-%20Form%204.pdf</t>
  </si>
  <si>
    <t>https://sftpbspomppprod01.blob.core.windows.net/applicationfiles/6bac05e8-144c-404a-b7b2-b9e5445cb849_C269hume%20-PA2302143%20-%20140-204%20Western%20Avenue%20Westmeadows%20-%20Data%20Centre%20-%20Form%209%20-%20APPROVAL%20FINAL%20.pdf</t>
  </si>
  <si>
    <t>https://sftpbspomppprod01.blob.core.windows.net/applicationfiles/76685df6-baaf-f011-bbd2-6045bdc32df2_REDACTED_PA2504019%20Officer%20Report%20-%20Signed%2016-01-26.pdf</t>
  </si>
  <si>
    <t>https://sftpbspomppprod01.blob.core.windows.net/applicationfiles/fcb0d877-0b98-ef11-8a68-002248938a9c_DTP%20Planning%20Assessment-Officer%20Report%20-%20PA2403320%20-%2063%20Sunshine%20Road%20West%20Footscray.pdf%20-%20Redacted.pdf</t>
  </si>
  <si>
    <t>https://sftpbspomppprod01.blob.core.windows.net/applicationfiles/fcb0d877-0b98-ef11-8a68-002248938a9c_Planning%20Permit%20-%20PA2403320%20-%2063%20Sunshine%20Road%20West%20Footscray.pdf</t>
  </si>
  <si>
    <t>statedevelopment.sa.gov.au</t>
  </si>
  <si>
    <t>https://statedevelopment.sa.gov.au/downloads/data-centre-crown-sponsorship-form</t>
  </si>
  <si>
    <t>statements.qld.gov.au</t>
  </si>
  <si>
    <t>https://statements.qld.gov.au/statements/100095</t>
  </si>
  <si>
    <t>https://statements.qld.gov.au/statements/95682</t>
  </si>
  <si>
    <t>territorycoordinator.nt.gov.au</t>
  </si>
  <si>
    <t>https://territorycoordinator.nt.gov.au/news-and-insights/beetaloo-digital-advances-plans-for-weddell-data-centre</t>
  </si>
  <si>
    <t>aap.com.au</t>
  </si>
  <si>
    <t>營運商來源、已讀原文來源</t>
  </si>
  <si>
    <t>airtrunk.com</t>
  </si>
  <si>
    <t>https://airtrunk.com/airtrunk-expands-australian-platform-with-a-second-hyperscale-data-centre-campus-in-melbourne/</t>
  </si>
  <si>
    <t>VIC-002、VIC-007</t>
  </si>
  <si>
    <t>https://airtrunk.com/data-centres/mel1/</t>
  </si>
  <si>
    <t>https://airtrunk.com/data-centres/mel2/</t>
  </si>
  <si>
    <t>https://airtrunk.com/location/mel1-melbourne/</t>
  </si>
  <si>
    <t>https://airtrunk.com/location/mel2-melbourne/</t>
  </si>
  <si>
    <t>announcements.asx.com.au</t>
  </si>
  <si>
    <t>https://announcements.asx.com.au/asxpdf/20260220/pdf/06wj5yyhn754y6.pdf</t>
  </si>
  <si>
    <t>https://announcements.asx.com.au/asxpdf/20260326/pdf/06xtcw1cnqqc5p.pdf</t>
  </si>
  <si>
    <t>https://announcements.asx.com.au/asxpdf/20260505/pdf/06z8f5lpdqcb57.pdf</t>
  </si>
  <si>
    <t>https://announcements.asx.com.au/asxpdf/20260526/pdf/06zymgqsx9p9y5.pdf</t>
  </si>
  <si>
    <t>https://announcements.asx.com.au/asxpdf/20260821/pdf/073136jvdkgcx0.pdf</t>
  </si>
  <si>
    <t>https://announcements.asx.com.au/asxpdf/20260821/pdf/07313ph24n944h.pdf</t>
  </si>
  <si>
    <t>https://announcements.asx.com.au/asxpdf/20260821/pdf/07313trvmvdpsb.pdf</t>
  </si>
  <si>
    <t>https://announcements.asx.com.au/asxpdf/20260916/pdf/074490wlf78g7n.pdf</t>
  </si>
  <si>
    <t>au.goodman.com</t>
  </si>
  <si>
    <t>cdc.com</t>
  </si>
  <si>
    <t>https://cdc.com/au/canberra</t>
  </si>
  <si>
    <t>https://cdc.com/locations/perth/</t>
  </si>
  <si>
    <t>WA-001、WA-002</t>
  </si>
  <si>
    <t>https://cdc.com/locations/perth/hazelmere/</t>
  </si>
  <si>
    <t>https://cdc.com/locations/perth/maddington/</t>
  </si>
  <si>
    <t>https://cdc.com/media/4y2fcog4/maddington-project-update-september-2026.pdf</t>
  </si>
  <si>
    <t>https://cdc.com/media/v2detpiy/cdc-hazelmere-community-update_sep-2026.pdf</t>
  </si>
  <si>
    <t>https://cdc.com/resources/news/cdc-announces-landmark-plan-to-drive-ai-and-advanced-technology-deployments-in-western-australia/</t>
  </si>
  <si>
    <t>https://cdc.com/resources/news/cdc-brings-27bn-groundbreaking-opportunity-to-melbournes-south-west/</t>
  </si>
  <si>
    <t>https://cdc.com/resources/news/cdc-welcomes-act-governments-data-centre-framework-development/</t>
  </si>
  <si>
    <t>https://www.cdc.com/locations/perth/hazelmere/</t>
  </si>
  <si>
    <t>https://www.cdc.com/maddington</t>
  </si>
  <si>
    <t>cdc.com.au</t>
  </si>
  <si>
    <t>https://www.cdc.com.au/locations/sydney-and-regional-nsw/marsden-park/</t>
  </si>
  <si>
    <t>https://www.cdc.com.au/resources/news/cdc-data-centres-breaks-ground-on-new-state-of-the-art-data-centre-development-in-marsden-park-industrial-precinct/</t>
  </si>
  <si>
    <t>cdn-api.markitdigital.com</t>
  </si>
  <si>
    <t>https://cdn.sanity.io/files/q43wife6/production/78b5aa5a9b063a28510338ea87d12d2e79319892.pdf</t>
  </si>
  <si>
    <t>https://cdn.sanity.io/files/q43wife6/production/f83cc940db9392a3e22304614085d6091ac71bcb.pdf</t>
  </si>
  <si>
    <t>cloudcarrier.com</t>
  </si>
  <si>
    <t>https://cloudcarrier.com/</t>
  </si>
  <si>
    <t>https://cloudcarrier.com/campus/</t>
  </si>
  <si>
    <t>https://cloudcarrier.com/contact-us/</t>
  </si>
  <si>
    <t>https://cloudcarrier.com/db1/</t>
  </si>
  <si>
    <t>dcidatacenters.com</t>
  </si>
  <si>
    <t>https://dcidatacenters.com/</t>
  </si>
  <si>
    <t>https://dcidatacenters.com/locations/</t>
  </si>
  <si>
    <t>https://dcidatacenters.com/news/adelaide-new-digital-infrastructure/</t>
  </si>
  <si>
    <t>https://www.dcidatacenters.com/locations/</t>
  </si>
  <si>
    <t>https://www.dcidatacenters.com/news/adelaide-new-digital-infrastructure/</t>
  </si>
  <si>
    <t>https://www.dcidatacenters.com/news/adl02-launch/</t>
  </si>
  <si>
    <t>digi-co.com.au</t>
  </si>
  <si>
    <t>https://www.digi-co.com.au/location/adelaide-adl1/</t>
  </si>
  <si>
    <t>energy-north.com</t>
  </si>
  <si>
    <t>https://energy-north.com/</t>
  </si>
  <si>
    <t>https://energy-north.com/project-ares-your-questions-answered/</t>
  </si>
  <si>
    <t>https://energy-north.com/projects/project-ares/</t>
  </si>
  <si>
    <t>energynorth.com.au</t>
  </si>
  <si>
    <t>https://www.energynorth.com.au</t>
  </si>
  <si>
    <t>firmus.co</t>
  </si>
  <si>
    <t>https://firmus.co/bell-bay-industrial-precinct-ai-factory-project</t>
  </si>
  <si>
    <t>https://firmus.co/infrastructure/southgate</t>
  </si>
  <si>
    <t>https://firmus.co/newsroom/firmus-signs-multi-year-agreement-with-global-hyperscale-customer-at-project-southgate</t>
  </si>
  <si>
    <t>https://firmus.co/newsroom/firmus-technologies-expands-regional-ai-access-through-nvidia-dgx-cloud-lepton</t>
  </si>
  <si>
    <t>https://firmus.co/newsroom/tasmanian-world-first-ai-factory-zone-clears-path-for-firmus-project-southgate</t>
  </si>
  <si>
    <t>https://firmus.co/ourcommitments/tasmaniancommunity</t>
  </si>
  <si>
    <t>https://firmus.co/project-southgate-faqs</t>
  </si>
  <si>
    <t>https://firmus.co/wesley-vale-ai-factory-project</t>
  </si>
  <si>
    <t>greensquaredc.com</t>
  </si>
  <si>
    <t>https://greensquaredc.com/locations/</t>
  </si>
  <si>
    <t>https://www.greensquaredc.com/locations</t>
  </si>
  <si>
    <t>hickory.com.au</t>
  </si>
  <si>
    <t>https://www.hickory.com.au/project/mel01cd-2/</t>
  </si>
  <si>
    <t>hmccapital.com.au</t>
  </si>
  <si>
    <t>https://www.hmccapital.com.au/investment-strategies/digital-infrastructure/digico-infrastructure-reit/financial-reports-presentations/dgt-appendix-4e-and-fy26-financial-report/</t>
  </si>
  <si>
    <t>https://www.hmccapital.com.au/investment-strategies/digital-infrastructure/digico-infrastructure-reit/financial-reports-presentations/dgt-fy25-results-presentation/</t>
  </si>
  <si>
    <t>https://www.hmccapital.com.au/investment-strategies/digital-infrastructure/digico-infrastructure-reit/financial-reports-presentations/dgt-fy26-results-presentation/</t>
  </si>
  <si>
    <t>https://www.hmccapital.com.au/investment-strategies/digital-infrastructure/digico-infrastructure-reit/financial-reports-presentations/digico-platform-update/</t>
  </si>
  <si>
    <t>https://www.hmccapital.com.au/investment-strategies/digital-infrastructure/digico-infrastructure-reit/financial-reports-presentations/hy26-results-presentation/</t>
  </si>
  <si>
    <t>infratil.com</t>
  </si>
  <si>
    <t>https://infratil.com/for-investors/financial-reports/annual-report-2026/</t>
  </si>
  <si>
    <t>investorpa.com</t>
  </si>
  <si>
    <t>https://investorpa.com/announcement-pdf/20260821/330767.pdf</t>
  </si>
  <si>
    <t>https://investorpa.com/announcement-pdf/20260916/343864.pdf</t>
  </si>
  <si>
    <t>iren.com</t>
  </si>
  <si>
    <t>https://iren.com/data-centers/bundey</t>
  </si>
  <si>
    <t>iren.gcs-web.com</t>
  </si>
  <si>
    <t>https://iren.gcs-web.com/news-releases/news-release-details/iren-announces-first-australian-data-center-campus-800mw-south</t>
  </si>
  <si>
    <t>kapitol.com</t>
  </si>
  <si>
    <t>https://www.kapitol.com/insights/project-news/project-update-m3-stage-2-and-4</t>
  </si>
  <si>
    <t>營運商來源、媒體來源、已讀原文來源</t>
  </si>
  <si>
    <t>https://www.kapitol.com/our-projects/industrial/nextdc-m2-data-centre-portfolio-2</t>
  </si>
  <si>
    <t>linesight.com</t>
  </si>
  <si>
    <t>newsroom.equinix.com</t>
  </si>
  <si>
    <t>nextcapital.com.au</t>
  </si>
  <si>
    <t>nextdc.com</t>
  </si>
  <si>
    <t>https://www.nextdc.com/data-centres/m3-melbourne-data-centre</t>
  </si>
  <si>
    <t>VIC-012、VIC-013</t>
  </si>
  <si>
    <t>https://www.nextdc.com/news/asx-release-1h26-record-results</t>
  </si>
  <si>
    <t>VIC-012、VIC-013、VIC-014</t>
  </si>
  <si>
    <t>https://www.nextdc.com/news/its-all-systems-go-victoria-nextdc-unveils-plans-150mw-hyperscale-campus-melbournes-west</t>
  </si>
  <si>
    <t>https://www.nextdc.com/news/m4-technology-campus-approved</t>
  </si>
  <si>
    <t>https://www.nextdc.com/news/nextdc-announces-2-billion-ai-factory-and-technology-campus-at-fishermans-bend</t>
  </si>
  <si>
    <t>pv-magazine-australia.com</t>
  </si>
  <si>
    <t>https://www.pv-magazine-australia.com/press-releases/iren-announces-first-australian-data-centre-campus-800-mw-in-south-australia/</t>
  </si>
  <si>
    <t>quinbrook.com</t>
  </si>
  <si>
    <t>https://www.quinbrook.com/?p=1283</t>
  </si>
  <si>
    <t>https://www.quinbrook.com/?p=1898</t>
  </si>
  <si>
    <t>https://www.quinbrook.com/?p=2719</t>
  </si>
  <si>
    <t>https://www.quinbrook.com/portfolio-companies/supernode/</t>
  </si>
  <si>
    <t>https://www.quinbrook.com/portfolio/supernode/</t>
  </si>
  <si>
    <t>stackinfra.com</t>
  </si>
  <si>
    <t>https://www.stackinfra.com/about/news-press/press-releases/stack-infrastructure-secures-aud-1-3-billion-in-green-financing-to-accelerate-expansion-of-mel01-hyperscale-campus-in-melbourne/</t>
  </si>
  <si>
    <t>https://www.stackinfra.com/locations/asia-pacific/melbourne/mel01/</t>
  </si>
  <si>
    <t>supernode.com.au</t>
  </si>
  <si>
    <t>https://supernode.com.au/project/metro-dc/</t>
  </si>
  <si>
    <t>https://supernode.com.au/project/sunshine-dc/</t>
  </si>
  <si>
    <t>vantage-dc.com</t>
  </si>
  <si>
    <t>https://vantage-dc.com/data-center-locations/apac/melbourne-australia/</t>
  </si>
  <si>
    <t>https://vantage-dc.com/data-centers/melbourne/</t>
  </si>
  <si>
    <t>westerndownsdigitalpark.com.au</t>
  </si>
  <si>
    <t>https://www.westerndownsdigitalpark.com.au/</t>
  </si>
  <si>
    <t>媒體</t>
  </si>
  <si>
    <t>abc.net.au</t>
  </si>
  <si>
    <t>https://www.abc.net.au/news/2026-06-09/firefighter-concern-over-data-centres-in-melbourne-west/106762858</t>
  </si>
  <si>
    <t>VIC-013、VIC-018</t>
  </si>
  <si>
    <t>媒體來源、已讀原文來源</t>
  </si>
  <si>
    <t>https://www.abc.net.au/news/2026-06-15/firmus-ai-company-tasmania-biggest-power-user-three-sites/106783142</t>
  </si>
  <si>
    <t>https://www.abc.net.au/news/2026-06-19/proposed-data-centre-in-south-australia-dividing-locals/106810776</t>
  </si>
  <si>
    <t>https://www.abc.net.au/news/2026-06-23/sa-push-for-ai-data-centres-in-sa-in-new-strategy/106830536</t>
  </si>
  <si>
    <t>https://www.abc.net.au/news/2026-07-03/firmus-ai-data-centres-is-tasmania-ready/106869862</t>
  </si>
  <si>
    <t>https://www.abc.net.au/news/2026-08-13/councils-grapple-with-data-centre-applications/107029724</t>
  </si>
  <si>
    <t>https://www.abc.net.au/news/2026-08-24/plans-for-australia-largest-data-centre-in-regional-queensland/107071624</t>
  </si>
  <si>
    <t>https://www.abc.net.au/news/2026-08-26/proposal-to-turn-former-ford-factory-into-giant-data-centre/107075906</t>
  </si>
  <si>
    <t>https://www.abc.net.au/news/2026-08-30/ai-data-centre-tasmania-firmus-technology-george-town/107089468</t>
  </si>
  <si>
    <t>https://www.abc.net.au/news/2026-09-04/hydro-tasmania-assess-firmus-450-mw-energy-request/107116852</t>
  </si>
  <si>
    <t>https://www.abc.net.au/news/2026-09-14/western-downs-digital-park-data-centre-energy-queensland/107115082</t>
  </si>
  <si>
    <t>https://www.abc.net.au/news/2026-09-15/firmus-technologies-lodge-tascat-appeal-for-generator-use/107144572</t>
  </si>
  <si>
    <t>https://www.abc.net.au/news/2026-09-16/queensland-data-centre-anthropic-dalby/107160640</t>
  </si>
  <si>
    <t>https://www.abc.net.au/news/2026-09-26/firmus-starts-development-work-without-permit-wesley-vale/107198264</t>
  </si>
  <si>
    <t>https://www.abc.net.au/news/2026-10-02/qld-state-to-take-data-centre-approvals-from-local-councils/107221348</t>
  </si>
  <si>
    <t>afr.com</t>
  </si>
  <si>
    <t>https://www.afr.com/companies/financial-services/iren-plans-10-billion-south-australian-ai-data-centre-20260603-p603o9</t>
  </si>
  <si>
    <t>altenergy.com.au</t>
  </si>
  <si>
    <t>https://altenergy.com.au/newsandviews/show/168/rocky-path-ahead-for-data-centre-regulation</t>
  </si>
  <si>
    <t>archive.is</t>
  </si>
  <si>
    <t>https://archive.is/20260211071111/https://www.afr.com/property/commercial/new-york-funds-giant-to-pour-1-2b-into-melbourne-data-centre-20260211-p5o1es</t>
  </si>
  <si>
    <t>bebeez.eu</t>
  </si>
  <si>
    <t>https://bebeez.eu/2026/07/20/fujitsu-sells-australian-data-center-business-to-next-capital/</t>
  </si>
  <si>
    <t>https://bebeez.eu/2026/09/07/goodman-group-gets-green-light-for-135mw-data-center-in-northern-sydney-australia/</t>
  </si>
  <si>
    <t>https://bebeez.eu/2026/09/30/australias-cdc-plans-gigawatt-scale-data-center-campus-in-wagga-wagga/</t>
  </si>
  <si>
    <t>begadistrictnews.com.au</t>
  </si>
  <si>
    <t>https://begadistrictnews.com.au/story/9344073/cdc-data-centres-unveil-jerrabomberra-stage-2-ahead-of-new-rules</t>
  </si>
  <si>
    <t>brisbanedevelopment.com.au</t>
  </si>
  <si>
    <t>https://brisbanedevelopment.com.au/anthropic-zerra-dc-western-downs-digital-park-32-billion-data-centre-dalby/</t>
  </si>
  <si>
    <t>businessnews.com.au</t>
  </si>
  <si>
    <t>https://www.businessnews.com.au/article/Maddington-s-415m-data-centre-approved</t>
  </si>
  <si>
    <t>canberratimes.com.au</t>
  </si>
  <si>
    <t>https://www.canberratimes.com.au/story/9344073/cdc-data-centres-unveil-jerrabomberra-stage-2-ahead-of-new-rules/</t>
  </si>
  <si>
    <t>cfotech.com.au</t>
  </si>
  <si>
    <t>https://cfotech.com.au/story/dci-data-centers-to-build-400m-facility-in-sydney</t>
  </si>
  <si>
    <t>charterhall.com.au</t>
  </si>
  <si>
    <t>https://www.charterhall.com.au/tarneit</t>
  </si>
  <si>
    <t>climatecouncil.org.au</t>
  </si>
  <si>
    <t>https://www.climatecouncil.org.au/resources/six-reasons-proposed-project-ares-data-centre-big-alarm-bells/</t>
  </si>
  <si>
    <t>couriermail.com.au</t>
  </si>
  <si>
    <t>https://www.couriermail.com.au/news/queensland/qld-politics/anthropicbacked-western-downs-data-centre-set-to-blow-out-state-energy-forecasts/news-story/2d147b9690710e78675a61af2dc82dcc</t>
  </si>
  <si>
    <t>cranbournenews.starcommunity.com.au</t>
  </si>
  <si>
    <t>https://cranbournenews.starcommunity.com.au/news/2026-09-30/clyde-north-data-centres-power-demand-revealed/</t>
  </si>
  <si>
    <t>crn.com.au</t>
  </si>
  <si>
    <t>https://www.crn.com.au/news/2026/data-centre/airtrunk-new-melbourne-location-mel2</t>
  </si>
  <si>
    <t>datacenterdynamics.com</t>
  </si>
  <si>
    <t>https://datacenterdynamics.com/en/news/airtrunk-acquires-site-in-melbourne-australia-for-354mw-data-center</t>
  </si>
  <si>
    <t>https://datacenterdynamics.com/en/news/plans-filed-for-400mw-data-center-campus-outside-melbourne-australia</t>
  </si>
  <si>
    <t>https://www.datacenterdynamics.com/en/news/airtrunk-acquires-site-in-melbourne-australia-for-354mw-data-center/</t>
  </si>
  <si>
    <t>https://www.datacenterdynamics.com/en/news/application-filed-for-200mw-data-center-in-melbourne-australia/</t>
  </si>
  <si>
    <t>VIC-008、VIC-009</t>
  </si>
  <si>
    <t>https://www.datacenterdynamics.com/en/news/au11-billion-data-center-project-proposed-outside-melbourne-australia/</t>
  </si>
  <si>
    <t>VIC-010、VIC-020、VIC-028</t>
  </si>
  <si>
    <t>https://www.datacenterdynamics.com/en/news/australias-cdc-opens-data-center-campus-in-melbourne/</t>
  </si>
  <si>
    <t>https://www.datacenterdynamics.com/en/news/australias-cdc-plans-200mw-data-center-campus-outside-perth/</t>
  </si>
  <si>
    <t>https://www.datacenterdynamics.com/en/news/australias-greensquare-expands-into-melbourne-with-240mw-campus/</t>
  </si>
  <si>
    <t>https://www.datacenterdynamics.com/en/news/blackrocks-gip-and-acs-name-data-center-joint-venture-coravel-sign-customer-in-texas/</t>
  </si>
  <si>
    <t>https://www.datacenterdynamics.com/en/news/centuria-eyes-250mw-of-data-center-capacity-in-australia/</t>
  </si>
  <si>
    <t>https://www.datacenterdynamics.com/en/news/centuria-plans-40mw-data-center-in-melbourne-australia/</t>
  </si>
  <si>
    <t>https://www.datacenterdynamics.com/en/news/data-center-planned-for-former-woolstore-in-west-melbourne-australia/</t>
  </si>
  <si>
    <t>https://www.datacenterdynamics.com/en/news/dci-acquires-land-for-third-adelaide-data-center/</t>
  </si>
  <si>
    <t>https://www.datacenterdynamics.com/en/news/firmus-gets-go-ahead-for-ai-data-center-project-in-launceston-tasmania/</t>
  </si>
  <si>
    <t>https://www.datacenterdynamics.com/en/news/firmus-targets-288mw-data-campus-in-tasmania/</t>
  </si>
  <si>
    <t>https://www.datacenterdynamics.com/en/news/fujitsu-sells-australian-data-center-business-to-next-capital/</t>
  </si>
  <si>
    <t>https://www.datacenterdynamics.com/en/news/gigawatt-scale-behind-the-meter-data-center-campus-proposed-in-australias-northern-territories/</t>
  </si>
  <si>
    <t>https://www.datacenterdynamics.com/en/news/goodman-files-to-build-90mw-data-center-on-eaton-warehouse-site-in-sydney-australia/</t>
  </si>
  <si>
    <t>https://www.datacenterdynamics.com/en/news/nextdc-receives-development-approval-for-m4-campus-in-melbourne-australia/</t>
  </si>
  <si>
    <t>https://www.datacenterdynamics.com/en/news/plans-filed-for-10-story-data-center-outside-brisbane-australia/</t>
  </si>
  <si>
    <t>https://www.datacenterdynamics.com/en/news/plans-filed-for-400mw-data-center-campus-outside-melbourne-australia/</t>
  </si>
  <si>
    <t>https://www.datacenterdynamics.com/en/news/quinbrook-to-build-17-billion-data-center-2gwh-battery-storage-in-queensland-australia/</t>
  </si>
  <si>
    <t>VIC-004、VIC-005</t>
  </si>
  <si>
    <t>https://www.datacenterdynamics.com/en/news/starwood-doma-and-telstra-plan-62mw-data-center-in-sydney/</t>
  </si>
  <si>
    <t>https://www.datacenterdynamics.com/en/news/stockland-files-to-develop-250mw-data-center-campus-in-melbourne-australia/</t>
  </si>
  <si>
    <t>https://www.datacenterdynamics.com/en/news/stockland-files-to-develop-another-data-center-in-melbourne-australia/</t>
  </si>
  <si>
    <t>VIC-023、VIC-024</t>
  </si>
  <si>
    <t>https://www.datacenterdynamics.com/en/news/zerra-dc-files-to-build-six-building-data-center-campus-in-melbourne-australia/</t>
  </si>
  <si>
    <t>datacentremagazine.com</t>
  </si>
  <si>
    <t>https://datacentremagazine.com/data-centres/dci-commits-8-mw-high-security-data-centre-adelaide</t>
  </si>
  <si>
    <t>datacentremoratorium.net</t>
  </si>
  <si>
    <t>https://datacentremoratorium.net/index.php/Resources:ACS_Truganina</t>
  </si>
  <si>
    <t>https://datacentremoratorium.net/index.php/Resources:AirTrunk_MEL2</t>
  </si>
  <si>
    <t>https://datacentremoratorium.net/index.php/Resources:AirTrunk_Mickleham</t>
  </si>
  <si>
    <t>https://datacentremoratorium.net/index.php/Resources:CDC_Brooklyn_Campus</t>
  </si>
  <si>
    <t>https://datacentremoratorium.net/index.php/Resources:CDC_Laverton_Campus</t>
  </si>
  <si>
    <t>https://datacentremoratorium.net/index.php/Resources:Campbellfield_Zerra_DC</t>
  </si>
  <si>
    <t>https://datacentremoratorium.net/index.php/Resources:Centuria_Clayton</t>
  </si>
  <si>
    <t>https://datacentremoratorium.net/index.php/Resources:Dover_SM1A</t>
  </si>
  <si>
    <t>https://datacentremoratorium.net/index.php/Resources:Goodman_Truganina</t>
  </si>
  <si>
    <t>https://datacentremoratorium.net/index.php/Resources:GreenSquareDC_MEL1</t>
  </si>
  <si>
    <t>https://datacentremoratorium.net/index.php/Resources:MAB_Westmeadows</t>
  </si>
  <si>
    <t>https://datacentremoratorium.net/index.php/Resources:NEXTDC_M3</t>
  </si>
  <si>
    <t>https://datacentremoratorium.net/index.php/Resources:PGIM_Truganina</t>
  </si>
  <si>
    <t>https://datacentremoratorium.net/index.php/Resources:Perri_Melbourne_Data_Centre_(PMDC)</t>
  </si>
  <si>
    <t>https://datacentremoratorium.net/index.php/Resources:STACK_MEL01_Campus</t>
  </si>
  <si>
    <t>https://datacentremoratorium.net/index.php/Resources:STACK_MEL02_Campus</t>
  </si>
  <si>
    <t>https://datacentremoratorium.net/index.php/Resources:STACK_MEL03_Campus</t>
  </si>
  <si>
    <t>https://datacentremoratorium.net/index.php/Resources:Stockland_Brooklyn</t>
  </si>
  <si>
    <t>https://datacentremoratorium.net/index.php/Resources:Stockland_Laverton_North</t>
  </si>
  <si>
    <t>https://datacentremoratorium.net/index.php/Resources:Unknown_Clyde_North</t>
  </si>
  <si>
    <t>https://datacentremoratorium.net/index.php/Resources:Vantage_MEL1</t>
  </si>
  <si>
    <t>echonewspaper.com.au</t>
  </si>
  <si>
    <t>https://echonewspaper.com.au/news/community-engagement-begins-for-new-hazelmere-data-centre/</t>
  </si>
  <si>
    <t>https://echonewspaper.com.au/news/swan-backs-data-centre-policy-push/</t>
  </si>
  <si>
    <t>energy-storage.news</t>
  </si>
  <si>
    <t>https://www.energy-storage.news/energy-north-submits-1gw-off-grid-hyperscale-data-centre-with-16gwh-of-battery-storage-to-australias-epbc-act/</t>
  </si>
  <si>
    <t>esdnews.com.au</t>
  </si>
  <si>
    <t>https://esdnews.com.au/northern-territory-commits-land-to-gas-backed-data-centre/</t>
  </si>
  <si>
    <t>fool.com.au</t>
  </si>
  <si>
    <t>https://www.fool.com.au/2026/08/21/digico-infrastructure-reit-posts-fy26-earnings-beat-outlines-expansion-plans/</t>
  </si>
  <si>
    <t>geoffbrock.com.au</t>
  </si>
  <si>
    <t>https://www.geoffbrock.com.au/2026/08/iren-community-drop-in-sessions-bundey-data-centre/</t>
  </si>
  <si>
    <t>global-infra.com</t>
  </si>
  <si>
    <t>https://www.global-infra.com/news/acs-is-joined-by-global-infrastructure-partners-to-launch-a-global-data-center-development-platform-with-initial-1-7-gw-portfolio/</t>
  </si>
  <si>
    <t>greenstreetnews.com</t>
  </si>
  <si>
    <t>https://greenstreetnews.com/article/motorsports-champion-joins-the-data-centre-race-in-ipswich/</t>
  </si>
  <si>
    <t>indailysa.com.au</t>
  </si>
  <si>
    <t>https://www.indailysa.com.au/news/archive/2021/08/30/new-data-centres-to-boost-sas-it-capacity</t>
  </si>
  <si>
    <t>irei.com</t>
  </si>
  <si>
    <t>https://irei.com/news/stockland-swaps-warehouses-for-2b-melbourne-data-center/</t>
  </si>
  <si>
    <t>itbrief.com.au</t>
  </si>
  <si>
    <t>https://itbrief.com.au/story/anthropic-leases-first-stage-of-queensland-data-campus</t>
  </si>
  <si>
    <t>https://itbrief.com.au/story/digico-posts-strong-fy25-results-with-aud-99m-ebitda-gains-key-certification</t>
  </si>
  <si>
    <t>itnews.com.au</t>
  </si>
  <si>
    <t>https://www.itnews.com.au/news/anthropic-signs-first-australia-data-centre-agreement-628972</t>
  </si>
  <si>
    <t>itwire.com</t>
  </si>
  <si>
    <t>https://itwire.com/business-it-news/data-centres/dci-data-centre-constructs-new-centre-in-south-australia</t>
  </si>
  <si>
    <t>https://itwire.com/it-industry-news/deals/firmus-signs-multi-year-agreement-with-global-hyperscale-customer-202603020801.html</t>
  </si>
  <si>
    <t>mab.com.au</t>
  </si>
  <si>
    <t>https://www.mab.com.au/projects/business-parks/haystone/</t>
  </si>
  <si>
    <t>maribyrnonghobsonsbay.starweekly.com.au</t>
  </si>
  <si>
    <t>https://maribyrnonghobsonsbay.starweekly.com.au/news/data-centre-bosss-application-intervention-rejection/</t>
  </si>
  <si>
    <t>mingtiandi.com</t>
  </si>
  <si>
    <t>https://www.mingtiandi.com/real-estate/data-centres/cdc-proposes-10-5b-new-south-wales-data-centre/</t>
  </si>
  <si>
    <t>https://www.mingtiandi.com/real-estate/data-centres/goodman-group-wins-government-approval-for-1b-data-centre-in-sydneys-north/</t>
  </si>
  <si>
    <t>https://www.mingtiandi.com/real-estate/data-centres/pgim-buys-melbourne-site-for-data-centre-campus-plans-850m-first-phase/</t>
  </si>
  <si>
    <t>https://www.mingtiandi.com/real-estate/data-centres/starwood-teams-with-doma-telstra-to-develop-62mw-sydney-data-centre/</t>
  </si>
  <si>
    <t>https://www.mingtiandi.com/real-estate/data-centres/stockland-seeks-approval-for-250mw-melbourne-data-centre-campus/</t>
  </si>
  <si>
    <t>VIC-013、VIC-024</t>
  </si>
  <si>
    <t>northern.starweekly.com.au</t>
  </si>
  <si>
    <t>https://northern.starweekly.com.au/news/hume-calls-halt-on-data-centres/</t>
  </si>
  <si>
    <t>ntindependent.com.au</t>
  </si>
  <si>
    <t>https://ntindependent.com.au/nt-government-backs-proposed-2gw-data-centre-at-weddell/</t>
  </si>
  <si>
    <t>https://ntindependent.com.au/opinion-behind-the-meter-the-unanswered-questions-behind-the-barklys-ai-data-centre/</t>
  </si>
  <si>
    <t>pakenhamnews.starcommunity.com.au</t>
  </si>
  <si>
    <t>https://pakenhamnews.starcommunity.com.au/news/2026-09-22/new-state-data-centre-rules-bypass-clyde-north-proposal/</t>
  </si>
  <si>
    <t>perthisok.com</t>
  </si>
  <si>
    <t>https://perthisok.com/news/new-hazelmere-data-centre-plans-cdc/</t>
  </si>
  <si>
    <t>projectory.com.au</t>
  </si>
  <si>
    <t>https://www.projectory.com.au/article/415m-data-centre-development-approved-in-wa-to-support-digital-infrastructure-and-advanced-tech-capabilities</t>
  </si>
  <si>
    <t>pulsetasmania.com.au</t>
  </si>
  <si>
    <t>https://pulsetasmania.com.au/news/council-calls-for-state-to-step-in-on-proposed-ai-data-centre/</t>
  </si>
  <si>
    <t>https://pulsetasmania.com.au/news/george-town-planners-recommend-approval-of-288mw-ai-data-centre/</t>
  </si>
  <si>
    <t>https://pulsetasmania.com.au/news/launceston-council-approves-major-2-1-billion-ai-data-centre/</t>
  </si>
  <si>
    <t>realassets.ipe.com</t>
  </si>
  <si>
    <t>https://realassets.ipe.com/news/macquarie-partners-with-zerra-and-adc-to-build-australias-largest-data-centre-campus-for-anthropic/10138513.article</t>
  </si>
  <si>
    <t>realestate.com.au</t>
  </si>
  <si>
    <t>https://www.realestate.com.au/news/swanbank-mega-data-centre-backlash-grows-as-1200-locals-demand-public-say/</t>
  </si>
  <si>
    <t>https://www.realestate.com.au/news/west-footscray-data-centre-deters-homebuyers/</t>
  </si>
  <si>
    <t>VIC-018、VIC-025、VIC-029</t>
  </si>
  <si>
    <t>realestatesource.com.au</t>
  </si>
  <si>
    <t>https://www.realestatesource.com.au/6b-data-centre-planned-near-geelong/</t>
  </si>
  <si>
    <t>https://www.realestatesource.com.au/cdc-data-centres-lines-up-regional-nsw-campus/</t>
  </si>
  <si>
    <t>VIC-002、VIC-010、VIC-016、VIC-028</t>
  </si>
  <si>
    <t>https://www.realestatesource.com.au/epa-lodges-first-data-centre-objection/</t>
  </si>
  <si>
    <t>https://www.realestatesource.com.au/green-light-for-data-centre-half-the-size-of-the-rialto/</t>
  </si>
  <si>
    <t>VIC-008、VIC-016、VIC-022、VIC-023、VIC-024</t>
  </si>
  <si>
    <t>https://www.realestatesource.com.au/mab-wins-long-battle-to-develop-tip-buffer-site/</t>
  </si>
  <si>
    <t>https://www.realestatesource.com.au/zerra-files-plans-for-31bn-queensland-data-centre-campus/</t>
  </si>
  <si>
    <t>region.com.au</t>
  </si>
  <si>
    <t>https://region.com.au/new-200-million-data-centre-proposed-for-beard-fits-territory-standards-on-power-and-water/996833/</t>
  </si>
  <si>
    <t>reneweconomy.com.au</t>
  </si>
  <si>
    <t>https://reneweconomy.com.au/australias-biggest-data-centre-to-require-4-substations-2-grid-scale-power-lines-and-lots-of-diesel-backup/</t>
  </si>
  <si>
    <t>https://reneweconomy.com.au/plan-to-power-off-grid-data-centre-with-solar-gas-and-a-16-gigawatt-hour-battery-seek-federal-green-tick/</t>
  </si>
  <si>
    <t>tasgreensmps.org</t>
  </si>
  <si>
    <t>https://tasgreensmps.org/parliament/questions/firmus-technologies-launceston-ai-data-centre/</t>
  </si>
  <si>
    <t>techpartner.news</t>
  </si>
  <si>
    <t>https://www.techpartner.news/news/digico-posts-positive-fy26-results-shakes-up-leadership-team-628362</t>
  </si>
  <si>
    <t>telconews.com.au</t>
  </si>
  <si>
    <t>https://telconews.com.au/story/quinbrook-launches-2-5-billion-supernode-800mw-data-storage-project</t>
  </si>
  <si>
    <t>theage.com.au</t>
  </si>
  <si>
    <t>https://www.theage.com.au/national/victoria/1b-data-centre-given-planning-tick-in-just-75-days-as-state-gets-cosy-with-big-tech-20260219-p5o3sl.html</t>
  </si>
  <si>
    <t>VIC-007、VIC-013</t>
  </si>
  <si>
    <t>https://www.theage.com.au/national/victoria/west-footscray-data-centre-bids-to-double-in-size-amid-nightmare-construction-20260324-p5uags.html</t>
  </si>
  <si>
    <t>theleader.com.au</t>
  </si>
  <si>
    <t>https://www.theleader.com.au/story/9337393/ai-data-centre-approved-despite-community-concerns/</t>
  </si>
  <si>
    <t>thetechcapital.com</t>
  </si>
  <si>
    <t>https://thetechcapital.com/brookfields-dci-invests-in-further-australian-data-centre-expansions/</t>
  </si>
  <si>
    <t>theurbandeveloper.com</t>
  </si>
  <si>
    <t>https://theurbandeveloper.com/articles/stockland-data-centre-macquarie-park-mpark</t>
  </si>
  <si>
    <t>https://www.theurbandeveloper.com/articles/anthropic-claude-ai-western-downs-digital-park-deal-qld</t>
  </si>
  <si>
    <t>https://www.theurbandeveloper.com/articles/data-centre-perri-projects-victoria-west-footscray</t>
  </si>
  <si>
    <t>https://www.theurbandeveloper.com/articles/firmus-tasmania-ai-factory-wesley-vale-proposal</t>
  </si>
  <si>
    <t>https://www.theurbandeveloper.com/articles/nextdc-m4-digital-campus-fishermans-bend-approval</t>
  </si>
  <si>
    <t>https://www.theurbandeveloper.com/articles/quinbrook-brendale-brisbane-supernode-data-centre</t>
  </si>
  <si>
    <t>https://www.theurbandeveloper.com/articles/swanbank-data-centre-proposal-ipswich-tallest-building-qld</t>
  </si>
  <si>
    <t>https://www.theurbandeveloper.com/articles/us-fund-manager-pgim-buys-truganina-data-centre-site</t>
  </si>
  <si>
    <t>thewest.com.au</t>
  </si>
  <si>
    <t>https://thewest.com.au/business/cdc-courts-hazelmere-residents-with-192mw-data-centre-after-greensquares-11b-plan-collapsed-c-22889611</t>
  </si>
  <si>
    <t>https://thewest.com.au/business/construction/maddington-data-centre-development-green-light-for-415m-project-and-construction-tipped-to-start-soon-c-19977544</t>
  </si>
  <si>
    <t>https://thewest.com.au/business/infrastructure/cdc-data-centres-unveils-plans-for-415m-maddington-data-centre-c-19636890</t>
  </si>
  <si>
    <t>w.media</t>
  </si>
  <si>
    <t>https://w.media/?p=38408</t>
  </si>
  <si>
    <t>https://w.media/?p=42806</t>
  </si>
  <si>
    <t>https://w.media/airtrunk-proposes-aud-3-7bn-nsw-data-centre-with-aud-37m-community-offer/</t>
  </si>
  <si>
    <t>https://w.media/airtrunk-proposes-aud-3-7bn-nsw-data-centre/</t>
  </si>
  <si>
    <t>https://w.media/airtrunk-to-add-345-mw-facility-in-aud-5bn-melbourne-investment/</t>
  </si>
  <si>
    <t>https://w.media/anthropic-signs-first-australian-data-center-lease/</t>
  </si>
  <si>
    <t>https://w.media/as-australian-data-centres-demand-more-power-what-might-be-the-future-role-of-batteries/</t>
  </si>
  <si>
    <t>https://w.media/canberra-data-centres-signs-a-new-10-year-deal-with-australian-defence/</t>
  </si>
  <si>
    <t>https://w.media/cdc-data-centres-plans-was-largest-ai-and-advanced-technology-campus/</t>
  </si>
  <si>
    <t>https://w.media/cdc-plans-aud-15bn-1-4gw-data-centre-campus-near-wagga-wagga/</t>
  </si>
  <si>
    <t>https://w.media/data-center-growth-lifts-infratil-earnings-guidance-for-fy-2027/</t>
  </si>
  <si>
    <t>https://w.media/dci-data-centers-to-build-10mw-data-centre-in-darwin-australia/</t>
  </si>
  <si>
    <t>https://w.media/dcis-sumit-mukhija-why-certainty-matters-more-than-megawatts/</t>
  </si>
  <si>
    <t>https://w.media/digico-to-sell-us-assets-as-it-pivots-capital-to-sydney-growth/</t>
  </si>
  <si>
    <t>https://w.media/firmus-raises-aud-330-million-for-tasmania-ai-factory/</t>
  </si>
  <si>
    <t>https://w.media/firmus-seeks-approval-for-wesley-vale-ai-data-centre/</t>
  </si>
  <si>
    <t>https://w.media/firmus-wins-approval-to-build-2-1bn-ai-factory-in-launceston/</t>
  </si>
  <si>
    <t>https://w.media/gateway-considers-81mw-data-centre-at-sydneys-st-leonards/</t>
  </si>
  <si>
    <t>https://w.media/goodman-files-plans-for-500-mw-sydney-campus-as-expansion-continues/</t>
  </si>
  <si>
    <t>https://w.media/goodman-wins-approval-for-135mw-macquarie-park-data-centre/</t>
  </si>
  <si>
    <t>https://w.media/greensquare-signs-sharon-ai-as-first-customer-for-syd1-data-centre-campus/</t>
  </si>
  <si>
    <t>https://w.media/hmcs-acquisition-of-iseek-to-seed-its-global-digico-platform-strategy/</t>
  </si>
  <si>
    <t>https://w.media/iren-targets-bundey-transmission-hub-for-800mw-australian-data-centre-campus/</t>
  </si>
  <si>
    <t>https://w.media/iseek-acquires-yourdc-expands-australian-footprint/</t>
  </si>
  <si>
    <t>https://w.media/ispt-applies-to-build-170mw-six-storey-data-center-at-julius-avenue-north-ryde-sydney/</t>
  </si>
  <si>
    <t>https://w.media/next-capital-agrees-to-acquire-fujitsus-australian-data-centre-business/</t>
  </si>
  <si>
    <t>https://w.media/nsw-approves-goodmans-aud-1-1bn-project-pluto-data-centre-in-western-sydney/</t>
  </si>
  <si>
    <t>https://w.media/openai-and-nextdc-unveil-aud-7bn-plan-for-sovereign-ai-campus-in-sydney/</t>
  </si>
  <si>
    <t>https://w.media/queensland-council-questions-height-impacts-of-swanbank-data-centre/</t>
  </si>
  <si>
    <t>https://w.media/quinbrook-infrastructure-partners-wins-approval-for-hyperscale-data-centres-in-australia/</t>
  </si>
  <si>
    <t>https://w.media/stack-infrastructure-plans-450mw-data-center-campus-at-erskine-park-sydney/</t>
  </si>
  <si>
    <t>https://w.media/stockland-finalises-edgeconnex-data-centre-jv-as-ceo-plots-more-investment/</t>
  </si>
  <si>
    <t>https://w.media/the-impact-of-ai-on-digital-infrastructure-sumit-mukhija-chief-executive-officer-dci-data-centers/</t>
  </si>
  <si>
    <t>https://w.media/victorias-data-centre-pipeline-grows-with-four-new-melbourne-proposals/</t>
  </si>
  <si>
    <t>VIC-010、VIC-020、VIC-022、VIC-028</t>
  </si>
  <si>
    <t>https://w.media/whittlesea-seeks-greater-oversight-as-dover-plans-200mw-victorian-facility/</t>
  </si>
  <si>
    <t>https://w.media/zerra-plans-1-44gw-aud-14-5bn-data-centre-campus-in-queensland/</t>
  </si>
  <si>
    <t>yourlocalexaminer.com.au</t>
  </si>
  <si>
    <t>https://www.yourlocalexaminer.com.au/have-your-say-on-data-centre/</t>
  </si>
  <si>
    <t>yourneighbourhood.com.au</t>
  </si>
  <si>
    <t>https://yourneighbourhood.com.au/2-5-billion-data-supernode-brendale-moreton-bay/</t>
  </si>
  <si>
    <t>https://yourneighbourhood.com.au/data-centre-technology-campus-dalby-kogan-road-kogan/</t>
  </si>
  <si>
    <t>https://yourneighbourhood.com.au/large-data-centre-swanbank-ipswich/</t>
  </si>
  <si>
    <t>asx.api.markitdigital.com</t>
  </si>
  <si>
    <t>https://asx.api.markitdigital.com/asx-research/1.0/companies/dgt/announcements</t>
  </si>
  <si>
    <t>baxtel.com</t>
  </si>
  <si>
    <t>https://baxtel.com/data-center/cdc-hume-5</t>
  </si>
  <si>
    <t>https://baxtel.com/data-center/cdc-laverton-campus</t>
  </si>
  <si>
    <t>https://baxtel.com/data-center/cdc-maddington-perth</t>
  </si>
  <si>
    <t>https://baxtel.com/data-center/centuria-clayton-2</t>
  </si>
  <si>
    <t>https://baxtel.com/data-center/dci-adelaide-adl03</t>
  </si>
  <si>
    <t>https://baxtel.com/data-center/dci-adelaide/news</t>
  </si>
  <si>
    <t>https://baxtel.com/data-center/dci-syd02</t>
  </si>
  <si>
    <t>https://baxtel.com/data-center/digico-adelaide-adl1</t>
  </si>
  <si>
    <t>https://baxtel.com/data-center/digico-sydney-syd1-west</t>
  </si>
  <si>
    <t>https://baxtel.com/data-center/digital-realty-north-ryde-sydney-67417c05-88ca-4571-a4bf-d577a6b98489</t>
  </si>
  <si>
    <t>https://baxtel.com/data-center/edgeconnex-syd1-mpark</t>
  </si>
  <si>
    <t>https://baxtel.com/data-center/energy-north-project-ares</t>
  </si>
  <si>
    <t>https://baxtel.com/data-center/firmus-bell-bay-long-reach</t>
  </si>
  <si>
    <t>https://baxtel.com/data-center/firmus-launceston-campus</t>
  </si>
  <si>
    <t>https://baxtel.com/data-center/firmus-wesley-vale</t>
  </si>
  <si>
    <t>https://baxtel.com/data-center/fujitsu-noble-park</t>
  </si>
  <si>
    <t>https://baxtel.com/data-center/fujitsu-north-ryde-sydney</t>
  </si>
  <si>
    <t>https://baxtel.com/data-center/galileo-group-melbourne-campus</t>
  </si>
  <si>
    <t>https://baxtel.com/data-center/gateway-sydney</t>
  </si>
  <si>
    <t>https://baxtel.com/data-center/goodman-project-apollo</t>
  </si>
  <si>
    <t>https://baxtel.com/data-center/goodman-project-atlas</t>
  </si>
  <si>
    <t>https://baxtel.com/data-center/goodman-project-duke</t>
  </si>
  <si>
    <t>https://baxtel.com/data-center/goodman-project-pluto</t>
  </si>
  <si>
    <t>https://baxtel.com/data-center/greensquaredc-syd1-bldg2</t>
  </si>
  <si>
    <t>https://baxtel.com/data-center/greensquaredc-sydney-syd1</t>
  </si>
  <si>
    <t>https://baxtel.com/data-center/ispt-sydney</t>
  </si>
  <si>
    <t>https://baxtel.com/data-center/nextdc-m3west-footscray</t>
  </si>
  <si>
    <t>https://baxtel.com/data-center/nextdc-s7-sydney</t>
  </si>
  <si>
    <t>https://baxtel.com/data-center/pgim-melbourne-campus</t>
  </si>
  <si>
    <t>https://baxtel.com/data-center/stack-mel01b</t>
  </si>
  <si>
    <t>https://baxtel.com/data-center/stack-mel01c</t>
  </si>
  <si>
    <t>https://baxtel.com/data-center/stack-mel02b</t>
  </si>
  <si>
    <t>https://baxtel.com/data-center/stack-melbourne-mel02</t>
  </si>
  <si>
    <t>https://baxtel.com/data-center/stack-syd01b</t>
  </si>
  <si>
    <t>https://baxtel.com/data-center/starwood-doma-minchinbury</t>
  </si>
  <si>
    <t>https://baxtel.com/data-center/supernode-brendale</t>
  </si>
  <si>
    <t>https://baxtel.com/data-center/sydney</t>
  </si>
  <si>
    <t>NSW-005、NSW-030、NSW-034</t>
  </si>
  <si>
    <t>https://baxtel.com/data-center/vantage-melbourne-mel1</t>
  </si>
  <si>
    <t>https://baxtel.com/data-center/zerra-dc-melbourne-campus</t>
  </si>
  <si>
    <t>https://baxtel.com/data-centers/digico-infrastructure-reit</t>
  </si>
  <si>
    <t>https://baxtel.com/news/1051</t>
  </si>
  <si>
    <t>https://baxtel.com/news/a-70mw-facility-is-set-to-replace-the-former-exodus-data-center-in-sydney-australia</t>
  </si>
  <si>
    <t>https://baxtel.com/news/cdc-plans-200mw-data-center-campus-outside-perth</t>
  </si>
  <si>
    <t>https://baxtel.com/news/digico-infrastructure-reit-signs-14mw-of-data-center-deals</t>
  </si>
  <si>
    <t>https://baxtel.com/news/hyperdc-files-plans-for-400mw-data-center-campus-west-of-melbourne</t>
  </si>
  <si>
    <t>https://baxtel.com/news/zerra-dc-files-plans-for-large-data-center-campus-in-queensland-australia</t>
  </si>
  <si>
    <t>https://baxtel.com/sites/dci-adelaide-adl03</t>
  </si>
  <si>
    <t>https://baxtel.com/sites/digico-adelaide-adl1</t>
  </si>
  <si>
    <t>https://cloudcarrier.com/about-us/</t>
  </si>
  <si>
    <t>https://dafinder.blob.core.windows.net/dadocuments/DOCs/APP-202443633-02.pdf</t>
  </si>
  <si>
    <t>https://dafinder.blob.core.windows.net/dadocuments/DOCs/SUPP-202443633-S205D-LETTER-01.pdf</t>
  </si>
  <si>
    <t>https://dafinder.blob.core.windows.net/dadocuments/DOCs/SUPP-202645149-LETTER-01.pdf</t>
  </si>
  <si>
    <t>datacentermap.com</t>
  </si>
  <si>
    <t>https://www.datacentermap.com/australia/adelaide/yourdc-edinburgh/</t>
  </si>
  <si>
    <t>https://www.datacentermap.com/australia/adelaide/yourdc-edinburgh/specs</t>
  </si>
  <si>
    <t>https://www.datacentermap.com/australia/brisbane/northern-concept-swanb-pty-ltd/</t>
  </si>
  <si>
    <t>https://www.datacentermap.com/australia/canberra/cdc-beard-be1/</t>
  </si>
  <si>
    <t>https://www.datacentermap.com/australia/canberra/cdc-hume-hu6/</t>
  </si>
  <si>
    <t>https://www.datacentermap.com/australia/launceston/firmus-george-town-campus/</t>
  </si>
  <si>
    <t>https://www.datacentermap.com/australia/launceston/firmus-wesley-vale/</t>
  </si>
  <si>
    <t>https://www.datacentermap.com/australia/launceston/project-southgate/</t>
  </si>
  <si>
    <t>https://www.datacentermap.com/australia/melbourne/1-oroya-drive/</t>
  </si>
  <si>
    <t>https://www.datacentermap.com/australia/melbourne/413-francis-street/</t>
  </si>
  <si>
    <t>https://www.datacentermap.com/australia/melbourne/585-berwick-cranbourne-rd/</t>
  </si>
  <si>
    <t>https://www.datacentermap.com/australia/melbourne/72-76-cherry-lane/</t>
  </si>
  <si>
    <t>https://www.datacentermap.com/australia/melbourne/amazon-aws-55-donnybrook-rd/</t>
  </si>
  <si>
    <t>https://www.datacentermap.com/australia/melbourne/dover-sm1a/</t>
  </si>
  <si>
    <t>https://www.datacentermap.com/australia/melbourne/dover-sm1b/</t>
  </si>
  <si>
    <t>https://www.datacentermap.com/australia/melbourne/fujitsu-melbourne/</t>
  </si>
  <si>
    <t>https://www.datacentermap.com/australia/melbourne/hyperdc-mbl1/</t>
  </si>
  <si>
    <t>https://www.datacentermap.com/australia/melbourne/zerra-dc-melbourne-campus/</t>
  </si>
  <si>
    <t>datacenters.com</t>
  </si>
  <si>
    <t>https://www.datacenters.com/dci-adelaide-03</t>
  </si>
  <si>
    <t>https://www.datacenters.com/locations/australia/south-australia/adelaide</t>
  </si>
  <si>
    <t>https://datacentremoratorium.net/index.php/Resources:AirTrunk_MEL1</t>
  </si>
  <si>
    <t>VIC-002、VIC-006、VIC-012、VIC-015、VIC-016、VIC-022、VIC-023、VIC-025、VIC-026</t>
  </si>
  <si>
    <t>https://datacentremoratorium.net/index.php/Resources:Dover_SM2</t>
  </si>
  <si>
    <t>https://datacentremoratorium.net/index.php/Resources:Goodman_Craigiburn</t>
  </si>
  <si>
    <t>https://datacentremoratorium.net/index.php/Resources:NEXTDC_M2</t>
  </si>
  <si>
    <t>ecosistemastartup.com</t>
  </si>
  <si>
    <t>https://ecosistemastartup.com/?p=93254</t>
  </si>
  <si>
    <t>en.wikipedia.org</t>
  </si>
  <si>
    <t>https://en.wikipedia.org/wiki/Bundey,_South_Australia</t>
  </si>
  <si>
    <t>https://en.wikipedia.org/wiki/Moorabool,_Victoria</t>
  </si>
  <si>
    <t>https://www.hmccapital.com.au/investment-strategies/digital-infrastructure/digico-infrastructure-reit/financial-reports-presentations/</t>
  </si>
  <si>
    <t>https://www.hmccapital.com.au/investment-strategies/digital-infrastructure/digico-infrastructure-reit/financial-reports-presentations/dgt-annual-report-2025/</t>
  </si>
  <si>
    <t>https://iren.com/</t>
  </si>
  <si>
    <t>nominatim.openstreetmap.org</t>
  </si>
  <si>
    <t>https://nominatim.openstreetmap.org/reverse?lat=-34.7404086&amp;lon=138.6440232&amp;format=json</t>
  </si>
  <si>
    <t>https://nominatim.openstreetmap.org/search?q=165+Williamsons+Road+South+Morang+VIC</t>
  </si>
  <si>
    <t>https://nominatim.openstreetmap.org/search?q=1822+Dandenong+Road+Clayton+VIC</t>
  </si>
  <si>
    <t>https://nominatim.openstreetmap.org/search?q=300+Barry+Road+Campbellfield+VIC</t>
  </si>
  <si>
    <t>https://nominatim.openstreetmap.org/search?q=413+Francis+Street+Brooklyn+VIC</t>
  </si>
  <si>
    <t>https://nominatim.openstreetmap.org/search?q=433+Mount+Atkinson+Road+Truganina+VIC</t>
  </si>
  <si>
    <t>https://nominatim.openstreetmap.org/search?q=44-76+Simcock+Avenue+Spotswood+VIC</t>
  </si>
  <si>
    <t>https://nominatim.openstreetmap.org/search?q=45+Donnybrook+Road+Mickleham+VIC</t>
  </si>
  <si>
    <t>https://nominatim.openstreetmap.org/search?q=5+Summit+Road+Noble+Park+VIC</t>
  </si>
  <si>
    <t>https://nominatim.openstreetmap.org/search?q=715+Ballan+Road+Moorabool+VIC</t>
  </si>
  <si>
    <t>https://nominatim.openstreetmap.org/search?q=765+Plenty+Road+South+Morang+VIC</t>
  </si>
  <si>
    <t>https://nominatim.openstreetmap.org/search（OSM 地理編碼：Murranji、Elliott）</t>
  </si>
  <si>
    <t>planningalerts.org.au</t>
  </si>
  <si>
    <t>https://planningalerts.org.au/applications/3442743</t>
  </si>
  <si>
    <t>https://www.planningalerts.org.au/applications/3206534</t>
  </si>
  <si>
    <t>https://www.planningalerts.org.au/applications/3288804</t>
  </si>
  <si>
    <t>https://www.planningalerts.org.au/applications/3430522</t>
  </si>
  <si>
    <t>https://www.planningalerts.org.au/applications/3436259</t>
  </si>
  <si>
    <t>https://www.planningalerts.org.au/applications/3442743</t>
  </si>
  <si>
    <t>https://www.planningalerts.org.au/applications/3501680</t>
  </si>
  <si>
    <t>https://www.planningalerts.org.au/applications/3532795</t>
  </si>
  <si>
    <t>https://www.planningalerts.org.au/applications/3548117</t>
  </si>
  <si>
    <t>projectmanagementplanet.com.au</t>
  </si>
  <si>
    <t>https://www.projectmanagementplanet.com.au/post/cdcs-maddington-data-centre</t>
  </si>
  <si>
    <t>renewmap.com.au</t>
  </si>
  <si>
    <t>https://renewmap.com.au/resources/projects/wa/datacentre/</t>
  </si>
  <si>
    <t>https://services1.arcgis.com/E5n4f1VY84i0xSjy/arcgis/rest/services/ACTGOV_BLOCKS/FeatureServer/0/query</t>
  </si>
  <si>
    <t>https://supernode.com.au/</t>
  </si>
  <si>
    <t>https://www.techpartner.news/news/dci-reveals-new-data-centre-plans-for-sa-569291</t>
  </si>
  <si>
    <t>搜尋紀錄：各州、各代理查過的來源、缺口與備註</t>
  </si>
  <si>
    <t>紀錄開頭標有代理代碼（如「NSW-A：」）者歸入該代理，否則列為（未標示代理）。零筆的州請一併參閱該州工作表。</t>
  </si>
  <si>
    <t>代理代碼</t>
  </si>
  <si>
    <t>類型</t>
  </si>
  <si>
    <t>內容</t>
  </si>
  <si>
    <t>NSW 新南威爾斯州</t>
  </si>
  <si>
    <t>NSW-A：WebSearch 共 6 次（DCI Eastern Creek 地址、Minchinbury、STACK Erskine Park、Equinix Rosehill、DCI SSD、DCI/Linesight）：取得 DCI 90 Peter Brock Drive、STACK 78 Lockwood Road、Equinix SY9x 8A Grand Avenue（聚合站）；之後共享的 WebSearch 配額用盡（200/200），其餘改以直接抓取。</t>
  </si>
  <si>
    <t>NSW-A：NSW Planning Portal Data Storage 清單（50 筆）逐一抓專案頁：取得地圖點位、狀態、LGA；用 /major-projects-attachments-data 端點列出各資料夾文件，並從檔案識別碼解出上傳日期。</t>
  </si>
  <si>
    <t>NSW-A：核准文件（Instrument of Consent、Notice of Decision、Assessment Report）pdftotext：讀出申請人、地塊與 MW，涵蓋 Apollo Place、Pluto、Duke、Project Apollo、Khartoum Road、Road 1、Grand Avenue、NEXTDC S4、DigiCo、Davis Road、Lanceley Place、Talavera Road、Marsden Park、DCI Poplars、Roberts Road 等。</t>
  </si>
  <si>
    <t>NSW-A：掃描入口網站其他 development type（Warehouse or distribution centres 360 筆、Telecommunication Facilities、Residential &amp; Commercial、Electricity Supply 等）與 industry type：發現 Data Storage 清單以外的資料中心 SSD（Roberts Road、DCI Eastern Creek、Kemps Creek DC、Lane Cove West、DCI Poplars、Augusta Street、Dexus Estate、Global Switch Ultimo）。</t>
  </si>
  <si>
    <t>NSW-A：Planning Panels 登錄（Blacktown、Penrith、Fairfield、Liverpool、Cumberland、Parramatta、Hills、Ryde、Lane Cove、Willoughby、Bayside，共約 2,400 筆）篩資料中心 DA：找到 CDC 5 MW 議會 DA、GreenSquareDC Norwest A&amp;A、Equinix 10 Grand Avenue、42 Sargents Road Minchinbury（2020）、24 Healey Circuit Huntingwood（2020）、Mile End Road Rouse Hill（2020）、2 Broadcast Way Artarmon（2019）等。</t>
  </si>
  <si>
    <t>NSW-A：NSW ePlanning OnlineDA API（成本 A$10m 以上、2021-06 起 3,190 筆）篩 Data centre 標籤：僅 4 筆（Marsden Park 兩筆、3 Brookhollow Avenue、Moss Vale）；Minchinbury 無對應 DA。</t>
  </si>
  <si>
    <t>NSW-A：Baxtel Sydney 市場頁及約 60 個設施頁（聚合站，僅作線索）：確認 Digital Realty、Fujitsu、GreenSquareDC、Stockland、Markham、ISPT、EdgeConneX 的狀態/年份/地址；Vocus、Syncom、Interactive、Keppel、Telstra 皆顯示營運中，無在建或規劃條目。</t>
  </si>
  <si>
    <t>NSW-A：OSM Nominatim：確認 Fujitsu Homebush、Fujitsu Western Sydney、Digital Erskine Park 1、3 Brookhollow Avenue、10 Grand Avenue 的郵遞區號與座標。</t>
  </si>
  <si>
    <t>NSW-A：ASX 公告 API（Macquarie Technology 最新 5 筆）：下載 FY26 簡報（2026-08-26）與土地交割公告（2026-08-06）。</t>
  </si>
  <si>
    <t>NSW-A：營運商與新聞網站：CDC 官網（Marsden Park、Wagga、新聞）、GreenSquareDC、Next Capital、Equinix 2022 新聞稿、Linesight、W.Media、AAP、Mingtiandi 已讀；DCD 403、Equinix 官網 403、Digital Realty 404、DataCenterMap 429、Telstra InfraCo 網域不存在。</t>
  </si>
  <si>
    <t>NSW-A：WebSearch 用盡後，我試過一次 DuckDuckGo HTML 與一次 Bing HTML，前者出現機器人驗證（未嘗試繞過），後者僅一次測試且結果未採用，之後即停止以替代搜尋引擎補搜。</t>
  </si>
  <si>
    <t>資料缺口</t>
  </si>
  <si>
    <t>NSW-A：Minchinbury（Starwood/Doma/Telstra InfraCo）街道地址與 DA 編號未能取得；42 Sargents Road 是否相關未證實。需查 Blacktown City Council DA 追蹤或直接洽 Doma/Starwood。</t>
  </si>
  <si>
    <t>NSW-A：GreenSquareDC SYD1 第一階段（15 MW）是否已於 2026-Q3 啟用，沒有營運商日期；對 5 MW 租戶是最近期的潛在標的，建議優先詢問。</t>
  </si>
  <si>
    <t>NSW-A：Equinix SY10x：入口網站無任何開工文件，Baxtel 稱在建，需 Equinix 確認；xScale 是否對第三方開放不明。</t>
  </si>
  <si>
    <t>NSW-A：Goodman SYD01 完工日只有搜尋片段（領導引述）；NEXTDC S4 的 Multiplex 新聞稿未重新開啟；DigiCo FY26 與 Linesight 以外的營運商數字多為領導引述，未重驗。</t>
  </si>
  <si>
    <t>NSW-A：沒有任何營運商公布場址級的未簽約 MW：NEXTDC 已簽約 740.1 MW 遠高於已建 287.9 MW；DigiCo 已有 52 MW LOI；CDC 簽有 555 MW 合約；實際可租空置量必須向各營運商詢問。</t>
  </si>
  <si>
    <t>NSW-A：Keppel DC（Gore Hill KDC SYD1）、Vocus、Syncom、Interactive、Telstra、Charter Hall、Dexus、Plan Project Management：僅靠入口網站、ePlanning 與 Baxtel 掃描，未發現在建或送件項目，但因 WebSearch 配額用盡，無法排除新聞中的未送件計畫。</t>
  </si>
  <si>
    <t>NSW-A：舊的議會/小組核准但營運商未識別：24 Healey Circuit Huntingwood（2020，A$46.1m）、Mile End Road Rouse Hill（2020，A$89.9m）、2 Broadcast Way Artarmon（八層，A$238m）、6-8 Giffnock Avenue Macquarie Park（2017-18）；可能已建成，未查空置容量。</t>
  </si>
  <si>
    <t>NSW-A：內陸/區域：Moss Vale（A$31.4m DA）、Kurri Kurri、Wagga 只做了入口網站層級查核；DCI Poplars 營運商為推定。</t>
  </si>
  <si>
    <t>NSW-A：座標：多數為入口網站專案頁地圖點位（政府來源），DigiCo 與 Road 1 僅三位小數；Aldington Road、Brookhollow SSD、22 O'Riordan 的入口網站點位明顯錯誤或為佔位值，已不採用。</t>
  </si>
  <si>
    <t>代理備註</t>
  </si>
  <si>
    <t>NSW-A：WebSearch 共享配額已在我完成 6 次後用盡，其餘工作靠直接抓取：NSW Planning Portal（可用 curl/python 抓專案頁、文件列表與 PDF，專案頁內嵌地圖座標）、NSW ePlanning OnlineDA API、Planning Panels 登錄、ASX 公告 API、Baxtel、OSM Nominatim。這幾個管道對其他代理也可能有用。</t>
  </si>
  <si>
    <t>NSW-A：入口網站 Data Storage 清單（50 筆）並不完整：CDC Roberts Road（SSD-10330）、DCI Eastern Creek（SSD-21342738）、Kemps Creek Data Centre（SSD-10101987）、Lane Cove West（SSD-9741）、DCI Poplars（SSD-64287712，25.4 MW，Jerrabomberra，2025-11-06 核准）、Augusta Street（SSD-10469，已撤回）、Dexus Estate（MP08_0259）都被歸在 Warehouse or distribution centres 或 Telecommunication Facilities，要用 development_type 以外的方式掃描。</t>
  </si>
  <si>
    <t>NSW-A：更正領導的 known-facts：NEXTDC S4 核准耗電為 294 MW（非 350/232）；1-5 Khartoum Road 為 76.4 MW（IT 51.4 MW）、24 資料廳、申請人 Stockland，非 35 MW；Road 1 Data Centre 為 49 MW（IT 34.3 MW）、十層、同為 Stockland；Project Apollo（4-10 Talavera Road）申請人是 Goodman、最大耗電 135 MW；Apollo Place（Lane Cove West）申請人是 EMKC Cubed Management、45 MW，並非 Goodman；Project Pluto 核准為 100 MW、兩層、9 資料廳（非 126 MW）；Project Duke 申請人 Goodman、投資 A$1.18bn；Grand Avenue Rosehill（8 Grand Avenue）申請人 Equinix Hyperscale 2 (SY10) Pty Limited、31.2 MW；Macquarie Technology 新購土地為 A$240m（總成本 A$254m）而非 A$168m；Frederick Street 位於 St Leonards（12 Frederick Street，Gateway Capital Holdings，81 MW）。</t>
  </si>
  <si>
    <t>NSW-A：已解決的地址：DCI SYD01/SYD02 = 90 Peter Brock Drive, Eastern Creek NSW 2766；STACK = 78 Lockwood Road, Erskine Park NSW 2759；Equinix SY10x = 8 Grand Avenue, Rosehill（SY9x = 10 Grand Avenue）；Digital Realty Erskine Park = 1-12 Templar Road（SYD10）；Fujitsu Homebush = 4 Figtree Drive, Sydney Olympic Park NSW 2127；Fujitsu Greystanes = 6 Bellevue Circuit, Pemulwuy (Greystanes) NSW 2145；Digital Realty North Ryde = 23-25 Waterloo Road, Macquarie Park（SSD-91297457，70 MW）；GreenSquareDC SYD1 = 3 Brookhollow Avenue, Norwest。未解決：Minchinbury。</t>
  </si>
  <si>
    <t>NSW-A：SSD 門檻線索：ISPT 案 EIS 引述 SSD 規定，SEARs 於 2023-05-31 前通知者門檻 10 MW、其餘 15 MW（我只讀到片段，推斷為資料儲存設施耗電門檻）；因此 2023 年後的 Data Storage SSD 耗電大致都在 15 MW 以上。NSW Data Centre Guidelines 於 2026-08-17 發布，待審案件（如 Kurri Kurri）的 SEARs 已被修訂。</t>
  </si>
  <si>
    <t>NSW-A：對 5 MW 租戶最相關：GreenSquareDC SYD1 第一階段 15 MW（官網，是否已啟用待確認）；Macquarie Technology IC3 SuperWest 首期 6 MW（2026-09）加 13 MW 加速第二期（ASX 簡報）；Starwood/Doma/Telstra InfraCo Minchinbury 62 MW 的 powered shell/build-to-suit（2028-Q1，租戶導向）；DCI SYD02 64 MW（2028 初）；DigiCo SYD1 新增 47.5 MW（已有 52 MW LOI）。多數大型項目（CDC、NEXTDC、AirTrunk）容量接近預售。</t>
  </si>
  <si>
    <t>NSW-A：我沒有使用任何瀏覽器工具。聚合站（Baxtel、DataCenterMap 摘要）只當線索；凡只有聚合站支持的狀態或完工日，都已標示低信度並與政府資料分開。</t>
  </si>
  <si>
    <t>NSW-B</t>
  </si>
  <si>
    <t>NSW-B：NSW Planning Portal 列表（development_type=Data Storage）：以 curl 取得 50 筆，與 lead 的清單吻合；每筆卡片含 SSD 編號、狀態、LGA 與街道地址（Aldington、Mars Road、Kurri Kurri 等地址由此補齊）。</t>
  </si>
  <si>
    <t>NSW-B：Planning Portal 文件 JSON 端點 /major-projects-attachments-data/{nid}/folder_{n}/attachment|postAttachment（由頁面 script.js 逆向得到）：可無需登入列出每案 EIS、評估報告、後審文件（含上傳日期）並以 getContent?AttachRef= 下載 PDF；以 pdftotext 讀取。共開啟並讀取 DPHI 評估報告 20 餘份、EIS/Scoping/SEARs 申請 17 份、SEARs 與修訂 SEARs、開工通知與後審函 10 餘份。</t>
  </si>
  <si>
    <t>NSW-B：WebSearch：只在前約 16 次可用（Apollo Place、Pluto、Duke、Project Apollo、AirTrunk Lane Cove、Mars Road/Lane Cove DC Alliance、IDA 名單、Khartoum Road、Road 1、Grand Avenue、Stockland MPark、Macquarie SubTST），隨後 session 搜尋額度（200 次，全體代理共用）用盡；改以 W.Media 站內搜尋、Baxtel、nsw.gov.au 的 WebFetch 與 Planning Portal 為主。</t>
  </si>
  <si>
    <t>NSW-B：WebFetch 對 Planning Portal 頁面的摘要有誤判風險（例：把 submitter「Macquarie Data Centres Macquarie Park Property SubTST」誤當 Khartoum Road 的申請人）；關鍵事實一律以 curl 原始 HTML/PDF 重驗。</t>
  </si>
  <si>
    <t>NSW-B：LGA 掃描：對 54 個 LGA 以 case_type=State Significant Development 與 SSD Modifications 逐頁列舉（每查詢上限約 270 筆），找出未標 Data Storage 的資料中心：DCI Eastern Creek 擴建（SSD-21342738，標為 Warehouse）、CDC Roberts Road（SSD-10330）、Microsoft Kemps Creek（SSD-10101987）、Station Road（SSD-33781208）、Lane Cove West DC（SSD-9741）、Augusta Street（撤回）、Mowbray Road（撤回）、Dexus Estate Mod 7、Southern Highlands Data Campus 電廠（SSD-102795459，Gas supply 類別）。</t>
  </si>
  <si>
    <t>NSW-B：區域規劃小組（planning-panel）掃描：25 個雪梨區 LGA（Blacktown、Penrith、Fairfield、The Hills、Ryde、Willoughby、North Sydney、Bayside、Parramatta、Cumberland、Camden、Liverpool、Campbelltown、Canterbury-Bankstown、Lane Cove、Hornsby、Inner West、Strathfield、Canada Bay、Hawkesbury、Wollondilly、Burwood、Georges River、Sutherland）：僅發現舊案（2009–2020 的 Fujitsu Erskine Park、NEXTDC/Telstra 相關 Macquarie Park/Artarmon 案、Camden Smeaton Grange 2017）與 GreenSquareDC Stage 1（PPSSCC-667）、CDC Marsden Park 5 MW DA（PPSSCC-562）、Minchinbury 42 Sargents Road（2020）。City of Sydney 與 Canterbury-Bankstown 的 LGA 名稱在小組篩選器對不上，未取得。</t>
  </si>
  <si>
    <t>NSW-B：NSW 政府新聞：nsw.gov.au 2026-03-27 部長新聞稿（IDA 15 案 A$51.9bn 與 Consultation Paper）、IDA 專案頁（沒有業者名）；W.Media 2026-03-27 同步報導；DPHI 2026-08-31 修訂 SEARs 函（S7、KC1、Mars Road、Kurri Kurri）與 2026-09/10 評估報告（Apollo、Road 1）證實「NSW Data Centre Guidelines 於 2026-08-17 發布」；W.Media 2026-08-17/19 說明內容與 Transgrid 容量政策。指引本文 PDF 未找到。</t>
  </si>
  <si>
    <t>NSW-B：W.Media 站內搜尋（NSW、Sydney、Stockland、Eastern Creek、Kemps Creek、Minchinbury、Digital Realty）：取得 AirTrunk Kurri Kurri（A$3.7bn/540 MW）、Gateway 81 MW、Viridis 0.8 MW、Amazon Glendenning、NEXTDC S7/OpenAI、Stockland–EdgeConneX 合資、Goodman Atlas 等報導。DuckDuckGo 回應 CAPTCHA，未嘗試規避。</t>
  </si>
  <si>
    <t>NSW-B：NSW Data Centre Guidelines（2026-08-17）本文與 Performance Measure 1/4/13 的具體內容未取得；只有 W.Media 與 DPHI 評估報告的摘要（dPUE/dWUE 門檻、再生能源 PPA + firming、開發商自付電水基建、SEARs 2 個月 / DA 75 天快速通道）。建議由他人到 planning.nsw.gov.au 下載 PDF 驗證。</t>
  </si>
  <si>
    <t>NSW-B：IDA 名單中的 AIMS Capital Bella Vista（Hills Shire）、Stockland「Project A」（City of Ryde）及第 15 個未揭露案：找不到 SSD/DA/SEARs；Project A 推測為 Road 1（NSW-B-13），未證實。</t>
  </si>
  <si>
    <t>NSW-B：Mars Road DC（SSD-108835458）申請人未公開；IDA 的「Lane Cove DC Alliance — 16-20 Mars Road」門牌與 SSD 的 3-4 Apollo Place / 87-91 Mars Road 不一致；AirTrunk 歸屬僅見一則搜尋摘要。</t>
  </si>
  <si>
    <t>NSW-B：Mamre Road 園區（SSD-92743706）營運商（lead 稱 AirTrunk SYD4）未被 EIS 點名；IDA 實體 KNBDC SYD4 Pty Ltd 與申請人 Plan Project Management Pty Ltd 的關係未證實。</t>
  </si>
  <si>
    <t>NSW-B：Starwood/Doma/Telstra Minchinbury（62 MW IT、DA 已取得、2028 Q1）的門牌與審批機關未能找到；42 Sargents Road（2020 年 Aldi 地、兩層資料中心）是否同案未證實。Fujitsu→Next Capital 的 Homebush、Greystanes 門牌亦未取得。</t>
  </si>
  <si>
    <t>NSW-B：Equinix SY10x（Grand Avenue）、GreenSquareDC SYD1 Stage 1 的施工現況只能由聚合站/lead 資料支持，Portal 無後審文件，建議向業者確認。</t>
  </si>
  <si>
    <t>NSW-B：所有已核准且「可能對外出租」的 Goodman、Stockland/EdgeConneX 案均無租戶資訊；沒有任何政府文件說明剩餘可租 MW。</t>
  </si>
  <si>
    <t>NSW-B：Davis Road 的土地持有人（Stockland？）與 AWS 的合約關係（自建或租賃）未證實；本報告僅依政府文件把其列為 AWS 專用。</t>
  </si>
  <si>
    <t>NSW-B：SHDC（Moss Vale）資料棟 DB1/DB2 的 MW 與是否對外出租未公布；議會 DA 文件不在 Planning Portal。</t>
  </si>
  <si>
    <t>NSW-B：一般議會 DA（非區域小組、非 SSD）無法由 Portal 搜尋；&lt;15 MW 的資料中心（例如 DXN Olympic Park 5 Parkview Dr、Viridis）不在 SSD 門檻內，需逐 LGA DA tracker 查證。</t>
  </si>
  <si>
    <t>NSW-B：City of Sydney 與 Canterbury-Bankstown 的規劃小組篩選未成功；Sydney 市區（Alexandria、Ultimo、Pyrmont）的小型 DA 可能漏掉。</t>
  </si>
  <si>
    <t>NSW-B：【最重要更正】Davis Road（3 Davis Road, Wetherill Park, SSD-59416728）依 DPHI portal 上的開工通知與 Staging Plan 函，客戶明確為 Amazon Web Services（Cundall 代 AWS 申請，Lendlease 施工）。lead 把它當作 Stockland/EdgeConneX「Project Blue Tongue」可出租案是錯的，已移到 excluded（captive）。Stockland–EdgeConneX 合資已揭露的 NSW 據點是 MPark Stage 2（NSW-B-12/13），總用電合計約 125 MW（IT 約 86 MW），皆已核准但未開工、未見租戶。</t>
  </si>
  <si>
    <t>NSW-B：【申請人已解析】Apollo Place＝AirTrunk（EMKC Cubed Management 申請；CEMP 核准函收件人 Trustee for Airtrunk Lane Cove Trust，2026-08-04）；Pluto、Duke、Project Apollo（Macquarie Park）＝Goodman Property Services (Aust)；Khartoum Road 與 Road 1（Building H）＝Stockland Development Pty Ltd；Grand Avenue Rosehill＝Equinix Hyperscale 2 (SY10) Pty Limited（SY10x）；Aldington Road＝Stockland Development；KC1 與 Ashfords Road＝CDC Data Centres；Julius Avenue＝ISPT；Brookhollow Avenue＝GreenSquareDC SYD1 Stage 2（Project Garden 1 / Norwest Property Trust）；STACK 78 Lockwood Road＝STACK SYD01 Erskine Park（同案）；Frederick Street＝Gateway Capital；23-25 Waterloo Road＝Digital Realty（Baxtel）；22 O'Riordan St＝Markham；Kurri Kurri＝AirTrunk（W.Media；Scoping 申請人為 ADW Johnson）；Mars Road/Lane Cove DC Alliance 與 AIMS Bella Vista 未能解析。</t>
  </si>
  <si>
    <t>NSW-B：【容量基準差異】Portal 標題常用 MVA 或舊版數字，DPHI 評估報告才是權威：Pluto Portal 126 MW → 報告 100 MW（IT 68）；Duke 90 MVA → 120 MW（IT 85）；Project Apollo 90 MVA → 135 MW；Khartoum 35 MW → 76.4 MW（IT 51.4）；NEXTDC S4 250/350 MW → 294 MW；Marsden Park 504 MW 為 IT（最大 720 MW）；Aldington 168 MW → IT 342–360 MW；Mamre Road 600–1,000 → 1,200（IT 1,040）。已在各記錄 capacity_notes 註明。</t>
  </si>
  <si>
    <t>NSW-B：【離客戶 5 MW 需求最近、有硬證據的可租標的】DigiCo SYD1（+47.5 MW，2026-10-07 開工、21 個月；但已有 LOI 52 MW）、Macquarie IC3 Super West（Stage 2 約 2026-08/09 開始營運，首批 6 MW；47 MW 分階段）、DCI SYD02（63 MW，2026 主體施工、2028 初）、GreenSquareDC SYD1 Stage 1（14.9 MW，核准 2025-09、2026 Q3 完工）。大型園區（CDC Marsden Park、NEXTDC S4、AirTrunk SYD3）已動工但容量多半已被預訂（NEXTDC FY26 前置訂單 565 MW；CDC 555 MW 美國客戶合約）。</t>
  </si>
  <si>
    <t>NSW-B：【已核准、未開工、無租戶】Goodman Pluto（stage 1 34 MW）、Duke（IT 85 MW）、Project Apollo（135 MW）；Stockland/EdgeConneX Khartoum（IT 51.4 MW）與 Road 1（IT 34.3 MW）；AirTrunk Apollo Place（45 MW；CEMP 已核准，隨時開工）；Equinix SY10x（31.2 MW，xScale 可能已預租）。這些最適合作為 build-to-suit / 預租談判對象。</t>
  </si>
  <si>
    <t>NSW-B：【政策／電網】NSW Data Centre Policy Framework 與 Guidelines 於 2026-08-17 發布（DPHI 2026-08-31 起以修訂 SEARs 要求 S7、KC1、Mars Road、Kurri Kurri 等案的 EIS 對照 Performance Measure 1、4、13）。W.Media：績效門檻 dPUE ≤1.25 且 dWUE ≤1.0（用自來水）或 dPUE ≤1.3 且 dWUE ≤0.44；水冷須用再生水或不受降雨影響的供水協議；開發商自付額外電水基建；快速通道：SEARs 2 個月、DA 評估 75 天；官方估計連接申請 7 MW 中有 6 MW 可能是「幽靈需求」；NSW 營運中資料中心數 60（W.Media）vs 3 月新聞稿「90」。DPHI 對 Project Apollo/Road 1 的核准條件：營運前須以 NSW 在地「firmed renewable」PPA 抵銷全部營運用電，施工後 6 個月內須提出 PPA/firming 進度證明，並訂 Sustainability Management Plan（PUE/WUE 監測）——租戶成本會上升。</t>
  </si>
  <si>
    <t>NSW-B：【Transgrid 容量政策】Network Capacity Allocation Policy 2026-08-14 生效（W.Media 2026-08-19）：簽訂連接協議後 3 個月內須證明規劃許可、施工合約、土地、設備採購、融資等；西雪梨 330 kV 容量在 2033 年後「大致耗盡」；資料中心用電諮詢逾 10 GW，約 6 GW 進入正式申請。已取得核准且已付費的站點因此更稀缺。</t>
  </si>
  <si>
    <t>NSW-B：【IDA】2026-03-27 部長新聞稿：15 個資料中心案、A$51.9bn，另 A$40.7bn 被判「過早或過度投機」未背書；IDA 名單上的 KNBDC SYD4 對應 Mamre Road（Plan Project Management 為 EIS 申請人）；「Stockland 2 David Road」＝Davis Road（AWS 專案）；Lane Cove DC Alliance 的 16-20 Mars Road 與 SSD 門牌不符。</t>
  </si>
  <si>
    <t>NSW-B：【坐標】lat/lon 取自 Planning Portal 專案頁嵌入的地圖標記點（政府來源、約略至地址層級）；Aldington Road、Brookhollow Avenue 的標記點明顯錯誤（落在雪梨東區/Hawkesbury），22 O'Riordan 與 Moss Vale 為粗略值，皆已留空。</t>
  </si>
  <si>
    <t>NSW-B：【可重複的方法】portal 頁面 → data-nid → accordion id 的 folder 編號 → https://www.planningportal.nsw.gov.au/major-projects-attachments-data/{nid}/folder_{n}/attachment（或 postAttachment）取得 JSON 文件清單，檔名中的 AttachRef 時戳即上傳日期。可用於其他需要 NSW 官方證據的後續查證。</t>
  </si>
  <si>
    <t>NSW-B：時間敏感：22 O'Riordan Street 的 SEARs（2024-11-01）約 2026-11 到期；S5 的 EIS 自 2024-07 提交仍在補件；DigiCo SYD1 預定 2026-10-07 開工；CDC Marsden Park SSD 工程預定 2026-08-01 開工（尚無確認文件）。</t>
  </si>
  <si>
    <t>NSW-C：WebSearch（共約 8 次，之後 session 共用額度 200/200 用盡）：Macquarie Technology 200 MW 新園區、IC3 Super West、CDC Wagga／Ashfords Road、Holdmark Talavera Road、Goodman Project Apollo、METC SEARs → 取得 METC 賣方 Holdmark／價格／MW、CDC Wagga 的 1.4 GW、Goodman Apollo 135 MW。之後 WebSearch 回報額度用盡，改用下列方法。</t>
  </si>
  <si>
    <t>NSW-C：Macquarie 一手資料：ASX 2025-07-14（期權）、2026-08-06（完成購地）、FY26 業績簡報（2026-08-26）逐字讀取（curl + pdftotext）；三份皆未載街道地址，改以 Holdmark 2014 年 Planning Panel 紀錄（66-82 Talavera Road, LDA2014/299）與 apartments.com.au 推定。</t>
  </si>
  <si>
    <t>NSW-C：NSW Planning Portal（curl 直接讀 Drupal 列表）：development_type=Data Storage 共 50 筆（與 lead 清單吻合）；case_type=State Significant Development 全部 2,638 筆標題關鍵字掃描（data/digital/compute/AI/campus 等）；'Warehouse or distribution centres' 177 筆；另逐一掃 29 個區域 LGA（Wollongong、Central Coast、Wingecarribee、Orange、Bathurst、Albury、Queanbeyan-Palerang、Broken Hill、Wagga Wagga、Cessnock、Newcastle、Lake Macquarie、Maitland、Shellharbour、Kiama、Shoalhaven、Singleton、Muswellbrook、Upper Hunter、Port Stephens、Goulburn Mulwaree、Wollondilly、Hawkesbury、Lithgow、Yass Valley、Snowy Monaro、Hilltops、Greater Hume、Federation）→ 區域資料中心 SSD 僅有 Kurri Kurri、Wagga（Gregadoo）、Moss Vale（SHDC 燃氣電廠）、Jerrabomberra（DCI Poplars，被歸在 Warehouse 類型）。</t>
  </si>
  <si>
    <t>NSW-C：Portal 文件讀取方法：專案頁文件清單由 /major-projects-attachments-data/&lt;nid&gt;/folder_&lt;n&gt;/attachment JSON 端點載入，AttachRef 內含上傳時間戳；以此讀取範疇界定報告（Kurri Kurri、Wagga、SHDC、Frederick St、Julius Ave、22 O'Riordan、Mamre、Aldington、KC1、Brookhollow、1-5 Khartoum、Project Duke、Grand Avenue、STACK、Mars Road、Atlas）與 DCI Eastern Creek／Poplars 核准報告、DCI EC Mod 2 評估報告。</t>
  </si>
  <si>
    <t>NSW-C：WordPress REST API 日期限定新聞掃描（2026-04-01 至 2026-10-03，約 60 個關鍵字：區域地名、營運商、開發商）：w.media、bebeez.eu（DCD 鏡像）、realestatesource.com.au、capacityglobal.com、arnnet.com.au、mingtiandi.com、innovationaus.com → 新增 AirTrunk Kurri Kurri、CDC Wagga、Gateway 81 MW、GreenSquare／Sharon AI、Goodman Apollo、Next Capital／Fujitsu、Macquarie METC；Illawarra、Wollongong、Central Coast、Orange、Bathurst、Albury、Broken Hill、Newcastle 皆無資料中心相關報導。ISPT、Markham、Fife、KNBDC、Plan Project Management、Digital Realty North Ryde 在此窗口內新聞無命中，改以 Portal 文件確認。</t>
  </si>
  <si>
    <t>NSW-C：Cloud Carrier 官網（cloudcarrier.com 首頁／campus／db1／contact-us／about-us）以 curl 讀取，取得 SHDC 地址（30 Douglas Road, Moss Vale）、DB1 規格與 DB2 coming soon。</t>
  </si>
  <si>
    <t>NSW-C：無法使用或無結果：DCD（403）、AFR／Urban Developer／Capital Brief／Property Council（無 REST、付費牆或 Cloudflare 阻擋）、Baxtel 列表（404）、DatacenterMap（429）、DuckDuckGo HTML（需人機驗證，未繞過）、Bing（回傳無關結果）、DCI／LEDC／Fujitsu 官網（連線失敗）。</t>
  </si>
  <si>
    <t>NSW-C：Macquarie METC：尚未向 DPHI 提 SEARs／SSD，無任何資料中心規劃申請；街道地址（66-82 Talavera Road）為推定，需 Macquarie 提出申請或 Ryde 議會再分割紀錄才能確認。建議持續追蹤 Planning Portal 與 ASX。</t>
  </si>
  <si>
    <t>NSW-C：WebSearch 額度用盡且 DCD、AFR、Urban Developer、Capital Brief、Property Council 無法讀取：2026-04 至 10 月這些來源上可能存在的其他 NSW 報導未被涵蓋；ASX 公告只讀 Macquarie Technology 三份。</t>
  </si>
  <si>
    <t>NSW-C：區域 NSW（Illawarra、Central Coast、Orange、Bathurst、Albury、Broken Hill、Newcastle／Hunter 其餘地區）：Portal SSD 與新聞皆無資料中心案；但低於 15 MW 的案件走市府 DA（非 SSD），本次未逐一查各市府 DA 追蹤器，無法排除小型案。</t>
  </si>
  <si>
    <t>NSW-C：Southern Highlands Data Campus：DB1 是否已通電營運、有無租戶、DB2 實際核准與動工情形，以及 Wingecarribee 議會 DA 登記冊（DA 21/1042、24/0055、25/2158、26/0352）皆未核實；燃氣電廠 SSD-102795459 的 EIS 進度需追蹤。</t>
  </si>
  <si>
    <t>NSW-C：Kurri Kurri：AirTrunk 專案網站 URL 未找到；EIS 尚未公開展示；擬用 CDC（Complying Development Certificate）先行土建，Cessnock 議會／認證人是否已核發 CDC 未知。</t>
  </si>
  <si>
    <t>NSW-C：Fujitsu Greystanes／Homebush Bay 街道地址與各站未租容量無公開資料；Next Capital 交割後擴建計畫未公布。</t>
  </si>
  <si>
    <t>NSW-C：known-facts 中『Digital Realty North Ryde 約 70 MW』無法驗證（Portal 上 North Ryde 僅有 ISPT 的 Julius Avenue 170 MW）；IDA 名單中的『KNBDC Mamre Road』與 Portal 上 SSD 的對應不明；Equinix 與 Markham 22 O'Riordan Street 的關係未證實。</t>
  </si>
  <si>
    <t>NSW-C：DCI Eastern Creek SYD02 預計完工日只有 Linesight（經 known-facts）說法；DCI Poplars CBR01 無開工時程。</t>
  </si>
  <si>
    <t>NSW-C：所有 lat／lon 皆為 null：本次未取得可靠座標來源，需由 lead 以地址地理編碼。</t>
  </si>
  <si>
    <t>NSW-C：容量口徑混用：多數 SSD 只公布 total power consumption（非 IT 負載），已在各筆 capacity_basis 標註。</t>
  </si>
  <si>
    <t>NSW-C：【對 5 MW 租戶最相關】區域 NSW 的大案（AirTrunk Kurri Kurri 540 MW、CDC Wagga 1.4 GW）皆為超大規模、早期階段（SEARs／EIS），不適合 5 MW 級近期需求。較貼近的是：Cloud Carrier SHDC DB1（Moss Vale，28 MW powered shell，已建成，無公開租戶）、DCI Poplars CBR01（Jerrabomberra，核准、首階段 8 MW IT，尚無開工證據）、DCI Eastern Creek SYD02（已動工，63 MW）、Macquarie IC3 SuperWest（6 MW 2026-09 啟用，Phase 2 的 13 MW 預計 2027-06；FY26 簡報稱與錨定客戶談判『well progressed』且多家客戶有需求）。</t>
  </si>
  <si>
    <t>NSW-C：【Macquarie 200 MW 新園區】正式名稱 Macquarie Engineering &amp; Technology Campus，2026-08-06 完成購地（A$2.4 億，總成本 A$2.54 億），地點在 Talavera Road 與 M2 之間約 34,200 sqm（推定 66-82 Talavera Road，Holdmark 舊地）。尚無規劃申請，初期建設預計 2029 年底，列為 watch-list（excluded）。FY26 簡報另稱 MDC 目前已安裝容量 21 MW、含 IC3 SuperWest 與 METC 合計約 268 MW。</t>
  </si>
  <si>
    <t>NSW-C：【更正 known-facts】(a) DCI Eastern Creek：街道地址 = 90 Peter Brock Drive, Eastern Creek；最早開工通知為 2025-06-19（非 2025-10），Mod 2（2026-08-05 核准）把 SYD02 由 32 MW 提高到 63 MW；申請人 NineZero DC Sub TC I Pty Ltd t/a DCI Data Center。(b) 22 O'Riordan Street（SSD-77274467）申請人是 Markham，38 MW IT／50 MVA，非 Equinix（Equinix 說法僅見 DCD，未被政府文件支持）。(c) Kurri Kurri 案的營運商為 AirTrunk（W.Media），地址以 Hart Road, Loxford 為準。</t>
  </si>
  <si>
    <t>NSW-C：【Portal proponent 對照（均讀自範疇界定報告）】Julius Avenue（SSD-80018208）= ISPT，170 MW；Mamre Road Campus（SSD-92743706）= Plan Project Management；Aldington Road（SSD-112059740）= The Trustee for Fife Land 3 Trust（12 廳 x 14 MW）；KC1（SSD-133677993）= CDC，144 MW；Brookhollow Avenue（SSD-81928961）= GreenSquare SYD1 Stage 2，約 80 MW；1-5 Khartoum Road（SSD-63235720，35 MW）= Stockland，Road 1 Data Centre（SSD-80814238，34.3 MW、10 層）也在 1-5 Khartoum Road，圖說為 Stockland MPark Building H；Project Duke（SSD-71368959）= Goodman；Project Atlas（SSD-101067971）= Goodman Property Services；Grand Avenue Rosehill（SSD-53338465）= Equinix Hyperscale 2 (SY10) Pty Limited，45 MW（IT 30 MW）；STACK SYD01（SSD-82211208）= STACK Infrastructure Australia，Portal 稱 450 MW；Project Apollo（4-10 Talavera Road，SSD-74069708）= Goodman，135 MW，A$13.65 億，2026-09-02 核准；Frederick Street（SSD-139545990）= Gateway Capital，81 MW IT。</t>
  </si>
  <si>
    <t>NSW-C：【Portal 分類漏網】Data Storage 篩選的 50 筆之外，另有開發類型被歸為 Warehouse or distribution centres 的資料中心 SSD：DCI Poplars（SSD-64287712，2025-11-06 核准）、DCI Eastern Creek（SSD-21342738）、Roberts Road（SSD-10330）、Macquarie Park DC（SSD-10467）、Lane Cove West（SSD-9741）、Kemps Creek DC（SSD-10101987）、Mowbray Road（SSD-13475973，撤回）。我已對全部 2,638 筆 SSD 標題做關鍵字掃描，未再發現其他。</t>
  </si>
  <si>
    <t>NSW-C：【其他線索】DigiCo（W.Media 2026-05-06）：SYD1 最多 88 MW，20 MW 升級中前 15 MW 已完成、其餘 5 MW 預計 2026 年中，2027 年再交付 10 MW；GreenSquare SYD1 Stage 1 已由 Sharon AI 錨定（2026-09-21）；Anthropic 與 Zerra 簽署昆士蘭首階段租約（2026-09-16／17，僅見標題未開啟，非 NSW，轉交 QLD 負責人）；CDC Beard 2（Canberra，A$2.035 億，2026-09-30，僅見標題）屬 ACT。</t>
  </si>
  <si>
    <t>NSW-C：【方法提示】Planning Portal 列表可用 ?development_type=…&amp;case_type=…&amp;lga=&lt;id&gt;&amp;page=n 以 curl 直接取得（無需瀏覽器）；文件清單走 /major-projects-attachments-data/&lt;nid&gt;/folder_&lt;n&gt;/attachment JSON，URL 的 AttachRef 含上傳時間戳可當作日期證據。w.media、bebeez.eu、capacityglobal、realestatesource、arnnet、mingtiandi、innovationaus 皆開放 WordPress REST（/wp-json/wp/v2/posts?search=…&amp;after=…），可做日期限定新聞掃描。</t>
  </si>
  <si>
    <t>VIC 維多利亞州</t>
  </si>
  <si>
    <t>VIC-A</t>
  </si>
  <si>
    <t>VIC-A：WebSearch（共用額度後來耗盡 200/200）共約 13 次：AirTrunk MEL2、NEXTDC M3/M4、Vantage MEL1、CDC Laverton、STACK 墨爾本、PAC1 Leakes Road、HyperDC、Zerra、Dover、Galileo。取得主要來源 URL 與初步事實；之後的搜尋全部被拒。</t>
  </si>
  <si>
    <t>VIC-A：額度耗盡後改用 Bash/python（urllib）直接抓取：Planning Victoria 部長許可登記冊個案頁（WebFetch 會 403，但 python 可抓，含申請人、受理日、決定日、修改紀錄與附件 PDF）、PlanningAlerts（Wyndham 申請）、AusNet 專案頁、industry.gov.au 的 AIPP PDF（pdftotext 轉文字）、營運商官網、DCD / W.Media / Mingtiandi / DJSIR。</t>
  </si>
  <si>
    <t>VIC-A：datacentremoratorium.net（DCM wiki，活動人士維基）：Greater Melbourne 與 Regional Victoria 索引表提供各專案地址、申請路徑、狀態，專案頁整理了 Wyndham/Brimbank 建築許可與許可 GUID 連結，再逐一回頭驗證 DTP 頁面。視為聚合器；其 DMS 座標未採用。</t>
  </si>
  <si>
    <t>VIC-A：DuckDuckGo HTML：第一次查詢成功（Goodman MEL02 → 找到 AIPP 文件），後續連續查詢出現機器人驗證，已停止，未嘗試繞過。DatacenterMap 429、AFR 存檔頁 429、Invest Victoria 403、au.goodman.com 403；DCD/CRN/w.media 經 WebFetch 工具 403，改以 python 直接抓取 DCD 成功。</t>
  </si>
  <si>
    <t>VIC-A：Baxtel 頁面：只取狀態標籤與建成年；頁面內嵌座標是預設地圖視窗，未使用。</t>
  </si>
  <si>
    <t>VIC-A：63 Sunshine Road（PA2403320）：自許可頁下載官員報告與許可 PDF，掃描 MW/MVA/營運商關鍵字，無結果。</t>
  </si>
  <si>
    <t>VIC-A：AirTrunk MEL2 對帳：許可頁（PA2403452 與 -1）、AirTrunk 官網 MEL2 頁與 2025-12-24 新聞稿、CRN、W.Media、DCM wiki 時間線逐一比對。</t>
  </si>
  <si>
    <t>VIC-A：「ADC」：在墨爾本資料中找不到指的是哪家公司/專案（DCM wiki、DTP 登記冊、Baxtel 均無），請 lead 提供全名或來源。</t>
  </si>
  <si>
    <t>VIC-A：Equinix ME1–ME5、Digital Realty MEL10/MEL11/MEL12：官網與可得資料無 ≥5 MW 剩餘容量或擴建證據；MEL12 官網頁 404；lead 提到的 Equinix ME2 phase 3 沒有找到文件。</t>
  </si>
  <si>
    <t>VIC-A：Goodman：au.goodman.com 全站 403，Goodman 官方 Craigieburn / Truganina / Brooklyn 資料未能開啟；Goodman Brooklyn 查無任何證據；95A Amaroo Road 證據不足（見 excluded）；AIPP 的 MEL02 與 433 Mount Atkinson Road 為推定對應。</t>
  </si>
  <si>
    <t>VIC-A：NEXTDC FY26 業績簡報（2026-08）與 ASX 公告未取得：M3 Stage 2/4 與 M4 的施工進度、完工日期、M3 擴建時程皆缺；M3 2026 年的施工證據僅到 Kapitol 2025-07。</t>
  </si>
  <si>
    <t>VIC-A：AirTrunk MEL1 擴建（Building 2/3）：無政府文件或具日期事件；MEL2 主體施工是否已開始需向 AirTrunk 或 Brimbank 建築許可確認。</t>
  </si>
  <si>
    <t>VIC-A：Vantage MEL1 狀態（施工中 vs 營運中）與 MEL-C（Leakes Rd）：只有聚合器，無一手證據。</t>
  </si>
  <si>
    <t>VIC-A：Wyndham / Brimbank / Hume / Casey / Monash / Latrobe 議會入口網站未直接開啟，議會許可日期取自 PlanningAlerts 或 DCM wiki 轉述；STACK MEL02 的建築許可日期 wiki 自己標了「???」。</t>
  </si>
  <si>
    <t>VIC-A：PGIM 80 MW 的 AFR 原文未讀（429）；PA2604458（SDC1 變電站）、PA2604553（GreenSquare）、PA2604671（HyperDC）、PA2604679、PA2604199、PA2503895 的 DTP 頁未直接開啟（編號與日期來自 lead 或 wiki）。</t>
  </si>
  <si>
    <t>VIC-A：座標：全部未提供（Baxtel 頁內座標為預設地圖視窗，DCM wiki 座標屬活動人士維基，皆不採用）；lead 需自行地理編碼。HyperDC、Galileo 郵遞區號與 HyperDC 的 LGA 來源未載。</t>
  </si>
  <si>
    <t>VIC-A：Fujitsu Noble Park 街址未查到；Brooklyn BK1/BK2 剩餘空置容量與第三棟申請編號未取得。</t>
  </si>
  <si>
    <t>VIC-A：CDC 官網墨爾本頁無日期，與 DJSIR 2026-02-26 稿對 Brooklyn 狀態略有出入；CDC Laverton 的建築棟數與分期（LA1 等命名）官方未公布。</t>
  </si>
  <si>
    <t>VIC-A：【可重用的取證方法】(1) Planning Victoria 部長許可登記冊的個案頁用 python urllib 可直接抓取（WebFetch 工具會 403），頁面有申請人、受理日、決定日、修改紀錄與附件；附件 PDF（官員報告）在 sftpbspomppprod01.blob.core.windows.net，可下載後用 pdftotext 掃描。個案頁 GUID 可從 DCM wiki 各專案頁的外部連結取得。(2) 聯邦 industry.gov.au 的 Australian Industry Participation Plan（AIPP）摘要（/sites/default/files/aip/YYYY-MM/…pdf）會載明資本支出級距、最終投資決定日、開工日與試運轉日，是判斷「即將開工」專案的好一手資料——建議其他州/角度的代理也查 AirTrunk、NEXTDC、CDC 等的 AIPP。</t>
  </si>
  <si>
    <t>VIC-A：【對 known-facts 的修正/補充】PA2403320（63 Sunshine Road）不是 NEXTDC M3（申請人是規劃顧問 Contour Consultants，官方文件未提 NEXTDC；M3 擴建實為 PA2604231）。PA2403452 = AirTrunk MEL2（85 Sharps Road，申請人 EMKC3 Pty Ltd/Hines）；PA2504040 = PAC1 Leakes Road 的電網接入，PAC1 推定為 ACS/Coravel（見紀錄 12）；PA2403014 = Goodman 80 Kinloch Court（DTP 頁不顯示申請人）；PA2604503 申請人確認為 Goodman Property Services；PA2402997 = Dover SM1A（PVAC 許可）；PA2604586 = Dover SM1B/SM2；PA2604378 申請人確認為 Stockland Development Pty Ltd；PA2503895 = NEXTDC GE1（4.4 MW，未達門檻）；PA2403016、PA2403416 經 DCM wiki 歸為 AWS（自建）；PA2302143 = MAB Westmeadows；PA2604553 = GreenSquareDC（Spotswood）；PA2604671 = HyperDC。除前三項外皆需注意部分來自 wiki。</t>
  </si>
  <si>
    <t>VIC-A：【三項對帳結論】AirTrunk MEL2：位於 85 Sharps Road Tullamarine，許可 2025-03-28 核准、2026-06-26 改設計，AirTrunk 2025-12-24 購地，未見主體施工證據 → approved_not_started（CRN 稱 2027-H2 營運屬計畫）。NEXTDC M3：官網現行 225 MW IT；150 MW 是 2022 年舊 masterplan（DCD、Baxtel 仍沿用）；133 MW（RenewMap）是預售訂單數字；320 MW（DCM wiki）基準不明。Vantage MEL1：官網 64 MW critical IT（單棟），Baxtel 48 MW（三棟）為舊版/分期文案，採 64 MW。</t>
  </si>
  <si>
    <t>VIC-A：【對 5 MW 租戶的重點】墨爾本在建/即將開工的容量幾乎都是超大規模批發型：STACK MEL02（252 MW）、MEL01C/D（108 MW）、CDC Laverton（首期 150 MW，全園區 400 MW+）、NEXTDC M3 Stage 2/4 與 M4（首期約 10 MW）；NEXTDC 整體已預售，CDC 與 STACK 租戶未公布。真正「即將開工」的是 Goodman Truganina（AIPP：FID 2026-10、2027-04 開工、2029-06 試運轉）、PGIM Truganina（許可 2026-05）、AirTrunk MEL2、PAC1（電網 2026-07 起）。小規模/現成容量的線索是 Fujitsu Noble Park（12 MW 舊站，Next Capital 收購中）與 Centuria Clayton（40 MW，2027 年中之後才動工）。</t>
  </si>
  <si>
    <t>VIC-A：【註記】CDC 的 Invest Victoria 2026-03 新聞「officially opens its first Melbourne campus」指的是 Brooklyn（DJSIR 2026-02-26 稿可佐證），不是 Laverton。CDC 官網稱 Brooklyn 350 MW+、Laverton 400 MW+、墨爾本合計 780 MW+。Keppel Hazelwood North 在 Latrobe Valley（距墨爾本約 150 公里），非都會區，已標注。DCM wiki 與 Baxtel 的座標未採用。</t>
  </si>
  <si>
    <t>VIC-A：【取證限制】共用 WebSearch 額度在本次任務中被耗盡（200/200），DuckDuckGo 對連續查詢出現機器人驗證（已停止、未繞過）；因此部分專案（Equinix、Digital Realty、Goodman 官方、NEXTDC FY26 簡報）缺資料，詳見 gaps。</t>
  </si>
  <si>
    <t>VIC-B：【DFP 登記冊】planning.vic.gov.au 的個案頁用 WebFetch 回 403，但 python urllib（瀏覽器 UA）可讀；登記冊搜尋頁由 Funnelback JSON API（dotappg-search.funnelback.squiz.cloud/s/search.json，collection=dotappg~sp-planning-ministerial-permits）驅動。以 query=data centre 取得 21 筆（與 lead 一致），逐筆讀取個案頁（申請人、受理日、決定日、修訂紀錄、附件）。</t>
  </si>
  <si>
    <t>VIC-B：【官員報告】從個案頁解析 sftpbspomppprod01.blob.core.windows.net 附件連結，下載 PA2302143、2402997、2403014、2403016、2403320、2403416、2403452、2503895、2504019、2504032 的官員報告／許可（Form 4/9），以及 PA2604362、PA2604419 的申請書，用 pdftotext 掃描申請人、GFA、階段、MW、成本。</t>
  </si>
  <si>
    <t>VIC-B：【補漏】另查 query=data center（美式拼法）得 PA1600153（Port Melbourne，2017）；query=AirTrunk 命中 PA2403452-1，其更正申請人為 Airtrunk Mel2 Pty Ltd，因而識別 85 Sharps Road = AirTrunk MEL2；query=Altona North／substation data 得 PA2604679、PA2503711、PA2604458、PA2504040 等電網許可；另見 PA2604199（PGIM 的 Truganina 終端站連線，經 wiki）與 PA2604227（Mount Cottrell Terminal Station，非資料中心）。Funnelback 之後被限流（403），分頁掃描 53.22 條款僅取得部分結果，未發現新增資料中心案件。</t>
  </si>
  <si>
    <t>VIC-B：【州政府】讀 Premier 2026-09-22 新聞稿、DJSIR Sustainable Data Centre Action Plan 頁面與 PDF（djsir.vic.gov.au 的 PDF 需 Referer 標頭）；結果：官方文件沒有核准／待決件數，僅有 &gt;50 座營運、GWW 評估 19 件用水申請（19,714 ML/年）、AEMO &gt;18 GW 詢問等。『八件待部長決定』出自 ABC 2026-09-22；『十件已核准』為本次依登記冊重建（見 notes）。</t>
  </si>
  <si>
    <t>VIC-B：【新聞與趨勢】WebSearch 共用額度在本次任務中用盡（200/200），改用 Google News RSS（news.google.com/rss/search）作為搜尋，並以 batchexecute 解出原文連結，再以 python 抓取原文；共執行約 140 組查詢，涵蓋 16 個 LGA、各專案與州政府數字。</t>
  </si>
  <si>
    <t>VIC-B：【Brimbank 公開規劃登記冊】經 DCM wiki 連結取得 Brimbank 官方 PDF（487 頁，資料截至 2025-07-22），逐頁 pdftotext 並用 pdfplumber 座標核對，找到的資料中心許可：P589/2016（75 Sharps Rd，NEXTDC M2）、P490/2016 與 P82/2019（Swann Dr，AirTrunk MEL1）、P435/2021（Allied Dr／Tullamarine Park Rd，Vantage MEL1）、P569/2023 與 P652/2021（598B Geelong Rd，CDC Brooklyn）、P505/2019（54 Radnor Dr）、P645–647/2021（34 Harrison St）、P184/2020（32 Collinson St，資料儲存設施）、P259/2024（48 Thomsons Rd，Keilor Park 小型）。登記冊不列申請人，營運商對應取自 DCM wiki。</t>
  </si>
  <si>
    <t>VIC-B：【議會入口】Casey eTrack（PA26-0190）與 Hume eTrack（P26624）的公開頁可讀（已採用）；Wyndham（T1 CiAnywhere）、Latrobe ePathway、Monash ePathway 需登入或工作階段，未能開啟，議會許可編號改取自 PlanningAlerts（已讀 WYP14917/24.05、Hume P26624）與 DCM wiki 轉述（標明 wiki 轉述）。</t>
  </si>
  <si>
    <t>VIC-B：【社群追蹤維基】Data Centre Moratorium Wiki（datacentremoratorium.net）以 MediaWiki API 取得其 Resources 命名空間全部 144 頁，其中 59 頁為資料中心頁，已逐頁核對地址、議會、許可編號、狀態；它引用 Wyndham 入口網站、planning.vic.gov.au 與 PlanningAlerts，但屬社群來源（最低層級），座標與未獨立核實的數字不採用。</t>
  </si>
  <si>
    <t>VIC-B：【議會立場與計數】Hume（2026-08-10）、Brimbank（2026-08-18）一致通過要求州府暫停核准；Wyndham（2026-07-28）通過研究框架、重大決策盡量由議員在公開會議決定；Maribyrnong 議會反對 NEXTDC M3 擴建；Whittlesea（2026-08-18）要求透明度；Greater Geelong 對 NEXTDC 提出關切；Casey 議員已 call in PA26-0190，待議會表決。Moonee Valley、Merri-bek、Kingston、Mitchell、Moorabool Shire、Greater Dandenong：新聞搜尋與 wiki 59 個據點中均無 ≥5 MW、已核准或施工中的資料中心。</t>
  </si>
  <si>
    <t>VIC-B：【聯邦 AIPP】industry.gov.au 的 Australian Industry Participation 計畫摘要（267 筆）中，與維多利亞資料中心有關的只有 Goodman MEL02 Building A（Truganina，2026-09-14）；Goodman Project EOS 在雪梨；GreenSquare SYDGPU1 在雪梨。AirTrunk、NEXTDC、PGIM、Zerra 等 A$500m 以上案件均未見摘要。</t>
  </si>
  <si>
    <t>VIC-B：Wyndham 規劃許可（STACK MEL01C/D、MEL02、MEL03、ACS Leakes Road、CDC Laverton）：入口網站需登入，編號與日期來自 DCM wiki 或 PlanningAlerts，未能開啟原始頁；STACK MEL01C/D 與 CDC Brooklyn、AirTrunk MEL1、NEXTDC M2、Vantage MEL1 的 Wyndham／Brimbank 許可編號未取得。</t>
  </si>
  <si>
    <t>VIC-B：施工硬證據缺口：AirTrunk MEL2、NEXTDC M4、PGIM Truganina、Perri PMDC、DoverDC SM1A、ACS Leakes Road 本體都沒有找到開工通知、動土新聞或建築許可（Wyndham／Brimbank／Melton 建築許可需另查）；僅 STACK MEL02（wiki 整理建築許可）、CDC Laverton（動土新聞稿）、NEXTDC M3 Stage 2/4（Kapitol）、NEXTDC M2 Stage 6 有證據。</t>
  </si>
  <si>
    <t>VIC-B：容量口徑：AirTrunk（354+／276+／185+ MW）、CDC（150 vs 400+ MW）、STACK、NEXTDC 的 MW 都未說明是 IT、關鍵負載還是耗電量；Stockland 為 MVA。</t>
  </si>
  <si>
    <t>VIC-B：NEXTDC FY26（2026-08）業績簡報與 ASX 公告未取得（官網新聞列表只到 1H26 與 2026-04 更新）；M3 Stage 2/4、M4、M2 Stage 6 的最新進度與完工日以 1H26（2026-02-25）為準。</t>
  </si>
  <si>
    <t>VIC-B：Goodman：au.goodman.com 全站 403；Hume P26624（95A Amaroo Road）的申請人、MW 不明；Goodman 與 80 Kinloch Court 的關係已被官員報告推翻，但 Goodman 在 Craigieburn 是否另有資料中心專案仍待向 Goodman 確認。</t>
  </si>
  <si>
    <t>VIC-B：Mickleham 45 Donnybrook Road 的申請人登記冊未列；AirTrunk 為媒體報導，DataCenterMap 列 Amazon。</t>
  </si>
  <si>
    <t>VIC-B：Keppel Hazelwood North：Latrobe 2025/27/A 是否為資料中心申請、內容為何，無法開啟 ePathway 驗證。</t>
  </si>
  <si>
    <t>VIC-B：Centuria Clayton：被否決的 38 MW 案與 40 MW 第二座的申請編號（Monash TPA/57779 是哪一案）未釐清。</t>
  </si>
  <si>
    <t>VIC-B：座標：全部未提供（DCM wiki 座標為社群來源，Baxtel 座標被付費牆隱藏），lead 需自行地理編碼。</t>
  </si>
  <si>
    <t>VIC-B：LGA 不確定者：HyperDC（Moorabool 郊區是否屬 Greater Geelong）、Stockland Brooklyn（已由規劃報告確認 Hobsons Bay）、Goodman Truganina 與 PGIM（Melton，依官員報告／wiki）。</t>
  </si>
  <si>
    <t>VIC-B：CDC Brooklyn 剩餘容量、第三棟申請編號；Firmus／Meta 租用細節僅來自 wiki 轉述。</t>
  </si>
  <si>
    <t>VIC-B：Vantage MEL-C（Truganina）無任何一手證據；Vantage MEL1 狀態（施工中或已營運）不明。</t>
  </si>
  <si>
    <t>VIC-B：Brimbank 登記冊中營運商不明的資料中心許可：P505/2019（54 Radnor Dr, Deer Park，2019-09-05 受理，推測為 Digital Realty MEL12 但未證實）、P645／P646／P647/2021（1–3/34 Harrison St, Deer Park，資料中心 DDO11，2021-12-14 核發）、P184/2020（32 Collinson St, Keilor Park）、P259/2024（48 Thomsons Rd, Keilor Park）；MW、營運商與是否已建成均不明，故未列入 records。登記冊僅到 2025-07-22，之後的 Brimbank 許可未能取得。</t>
  </si>
  <si>
    <t>VIC-B：Premier／DTP 發布的『十件已核准』沒有官方原文；本次的 10 件為登記冊重建（若 lead 另有官方來源請對照）。</t>
  </si>
  <si>
    <t>VIC-B：【對 lead known-facts 的重要更正】(1) PA2403320（63 Sunshine Road）不是 NEXTDC M3：申請人 Central Godown Pty Ltd（Perri Projects 董事 David Scalzo），即 Perri Melbourne Data Centre；NEXTDC M3 在 Indwe Street，擴建為 PA2604231（DTP 官員報告、Urban Developer 2025-01-24、DCD、ABC 2026-06-09、realestate.com.au 2026-09-24 互證）。(2) PA2403014（80 Kinloch Court）、PA2403016（54-80 Ferris Road）、PA2403416（171 Leakes Road）三案『由同一申請人』（DTP 官員報告 PA2403416 第 44 段）；PA2403016 為 AWS，ABC 2025-08-26 又說 Amazon 2024 年取得 Craigieburn 約 A$250m 部長核准 → 三案皆為 AWS 自建，應全數列 excluded。Baxtel／DCPulse／DCM wiki／VIC-A-13 的『Goodman 80 Kinloch Court 200 MW』應視為誤歸屬，請 lead 於合併時以此為準。(3) PA2403452（85 Sharps Road）= AirTrunk MEL2（官網 GFA 45,578 m² 與 8.070 ha 與官員報告一致，更正申請人 Airtrunk Mel2 Pty Ltd）。(4) PA2504040 的 PAC1 LRDC = 114-146 Leakes Road，推定 ACS／Coravel（Wyndham WYP15036/25）；PA2604458 的 SDC1 = Stockland 72-76 Cherry Lane（推定）。(5) PGIM 的 A$1.2bn 是首期整體投資，許可層級建造價值 A$422m。(6) 登記冊另有美式拼法『Data Center』的 PA1600153（552-578 Lorimer Street, Port Melbourne，2017-07-12），lead 的『data centre』關鍵字漏掉。</t>
  </si>
  <si>
    <t>VIC-B：【十件已核准／八件待部長決定】登記冊（2026-10-03）DFP 資料中心許可共 10 件：PA2302143 MAB Westmeadows（2023-12-21）、PA2402997 DoverDC SM1A（2024-09-12）、PA2403014 AWS Craigieburn（2024-09-17）、PA2403016 AWS Cobblebank（2024-10-03）、PA2403452 AirTrunk MEL2（2025-03-28）、PA2403320 Perri PMDC（2025-04-04）、PA2403416 AWS Truganina（2025-04-04）、PA2503895 NEXTDC GE1（2025-10-24）、PA2504019 NEXTDC M4（2026-01-16）、PA2504032 PGIM（2026-05-06）；其中 3 件 AWS 自建、1 件 4.4 MW，其餘 6 件為可租候選（DoverDC、AirTrunk、NEXTDC M4、PGIM 的 MW 明確；MAB 與 Perri 的 MW 未證實）。另有電網許可 PA2504040（2026-02-17）、PA2604458（2026-08-03）、PA2503711（2025-09-12）不計。ABC 2026-09-22 稱『另有八件在部長面前』，對應登記冊在 2026-09-22 前受理而未決的 8 件：PA2604231 NEXTDC M3 擴建、PA2604362 Zerra、PA2604378 Stockland Cherry Lane、PA2604419 Stockland Brooklyn、PA2604503 Goodman Truganina、PA2604506 Mickleham、PA2604553 GreenSquare、PA2604586 Dover SM1B；之後又新增 PA2604671 HyperDC（2026-09-22）與 PA2604679 GreenSquare 電網（2026-09-28）。以上 10 與 8 為本次重建，無官方原文可對照。</t>
  </si>
  <si>
    <t>VIC-B：【州政府數字】Sustainable Data Centre Action Plan（2026-09-22，DJSIR PDF 檔名 August-2026）：營運中資料中心 &gt;50 座（2026 年中）；Greater Western Water 正評估 19 件資料中心用水申請（共 19,714 ML/年，約墨爾本供水 4%）；AEMO 18 個月至 2025-10 收到 &gt;18 GW 資料中心併網詢問、2026-03 約 2.2 GW 進入正式程序、約 36% 專案已取消。新規：住宅區禁設、距住宅 150 m 緩衝、自帶再生能源與儲能、用回收水、地方投資保證；不溯及既往（已核准與審查中的案件適用舊規）；細則與聯邦立法 2027 年初。DFP 下規劃部長仍為責任機關。Premier Ben Carroll；州選舉 2026-11-28；Greens 暫停新資料中心的法案已被否決。其他數字：Pearson 2025-10：48 座營運、20 座待上線；Allan 2025-11：約 40 座、A$25bn 管線；資料中心業界 2026-04：Victoria 30 座營運＋30 座管線（Guardian 引述）。</t>
  </si>
  <si>
    <t>VIC-B：【對 5 MW 租戶的重點】(1) 墨爾本在建與即將開工的容量幾乎都是超大規模批發型（STACK、CDC、AirTrunk、NEXTDC、PGIM），NEXTDC 新容量大量預售（1H26 合約 416.6 MW vs 計費 119.8 MW）；CDC 有 555 MW 長約。(2) 真正在施工的：STACK MEL02（252 MW）、MEL01C/D（108 MW）、CDC Laverton（首期 150 MW）、NEXTDC M3 Stage 2/4（185 MW 推進中）與 M2 Stage 6（約 8 MW 的階段、NEXTDC 列 30 MW）、ACS 的 Leakes Road（電網 2026 年中動工）。(3) 已核准即將開工：AirTrunk MEL2、NEXTDC M4、PGIM Truganina、DoverDC SM1A（預計 2026 年底至 2027 年初動工）、STACK MEL03、Perri PMDC。(4) 較小規模或需談判的線索：Perri PMDC（商業型、未指定營運商）、Centuria Clayton 40 MW（2027 年中後）、Dover/Perri 這類尚無營運商的案件。(5) 政治風險：Hume、Brimbank 議會一致要求暫停核准，Maribyrnong／Whittlesea／Geelong 反對，11 月選舉，Casey 的 Clyde North 已被議員 call in；新規不溯及既往但待決案件可能仍受政治影響。</t>
  </si>
  <si>
    <t>VIC-B：【依 LGA 彙整（任務 2）】Wyndham：STACK MEL01C/D、MEL02、MEL03、ACS Leakes Road、CDC Laverton（council 許可）；Stockland Cherry Lane（DFP 待決）；AWS Truganina 與 Microsoft MEL11 為自建。Brimbank：NEXTDC M2（P589/2016、P154/2025）、AirTrunk MEL1（P490/2016、P82/2019）與 MEL2 早期工程（P47/2025）、Vantage MEL1（P435/2021）、CDC Brooklyn（P569/2023、P652/2021）、Deer Park 的 Digital Realty 與 34 Harrison St（營運商不明）。Hume：AWS Craigieburn、MAB Westmeadows、Zerra、Mickleham（皆 DFP）、95A Amaroo Road（council P26624，Amended Plans Required）。Melton：AWS Cobblebank、PGIM Oroya Drive、Goodman 433 Mount Atkinson Road。Whittlesea：DoverDC SM1A／SM1B。Hobsons Bay：Stockland Brooklyn、GreenSquare Spotswood。Maribyrnong：NEXTDC M3 與擴建、Perri PMDC。Casey：Clyde North（PA26-0190）。Monash：Centuria Clayton。Greater Geelong：NEXTDC GE1（4.4 MW）、Lovely Banks 土地、HyperDC（推定）。Latrobe：Keppel。Moonee Valley、Merri-bek、Kingston、Mitchell、Moorabool Shire、Greater Dandenong：未找到 ≥5 MW、已核准或施工中的案件。</t>
  </si>
  <si>
    <t>VIC-B：【取證方法（可供其他代理重用）】登記冊 Funnelback JSON API 可直接查詢（python urllib、瀏覽器 UA；連續查詢會被 403 限流，間隔 4–8 秒）；個案頁 HTML 內含附件的 blob 連結；Casey／Hume 的 eTrack 公開頁可讀（PlanningAlerts 的 /applications/&lt;id&gt;/external 頁可取得各議會 eTrack 連結）；Google News RSS 可作搜尋替代並可解出原文連結；Data Centre Moratorium Wiki 的 MediaWiki API 可批次取得 59 個據點的地址與許可編號。</t>
  </si>
  <si>
    <t>VIC-B：【註記】本檔所有 lat/lon 皆為 null（理由見 gaps）；capacity 口徑多為 unknown；free-text 一律繁體中文。VIC-B 與 VIC-A／VIC-C 有大量重疊，id 不同，請 lead 以 address＋approval_ref 去重。</t>
  </si>
  <si>
    <t>VIC-C</t>
  </si>
  <si>
    <t>VIC-C：WebSearch 共執行 8 次後，session 的 200 次搜尋上限用盡，之後無法再用 WebSearch。『Geelong Corio data centre Obriens Road 2026』→ NEXTDC GE1（4.4MW，148-158 Obriens Road，2026-04 動工）；『Moorabool Ballan Road data centre』→ HyperDC MBL1，715 Ballan Road；『Fujitsu Noble Park data centre address』→ 無街址（後由 Baxtel、DatacenterMap、OSM 補上 5 Summit Road）；『Bendigo data centre proposal 2026』→ 只有舊的 Edge Centres EC3；『Keppel Morwell 720MW』『Latrobe Valley data centre』→ Keppel Hazelwood North、Latrobe City 提案頁。</t>
  </si>
  <si>
    <t>VIC-C：WebFetch 對 DCD、AEMO、DatacenterMap（429）多半失敗；改用 Python urllib（瀏覽器 UA）後可讀 DCD、W.Media、Baxtel、DatacenterMap、AusNet、Latrobe City、DJSIR、RenewEconomy、ACS Information Age、Latrobe Valley Express、X2M 官網；AEMO 一律 403，未嘗試繞過。</t>
  </si>
  <si>
    <t>VIC-C：DCD 標籤頁（victoria、geelong、melbourne、zerra-dc、stockland、next-capital、goodman-group、galileo-group、doverdc、x2m-connect）→ 取得 2026-04 至 2026-10 維州新聞清單，閱讀約 15 篇全文（HyperDC、GE1、NEXTDC 169 公頃、Dover、Galileo、Zerra、Stockland x2、GreenSquare、Centuria、X2M x2、Next Capital、維州行動計畫）。</t>
  </si>
  <si>
    <t>VIC-C：W.Media 站內搜尋（victoria data centre 等）→ 7 篇 2026-07 至 2026-09 維州政策與案件報導（維州管線、Dover/Whittlesea、VicGrid 定價、AEMO ESOO、行動計畫、Coretora 光纖走廊）。</t>
  </si>
  <si>
    <t>VIC-C：區域城鎮檢查：DatacenterMap 的 Ballarat、Bendigo、Morwell、Geelong 頁有設施條目；Wodonga、Albury-Wodonga、Shepparton、Wangaratta、Traralgon、Warragul、Mildura、Warrnambool、Horsham 等約 35 個城鎮頁沒有設施條目；Shepparton News 站內搜尋 data centre 只出現全國性報導；ABC 與 ACM（The Courier、Bendigo Advertiser、Border Mail）搜尋頁為 JS/Google CSE 渲染，無法抓取。</t>
  </si>
  <si>
    <t>VIC-C：Latrobe：Latrobe City『Proposed Developments in Our Region』頁（2026-09 更新）→ Keppel 尚未提交申請；Latrobe ePathway 規劃登記冊（以表單依案號查詢 2026/165）→ Hazelwood Drive 資料中心申請，申請人未揭露；Latrobe City 資料中心 FAQ 為通用說明，未提及個案。</t>
  </si>
  <si>
    <t>VIC-C：電網：AusNet sitemap → Laverton North transmission works、Spotswood underground connection、data-centre-power-connections、load-connections-above-10-megawatts 等頁；W.Media（VicGrid 傳輸定價、AEMO 2026 ESOO、維州行動計畫）；RenewEconomy（VicGrid 2027 輸電計畫指引、AEMO Q2 2026 QED、AGL AGM）。AEMO VAPR 與 AusNet TAPR 2026 未能取得原文。</t>
  </si>
  <si>
    <t>VIC-C：座標：OSM Nominatim 對 15 個地址做門牌查詢（命中門牌或建物者採用並註明來源）；其餘採 DatacenterMap 頁面座標。</t>
  </si>
  <si>
    <t>VIC-C：Bing HTML 搜尋結果品質差（回傳導航類或無關結果）而放棄；DuckDuckGo、Mojeek 出現機器人驗證，未嘗試繞過；Brave 回 429。</t>
  </si>
  <si>
    <t>VIC-C：WebSearch 預算用盡，後半段無法做開放式新聞搜尋；Bendigo、Shepparton、Wodonga、Wangaratta、Ballarat 只以聚合站城鎮頁與在地報紙站內搜尋檢查，『未發現 ≥5MW 專案』的結論可信度有限，建議由擁有搜尋額度或瀏覽器的代理再查一次。</t>
  </si>
  <si>
    <t>VIC-C：AEMO 網站 403：2026 VAPR、ESOO 資料集與各終端站（Keilor、Sydenham、Deer Park、Brooklyn、Thomastown、Altona、Moorabool、Hazelwood）負載與連接進度無法直接讀取；AusNet TAPR 2026 在 sitemap 中沒有對應頁；VicGrid 網站為 SPA 不可讀。這部分電網訊號僅有 AusNet 工程頁與二手報導。</t>
  </si>
  <si>
    <t>VIC-C：Planning Victoria 部長許可登記冊為 JS 應用，Python 無法讀取；本檔所有 PA 編號、日期取自 lead 的 known-facts，我方未獨立開啟登記冊。</t>
  </si>
  <si>
    <t>VIC-C：HyperDC 官網未找到（hyperdc.com.au 無法連線，hyperdc.com 為無關公司）；其租賃模式、分期、時程、資金來源皆未知。</t>
  </si>
  <si>
    <t>VIC-C：Latrobe City 2026/165（Hazelwood Drive, Morwell）申請人、規模、街號未知，需規劃登記冊文件或向市府查詢。</t>
  </si>
  <si>
    <t>VIC-C：Keppel Hazelwood North 尚未提交規劃申請；建議每月檢查維州登記冊（Clause 53.22 / DFP）。Keppel 透過私募基金長租，對外最小租賃規模與時程未知。</t>
  </si>
  <si>
    <t>VIC-C：NEXTDC Lovely Banks（169 公頃、A$1.65 億）尚未見申請；建議查 NEXTDC FY26 簡報（2026-08）與後續 ASX 公告。</t>
  </si>
  <si>
    <t>VIC-C：PAC1（114-146 Leakes Road, Truganina）營運商仍未識別，但 AusNet 已於 2026 年中動工其 220kV 連接。</t>
  </si>
  <si>
    <t>VIC-C：Digital Realty（Deer Park MEL10/11/12）、Equinix（ME4 Derrimut、ME5 West Melbourne）、Vantage MEL1/MEL-C、ADC Melbourne：只查到既有設施或聚合站條目，沒有 2026 年新的擴建、地址或申請證據；未列入 records。</t>
  </si>
  <si>
    <t>VIC-C：Next Capital/Fujitsu Noble Park：站點層級已租或空置 MW 未公布；Fujitsu 電氣規格與 AFR 的 12MW 不一致；建議向 Next Capital 或 Fujitsu 直接詢問。</t>
  </si>
  <si>
    <t>VIC-C：Victorian AI Centre（Syncline Energy，Plumpton，最高 2.4GW）只有 DatacenterMap 一個來源，未找到 EES、EPBC 或規劃文件。</t>
  </si>
  <si>
    <t>VIC-C：metro 案件（VIC-C-02 至 VIC-C-12）的狀態主要依貿易媒體與 lead 登記冊資料，我方未能自行開啟政府文件，confidence 因此多為 medium 或 low。</t>
  </si>
  <si>
    <t>VIC-C：結論：區域維州（Geelong、Ballarat、Bendigo、Latrobe Valley、Shepparton、Wodonga、Wangaratta）目前沒有『施工中、可租賃、≥5MW』的專案。唯一已動工的 NEXTDC GE1（Corio）只有 4-4.4MW；唯一已正式提交規劃申請的 ≥5MW 區域案是 HyperDC MBL1（Moorabool，400MW IT，2026-09-22 申請）；Keppel Hazelwood North（720MW 潛在）、NEXTDC Lovely Banks（169 公頃）、X2M/Resi Ballarat（10-100MW）三案都尚未提交申請。</t>
  </si>
  <si>
    <t>VIC-C：更正或補充 lead 的 known-facts：(a) PA2503895（148-158 Obriens Road, Corio，2025-10-24）= NEXTDC GE1（4MW IT），地址與 NEXTDC、DatacenterMap、OSM 完全一致；(b) PA2604671（715 Ballan Road, Moorabool）= HyperDC MBL1；(c) PA2604586 = Dover SM1B/SM2，W.Media 稱 2026-08-14 收件（lead 記 2026-08-13）；(d) PA2604419 的地址 DCD 寫 412 Francis Street，其餘來源 413；(e) PA2604362 = Zerra DC（前 Ford Broadmeadows 廠址）；(f) PA2604506（45 Donnybrook Road, Mickleham）營運商未證實，AirTrunk 與 AWS 兩說並存；(g) PA2604458 屬 Stockland SDC1 仍為推測；(h) PA2504040 的 PAC1 對應 AusNet 的 Laverton North transmission works，2026 年中已動工，預計 2027 完成。</t>
  </si>
  <si>
    <t>VIC-C：電網訊號（公用事業原始來源，AusNet 官網）：Laverton North transmission works 為 Truganina 一座資料中心新建 220kV 地下電纜（Cherry Lane、Leakes Road、Fitzgerald Road）、在資料中心場址新建 220kV 變電站、升級 Altona Terminal Station 220kV 開關場，2026 年中動工、預計 2027 完成。Spotswood：自 Brooklyn Terminal Station 的新地下輸電連接於 2026-01 至 02 做可行性調查（對應 GreenSquare MEL1）。AusNet 資料中心連接頁稱 2024 年已為某超大規模客戶完成澳洲首個輸電級直連資料中心，並有大量維州專案在規劃至交付階段。AusNet 負載連接頁稱接入 220kV 以上輸電網須經 AEMO 的連接流程。</t>
  </si>
  <si>
    <t>VIC-C：電網訊號（二手報導）：AEMO 2026 ESOO（W.Media 2026-08-25）：全國 225 個資料中心專案、67GW 擬連接容量，2025 清單中約 36% 已取消，維州占資料中心用電約 30%；AEMO Q2 2026 QED（RenewEconomy 2026-07-28）：維州資料中心平均需求翻倍至 204MW；VicGrid 正諮詢 2027 輸電計畫指引（含維州專屬資料中心需求預測，RenewEconomy 2026-07-13）與 2028-33 輸電定價（4-9pm 尖峰窗口，最終尖峰對離峰 3:1，W.Media 2026-09-09）；Centuria 已就 Thomastown 向 VicGrid 與 AusNet 提出電力申請（最快 2029 首期）；Stockland 稱已取得 Laverton（Cherry Lane）與 Brooklyn 合計約 350MW 電力（2026-02）；AGL 表示 Loy Yang（Latrobe Valley）是可承接資料中心的能源樞紐之一（2026-10-01 AGM，非具體專案）；Coretora 規劃 Geelong 南方到墨爾本西部的光纖走廊，首段預計 2028 初啟用（W.Media 2026-07-17），可視為 Geelong 地區未來園區的連網配套。</t>
  </si>
  <si>
    <t>VIC-C：政策背景：維州 Sustainable Data Centre Action Plan（約 2026-09-22 公布；DCD 2026-09-24、W.Media 2026-09-23）：資料中心須自備可再生能源與儲能並承擔連接與網絡升級費用；住宅區禁建、與住宅建物保持 150 公尺緩衝；鄉村分區原則禁止，除非鄰近且可由主要輸電設施、變電站、再生能源、電池或再生水設施服務；冷卻須用再生水或非飲用水。對 HyperDC（Moorabool Terminal Station 與 Big Battery 旁）與 Keppel（Hazelwood，前電廠非飲用水）相對有利；lead 已記錄對審查中的申請不具追溯力。</t>
  </si>
  <si>
    <t>VIC-C：Next Capital/Noble Park：街址 5 Summit Road（3-5 Summit Road），Noble Park North VIC 3174，座標 -37.94770, 145.18576（OSM 建物 Fujitsu Data Centre）。站點容量 12MW（AFR 經 DCD），五站合計 25MW、約 7MW 已租（推算約 18MW 未租），但站點層級空置量未公布；Fujitsu 電氣規格（2 x 4MVA 進線、1,800kW 級 UPS 與發電機 N+1）顯示實際受保護 IT 容量遠低於 12MW，故以 low confidence 列入 records（VIC-C-13），是否保留請 lead 決定。交割預計 2026 下半年。</t>
  </si>
  <si>
    <t>VIC-C：細節提醒：Keppel 站址在 Latrobe City 頁面拼作 Firimins Lane，應為 Frimins Lane；NEXTDC GE1 官網目標 Tier III，DCD 寫 Tier IV；Moorabool 屬 City of Greater Geelong 而非 Shire of Moorabool；DatacenterMap 對 South Morang 的郵遞區號有 3082 與 3752 兩種寫法，正確為 3752；Zerra 案的樓層描述各來源不一致。</t>
  </si>
  <si>
    <t>QLD 昆士蘭州</t>
  </si>
  <si>
    <t>QLD-A</t>
  </si>
  <si>
    <t>QLD-A：WebSearch（額度用盡前）NEXTDC B2 Stage 2／Multiplex：找到 Multiplex、Architectus、Bennett+Bennett、Brisbane Development 頁；Multiplex 頁 WebFetch 403，只用搜尋摘要，不列入 opened_sources。</t>
  </si>
  <si>
    <t>QLD-A：NEXTDC 官網與業績簡報：下載 FY25（2025-08-28）、1H26（2026-02-25）、FY26（2026-08-27）簡報與 FY26 公告，用 pdftotext 解析，取得 B2、SC2、GC1 的規劃與在建 MW。NEXTDC 官網與 Wikipedia 均無 B3。</t>
  </si>
  <si>
    <t>QLD-A：Supernode：Qld 政府新聞稿 2022-07-08、2024-04-11，Quinbrook 四個頁面，yourneighbourhood，W.Media，Baxtel。結論：電池施工與運轉，資料機房只有 2022 年 council 核准，無動工與租戶證據。</t>
  </si>
  <si>
    <t>QLD-A：Fujitsu Eight Mile Plains：Baxtel、W.Media、Next Capital、搜尋摘要確認 7 Brandl Street，約 2 MW。</t>
  </si>
  <si>
    <t>QLD-A：Baxtel Brisbane、Queensland、regions/brisbane 表單：昆士蘭僅 NEXTDC 與 DigiCo 標為在建，Supernode 與 DigiCo BNE3 為 Planned，Urbis Bundamba 為 In Doubt。未見 Digital Edge、DXN、Datacom、Telstra、Equinix、Macquarie 的 Brisbane 或東南昆士蘭專案。</t>
  </si>
  <si>
    <t>QLD-A：DigiCo：解析 FY26 簡報（ASX 2026-08-21）與 1H FY26 公告（2026-02-20），Brisbane 僅 BNE1／BNE2 營運，QLD 新簽約 2 MW，綠地案處於 evaluation and planning；BAC 頁面確認 2-4 Cycas Lane。</t>
  </si>
  <si>
    <t>QLD-A：Swanbank：Urban Developer 2026-08-19、W.Media 2026-09-29、PlanningAlerts 三頁（3501680、3532795、3437772）。3437772（160 Patrick Street, NewGen Business Park）與資料中心無關。</t>
  </si>
  <si>
    <t>QLD-A：Zerra WDDP：W.Media 2026-08-24 與 2026-09-16、ABC 2026-08-24／09-14／09-16。ABC 8/24 頁面摘要誤把 council 寫成 Toowoomba，其餘來源皆為 Western Downs Regional Council，已忽略。</t>
  </si>
  <si>
    <t>QLD-A：Pulse／Wellcamp：Baxtel、W.Media（Centuria HY26、Centuria 募資、Toowoomba 用水政策）。Pulse Data Centre 位於 Toowoomba Wellcamp，約 2.5 MW。</t>
  </si>
  <si>
    <t>QLD-A：W.Media 站內搜尋（Brisbane、Queensland、Ipswich、Moreton Bay、Gold Coast、Sunshine Coast、Toowoomba、Brisbane Airport、Multiplex、Digital Edge、Crisafulli）：除上列外沒有新的東南昆士蘭專案。</t>
  </si>
  <si>
    <t>QLD-A：失敗或受阻：WebSearch 額度（200／200）中途用盡；Bing 與 DuckDuckGo 以 curl 抓取只回傳無關結果或驗證頁，已停止，不嘗試繞過；DCD 403；Multiplex 403；statedevelopment.qld.gov.au 403；Inside Construction 403；Albany Creek News 為 bot 驗證頁；DatacenterMap 429；Urban Developer 的 Zerra 與 search 頁 404；statements.qld.gov.au 搜尋頁 404；Western Downs 與 Brisbane DA 系統未能開啟。</t>
  </si>
  <si>
    <t>QLD-A：Brisbane City Council DA A006268579（NEXTDC B2 Stage 2）的核准日期與條件未查到；council DA 查詢系統未能開啟。B2 Stage 2 的確切動工日與剩餘約 4 MW 的時程也未公布。</t>
  </si>
  <si>
    <t>QLD-A：Supernode 資料中心：council 核准的 DA 編號與日期、核准是否仍有效、各棟 MW、租戶、動工時程，皆無可開啟的官方資料；Moreton Bay Regional Council 的 DA 登錄未能搜尋。</t>
  </si>
  <si>
    <t>QLD-A：Swanbank：申請人 Northern Concept Swanb Pty Ltd 的背景與營運商未知；DA 編號與 12285/2026/MCU、9000/2026/SPSR 的對應未證實；MW 未公布；council 後續決定未知。DCD 原文被 403，只用搜尋摘要。</t>
  </si>
  <si>
    <t>QLD-A：昆士蘭政府層級證據：Coordinator-General、SARA、Economic Development Queensland、State Development Area 的頁面皆 403 或無法搜尋，未能確認這些機關對本檔四案（含 Zerra WDDP）有任何參與；未找到昆士蘭資料中心規劃核准的律所摘要（WebSearch 額度用盡）。</t>
  </si>
  <si>
    <t>QLD-A：Zerra WDDP：DA 編號、公告期、SARA 轉介、FIRB 結果、容量口徑（1.44 GW 對 2.16 GW）皆未取得；Anthropic 租約僅有媒體報導，無官方公告。</t>
  </si>
  <si>
    <t>QLD-A：DigiCo Brisbane Airport 綠地案（約 19.6 MW）：核准路徑（Brisbane Airport Corporation／Airports Act）與是否已送件，未能查證，也沒有地址。</t>
  </si>
  <si>
    <t>QLD-A：Logan、Redland、Gold Coast、Sunshine Coast、Moreton Bay 其他區域的 council DA 登錄無法逐一搜尋；若有未見於媒體與聚合器的小型或新送件案，本檔查不到。Brisbane City Council 登錄同樣未能搜尋。</t>
  </si>
  <si>
    <t>QLD-A：所有座標（lat／lon）皆為 null，未取得可靠來源座標。</t>
  </si>
  <si>
    <t>QLD-A：NEXTDC GC1 Gold Coast 無地址；Pulse Wellcamp 與 Edge Centres 各站街道地址未取得（均小於 5 MW）。</t>
  </si>
  <si>
    <t>QLD-A：1. 東南昆士蘭目前沒有任何可出租且 5 MW 以上正在施工的資料機房：唯一在建的是 NEXTDC B2 Stage 2（Fortitude Valley），但 NEXTDC FY26 簡報（2026-08-27）寫明只有 2 MW 在建，整體 Stage 2 約 6 MW（B2 總規劃 12 MW）。
2. 知悉事實需修正：NEXTDC SC2 在建僅 1 MW（海纜客戶已簽），6 MW 為規劃總量，practical completion 1H FY28；B2 Stage 2 在建 2 MW 而非 6 MW。
3. Supernode：在建與運轉的是電池（BESS），資料機房（潛在 500 MW-IT，最多四座 hyperscale）只有 2022 年 council 核准，無動工、無租戶、無時程；Baxtel 與部分搜尋結果的 under construction 字樣指的是電池。
4. Swanbank（Ipswich）是 SEQ 唯一在審的大型案：10 層、GFA 約 8.3 萬至 10.4 萬 m2，MW 未公布，Ipswich City Council 2026-08-24 發出資訊請求，尚未核准；『recommended for approval』的說法與此衝突，詳見 QLD-A-02。
5. Zerra Western Downs Digital Park（Dalby 附近，非 SEQ）是昆士蘭最大案：1.44 至 2.16 GW，DA 2026-08 送件，審查中；Anthropic 被報導已簽租約，第一期可能被預租。
6. 本檔搜尋工具受限（WebSearch 額度用盡、多個政府與 DCD 頁面被擋），因此昆士蘭政府層級證據偏弱，狀態判定多依營運商簡報、媒體與 council 資料鏡像。
7. Fujitsu Eight Mile Plains：7 Brandl Street, Eight Mile Plains QLD 4113，約 2 MW，低於門檻，列入 excluded。Pulse Data Centre 在 Toowoomba Wellcamp，約 2.5 MW，同樣低於門檻。</t>
  </si>
  <si>
    <t>QLD-B</t>
  </si>
  <si>
    <t>QLD-B：WebSearch（約 10 次）：Zerra／Western Downs Digital Park／Dalby／Coordinator-General／Dexus ASX／council 申請——找到 W.Media、Baxtel、Real Estate Source、IT Brief、IPE、Urban Developer 等報導；第 11 次起（RenewMap 查詢）WebSearch 回報整個 session 的 200 次搜尋額度用完，之後改用 Bash（Python）直連 Google News RSS、Bing HTML、各站直接抓取。</t>
  </si>
  <si>
    <t>QLD-B：WebSearch 摘要的錯誤：把 Council 編號 030.2026.00000052.001 說成 Western Downs Digital Park；PlanningAlerts 3430522 實為 Old Rosevale Road, Jandowae 的 Medium Impact Industry 申請，已排除。</t>
  </si>
  <si>
    <t>QLD-B：直接抓取並讀完：Dexus ASX 公告 PDF（2026-09-16）、WDDP 官網、W.Media、Brisbane Development（含 Lot 125 on DY316 與 1A/1B/2A/2B 階段）、ABC 2026-10-02（州政府收回資料中心審批、Zerra 申請 prescribed process）、IPE Real Assets（FIRB 條件）、Your Neighbourhood、Baxtel 新聞。</t>
  </si>
  <si>
    <t>QLD-B：Google News RSS 區域掃描（Townsville、Cairns、Toowoomba、Rockhampton、Mackay、Bundaberg、Gladstone、Mount Isa、Emerald、Chinchilla／Roma、Gold Coast、Sunshine Coast、Logan、Redland、Moreton Bay、Ipswich）：未發現任何區域城市有已提交的 ≥5 MW 資料中心申請；僅有 Toowoomba 議會每週約 2 件詢問（W.Media）、Cloncurry 市長稱接到兩家公司來電（ABC 2026-08-05）、QPM Energy 評估 Isaac Energy Hub 共置（smallcaps 2026-05-24）。</t>
  </si>
  <si>
    <t>QLD-B：Baxtel 昆士蘭列表：29 個設施、合計 48 MW（聚合站）；從中取得 Wellcamp、EC2 Toowoomba、Supernode Brendale、DigiCo BNE2／BNE3 等線索。</t>
  </si>
  <si>
    <t>QLD-B：Supernode：昆士蘭政府新聞稿 2022-07-08、TelcoNews 2022-07-11、Supernode 與 Quinbrook 官網 2026——確認 2022 年規劃與 FIRB 批准、資料中心尚未動工、BESS 已商轉。</t>
  </si>
  <si>
    <t>QLD-B：Swanbank（Ipswich）：Urban Developer、Your Neighbourhood、W.Media 2026-09-29、realestate.com.au 2026-09-30——取得地址、規模、審查狀態與議會資訊要求。</t>
  </si>
  <si>
    <t>QLD-B：NEXTDC SC2：Sunshine Coast News 2026-07-20（地址、施工中、2027 上半年）、ChannelLife、W.Media、NEXTDC 官網。DCD 與 Energy-Storage.News 回 403，Courier Mail 付費牆。</t>
  </si>
  <si>
    <t>QLD-B：付費牆說明：iTnews（WDDP Anthropic 協議）、Green Street News（Swanbank 賽車冠軍）只讀到標題與開頭，內文未讀；兩者已列入 opened_sources 但不作為關鍵事實依據。PlanningAlerts 3430522 的開啟僅用於排除錯誤的 Council 編號。</t>
  </si>
  <si>
    <t>QLD-B：Coordinator-General（statedevelopment.qld.gov.au）WebFetch 與直連皆 403，無法查 coordinated project 清單與 prescribed process 登記。</t>
  </si>
  <si>
    <t>QLD-B：RenewMap：公開頁面只有行銷內容，地圖為需登入的 JS 應用，無法取得昆士蘭 11 案／3,232 MW 的明細，也未嘗試其私有 API。</t>
  </si>
  <si>
    <t>QLD-B：OSM Nominatim 地理編碼：四個地址只比對到道路層級，不是地塊座標，故所有 lat/lon 皆為 null。</t>
  </si>
  <si>
    <t>QLD-B：RenewMap 昆士蘭 11 案、約 3,232 MW 無法還原。可確認的候選：Western Downs Digital Park（1,440 或 2,160 MW）、Supernode（最高 800 MW 供電）、Swanbank（MW 不明）、NEXTDC SC2（6 MW），其餘（NEXTDC B2 二期、DigiCo BNE2／BNE3、Polaris 等）屬 Brisbane 都會區，未深入查。純算術推測：若 WDDP 以 2,160 MW 計，加 Supernode 800 MW 為 2,960 MW，剩約 272 MW 分給其餘 9 案；若以 1,440 MW 計則剩約 992 MW。僅是推測，未證實。</t>
  </si>
  <si>
    <t>QLD-B：Western Downs DA 的 Council 申請編號與公告期（submission 期間）未取得：Development.i 入口為動態頁，PlanningAlerts 未收錄；需向 Western Downs Regional Council 查證。</t>
  </si>
  <si>
    <t>QLD-B：Coordinator-General：Zerra 的 prescribed process 申請結果、Queensland 新資料中心審批制度（2026-10-02 宣布，要求社會影響評估與社區利益協議後才能提交 DA）的生效日與對 WDDP、Swanbank 的適用性，皆未能取得官方文件。</t>
  </si>
  <si>
    <t>QLD-B：Powerlink：未找到任何 Powerlink 對資料中心接入的正式公告或 TAPR 內容。WDDP 官網稱直連既有 Braemar 變電站、無需重大新輸電工程，並由專案承擔全部接入成本；Courier Mail（2026-09-23，未開啟）稱其用電將衝擊州內電力預測，需另查。</t>
  </si>
  <si>
    <t>QLD-B：FIRB：僅有媒體說法（IPE、Brisbane Development 稱 Anthropic 租約須 FIRB 批准；Dexus 稱 customary approvals）。台灣租戶承租長期資料中心空間是否觸發 FIRB 須另行法律確認。</t>
  </si>
  <si>
    <t>QLD-B：Swanbank：營運商、租戶、MW、Ipswich DA 編號未知，Ipswich PD Online 未查；Green Street News（付費牆）與 DCD（403）內容未讀到。</t>
  </si>
  <si>
    <t>QLD-B：Supernode：Moreton Bay DA 編號、核准效期與是否曾變更未驗證；門牌 83 Kremzow Road 僅來自 Baxtel。</t>
  </si>
  <si>
    <t>QLD-B：NEXTDC SC2：6 MW 口徑與預售狀況、動工日、Courier Mail 2026-04-21 全文未取得。NEXTDC B2 二期與 SC1 本次未查。</t>
  </si>
  <si>
    <t>QLD-B：區域城市（Gladstone、Townsville、Cairns、Rockhampton、Mackay、Bundaberg）：未找到任何已提交或已核准的資料中心申請。僅屬投機或構想：Toowoomba 議會每週約 2 件詢問並擬訂不得使用飲用水政策（草案最晚 2027-02 回議會）；Cloncurry 稱 CopperString 西段無時程前難成事；QPM Energy 的 Isaac Energy Hub 共置構想（Moranbah 一帶，112 MW Isaac Power Station）無申請，且 QPM 於 2026-07 傳出財務崩解（AFR、Courier Mail 標題，未開啟）。</t>
  </si>
  <si>
    <t>QLD-B：氫能與再生能源連動的 AI hub（Gladstone 等）：Google News 掃描未發現已提交的資料中心申請；Fortescue 2026-04 的資料中心能源投資報導（The Australian，付費牆）未見昆士蘭場址。</t>
  </si>
  <si>
    <t>QLD-B：【對 5 MW 租戶的結論】我負責的區域與超大型案中，唯一在建、規模接近的是 NEXTDC SC2（6 MW，Maroochydore，2027 上半年），但可能已大量預售。Western Downs Digital Park（單棟 360 MW）與 Supernode（最高 800 MW 供電）都是超大規模批發，Swanbank 無營運商資訊，皆不是 5 MW 租戶的現實選項，除非與主承租人洽談分租。區域城市沒有任何已提交的申請。
【政策風險】昆士蘭政府 2026-10-02 宣布把資料中心的規劃與評估從議會收回，新制度將要求社會影響評估與社區利益協議後才能提交 DA（ABC）；聯邦政府 2026-07 宣布將立法（預計 2027 年初）要求新的大型資料中心自行保障新增電力並負擔水務基建，僅適用新提案，已在施工的 SC2 不受影響（Sunshine Coast News/AAP）。Premier Crisafulli 的條件包括不得設在居民後院、不得搶電、不得把資料送出境（ABC 2026-10-02 轉述）。Toowoomba 議會正擬訂禁止資料中心使用飲用水的政策。這些都可能拖慢 planned_filed 案件。
【資料品質警告】(a) WebSearch 摘要曾把無關的 Council 編號安在 WDDP 上，已排除，請勿沿用。(b) WDDP 容量有 1.44 GW 與 2.16 GW 兩套說法，地圖請以 1.44 GW（DA 主要文件）為主並註記。(c) 所有 lat/lon 皆未填：OSM 只給道路層級，不是地塊。(d) WebSearch 整個 session 額度（200 次）已用完，本份後半改用 Google News RSS 與直接抓取，覆蓋率比正常情況薄；若其他代理需要搜尋，可能已被影響。
【未覆蓋】Brisbane 都會區既有與擴建案（NEXTDC B2 二期、DigiCo BNE2／BNE3、Polaris、Equinix 等）本次不在我的角度，未核實；DigiCo BNE3 位於 4 Cycas Lane（Brisbane Airport Export Park），Baxtel 稱 2027 年完工，MW 不明，建議給 QLD-A 追查。</t>
  </si>
  <si>
    <t>WA 西澳州</t>
  </si>
  <si>
    <t>WA-A</t>
  </si>
  <si>
    <t>WA-A：WebSearch 約 12 次（CDC Maddington 與 DAP、NEXTDC P1/P3/Malaga、GreenSquareDC WAi1 與撤案、CDC Hazelmere）：確認 CDC 官網時間軸、NEXTDC P1 擴建 2024-05 DAP 核准、GreenSquareDC 2026-05 撤案、CDC 第二園區 Hazelmere。整個 session 的 200 次 WebSearch 額度在中途耗盡，之後改用下列替代方法。</t>
  </si>
  <si>
    <t>WA-A：替代搜尋：以 curl/Python 呼叫 Google News RSS（news.google.com/rss/search?q=...）取得有日期的標題清單，再用 batchexecute 解出原文網址，約 45 組短查詢（Perth/WA data centre、各郊區、Wangara、Kwinana、Pilbara、Geraldton、Karratha、Equinix、Stack、Fujitsu、Vocus、Infratil、NEXTDC、Gingerah、Pier DC 等）。長查詢會回傳 0 筆，需用短關鍵字。結果：新發現 CDC Hazelmere 2026-10-01 提交 DA、AsiaPhos/Pier DC、Gingerah 規模、DUG Geraldton、Sovereign Green Compute；未發現其他 WA 新案。</t>
  </si>
  <si>
    <t>WA-A：CDC：讀 cdc.com Maddington、Hazelmere、Perth 三個頁面與 2026-09 兩份 PDF（Maddington Project update、Hazelmere Community update），取得官方時間軸；Gosnells 市長 ABC 訪談、Your Local Examiner、The West Australian 前段（付費牆）、Business News（僅標題）。地址/地段與 DAP 編號仍未取得。</t>
  </si>
  <si>
    <t>WA-A：WA DAP 現行申請清單（planning.wa.gov.au，Current Applications as at 29 September 2026，9 頁 PDF，以 pdfplumber 全文檢索）：無任何 data centre 條目；Part 11B 與 Part 17 Significant Development 申請頁面原始 HTML 也無資料中心。DAP 議程與歷史頁面為動態載入，無法取得 CDC Maddington 的 DAP 議程；Wayback 只有 2025-12 之後的快照。</t>
  </si>
  <si>
    <t>WA-A：ASX（NEXTDC）：announcements.do 列表頁與 FY26 Results Announcement、FY26 Results Presentation（2026-08-27）、1H26 Record Results（2026-02-25）。得到 P1 Perth 已建 5.5 MW + 2 MW 在建、P2 Perth 已建 6 MW + 4 MW 在建、Rest of Aus. 已建 24 MW / 已簽約 14 MW。</t>
  </si>
  <si>
    <t>WA-A：ASX（Infratil）：Investor Day 2026（2026-09-16）、FY26 Results（2026-05-26）、CDC 555MW 公告（2026-05-05）、CDC Independent Valuation（2026-07-06）。得到 Perth 在建 34 MW（built MW，2026-03-31）、future build 101 MW、MA1 在建 / MA2 未來開發（簡報第 6 頁，已渲染圖片目視確認）。</t>
  </si>
  <si>
    <t>WA-A：聚合站（僅線索）：Baxtel 列出 Perth 全部設施（Fujitsu Malaga、NEXTDC P1/P2、Equinix PE1-PE3、Stack PER01A/B、PureColo、Vocus Perth/Bentley、DC Two Osborne Park、Pier DC、Centuria Malaga）；Baxtel 提供 NEXTDC P1 地址 4 Millrose Dr、Fujitsu 地址 16 Mulgul Road（再以 DCD 與 Multiplex 報導交叉驗證）。DatacenterMap 一律回 429；RenewMap、ITK 未嘗試。</t>
  </si>
  <si>
    <t>WA-A：被擋或受限：Multiplex 官網 403、WAtoday 於 WebFetch 被封（改用 Python 取得頁面）、The West Australian 與 Business News 付費牆（只能讀 JSON-LD 前段）、DCD 對 WebFetch 回 403（改用 Python 可讀）、equinix.com 對 WebFetch 回 403（改用 Python 可讀）、CDC DAP 議程。</t>
  </si>
  <si>
    <t>WA-A：市場脈絡：Data Centres Australia 稱 WA 約 30 MW 可用資料中心容量（The West Australian 2026-04-28）；WAtoday 2026-09-08 稱 WA 現有 15 座資料中心、其中 13 座在 Perth 都會區，州長 Cook 稱開發商向州府提案的多在 Mid West 與 North West；City of Gosnells 稱未收到其他資料中心諮詢或申請（Your Local Examiner 2026-07-30）；City of Stirling 無資料中心申請（ABC 2026-08-13）。</t>
  </si>
  <si>
    <t>WA-A：地址補查：嘗試 DAP 議程、Wayback、DatacenterMap、OSM Overpass/Nominatim 取得 Maddington 場址門牌，均失敗（Nominatim 僅回傳 Bickley Road 道路段點）。The West Australian SQM 地產專欄（2026-09-22）意外發現 CDC 購入 50 Hazelmere Circus（A$15.33m）並持有 Hazelmere、Wangara、Maddington 物業，已列入 excluded（純土地）。</t>
  </si>
  <si>
    <t>WA-A：CDC Maddington 的街道門牌/地段與 DAP 申請編號未取得（DPLH 議程頁動態載入、DatacenterMap 429）；DatacenterMap 的 307 Kenwick Rd 無法驗證，且與 CDC 所稱 Bickley Road 不一致。建議用地籍查詢或 City of Gosnells / DPLH 向 DAP 秘書處（daps@dplh.wa.gov.au）索取 2025-09-10 Metro Outer DAP 議程。</t>
  </si>
  <si>
    <t>WA-A：Maddington MA1（34 MW）是否已被預租、MA2-MA4 的 MW 與時程，以及是否仍有可租容量，無公開資料；Infratil 的 101 MW future build 與 200 MW 標稱的差異未釐清。</t>
  </si>
  <si>
    <t>WA-A：CDC Hazelmere 的 DA 提交日期與申請途徑（是否走 Metro Outer DAP）僅見媒體；City of Swan 與 DAP 登記冊未能證實；192 MW（2x96 MW）只見於 The West Australian 付費文章前段。</t>
  </si>
  <si>
    <t>WA-A：NEXTDC P1 Stage 2 全部規劃容量（約 10MW+ 全站）中，2 MW 之外的資料機房何時 fit-out，以及 P1/P2 在 FY26 的實際未租空間，NEXTDC 未按站披露。</t>
  </si>
  <si>
    <t>WA-A：GreenSquareDC Belmont（37 Abernethy Road）2022-10 的 JDAP 許可目前是否仍有效，未向 City of Belmont 查證；也未查到該地塊後續用途。</t>
  </si>
  <si>
    <t>WA-A：Fujitsu Malaga 的實際未租容量與 Next Capital 的擴建意圖未披露；交易預計 2026 年底完成。</t>
  </si>
  <si>
    <t>WA-A：STACK Perth PER01（Wangara）僅有 Baxtel 一個來源，STACK 官網未列 Perth；CDC 在 Wangara 的土地是否有計畫不明。</t>
  </si>
  <si>
    <t>WA-A：Equinix PE3 第二期（約 950 櫃）是否啟動未知；Vocus 其餘 WA 機房容量未查。</t>
  </si>
  <si>
    <t>WA-A：Sovereign Green Compute、DUG Geraldton、Business News 2025-10-15 Who's planning watts in Perth data drive 與 2026-08-19 Energy formula drives WA along data highway 均為付費牆，只讀到摘要；其中可能列出更多 WA 提案與 Western Power 連接需求。</t>
  </si>
  <si>
    <t>WA-A：RenewMap、ITK、DatacenterMap 對 WA 的 MW 與狀態未能查閱，無法逐項與 lead 手上的聚合站數字對照。</t>
  </si>
  <si>
    <t>WA-A：1) 結論：Perth 實際符合條件的 &gt;=5 MW 可租專案只有兩個，且都是 CDC：Maddington 園區（在建，MA1 預計 2027-01 營運；園區最高 200 MW；第一期 34 MW 可能已預租）與 Hazelmere 園區（192 MW，DA 剛提交但暫停，且社區反對風險高）。NEXTDC Perth 的在建增量僅 P1 2 MW、P2 4 MW，均低於 5 MW；NEXTDC 全國合約使用量遠超已建量。WA 整體可用資料中心容量約 30 MW（Data Centres Australia，2026-04）。
2) CDC 客戶政策：COO 2026-09-18 稱 CDC 主要服務政府與關鍵基礎設施營運商，會拒絕不在核心範圍的客戶；對台灣民間租戶的可得性需直接洽詢 CDC。
3) 對 lead 已知事實的修正：(a) WAi1 的 48 MW 是 Belmont 舊案單棟容量（兩棟各 48 MW，共 96 MW，2022-10-17 JDAP 核准後無動工證據）；120 MW 是 Hazelmere 新案（已於 2026-05 撤回）；兩者都不是在建專案。(b) NEXTDC 沒有 P3 Perth；Malaga 擴建就是 P1 Stage 2。(c) Gingerah Project Meridien 為 ABC 所載 240 MW IT 起步、約 1 GW，非 100 MW，且為早期概念，無任何申請。(d) Fujitsu Malaga 地址為 16 Mulgul Road, Malaga（業主 Centuria），5 MW 單站；Pier DC 現為 2 MW 供電、約 0.7 MW IT，8 MW 僅為計畫目標。(e) Equinix PE2/PE3 在 Shenton Park（Lemnos Street），PE1 在 East Perth。
4) 工具提示給其他代理：整個 session 的 WebSearch 額度（200 次）已用盡。可用替代：(i) Google News RSS 搜尋 https://news.google.com/rss/search?q=關鍵字&amp;hl=en-AU&amp;gl=AU&amp;ceid=AU:en（用 curl 或 Python urllib，短關鍵字；連結需用 batchexecute 解碼，腳本在 scratchpad 的 wa_gdecode.py、wa_news2.py、wa_art.py）。(ii) ASX 公告：Python urllib 可開 https://www.asx.com.au/asx/v2/statistics/announcements.do?by=asxCode&amp;asxCode=代碼&amp;timeframe=D&amp;period=M6 取得近六個月公告列表，再用 displayAnnouncement.do?display=pdf&amp;idsId=編號 取得含真正 PDF 連結（announcements.asx.com.au/asxpdf/...）的頁面，PDF 可用 pdfplumber 全文檢索並可轉成圖片目視確認。(iii) Bash 的 curl 與 Windows 主控台為 cp950，輸出中文或特殊字元需先 sys.stdout.reconfigure(encoding='utf-8')；Bash 工具會吃掉指令中的反斜線，勿在命令列內寫反斜線正則。已下載檔案在 scratchpad：wa_nxt_fy26_results_presentation.pdf、wa_ift_investor_day_2026.pdf、wa_ift_fy26_results.pdf、wa_ift_cdc_555.pdf、wa_cdc_hazelmere_update.pdf。
5) 順手發現的非 WA 線索（僅標題，未查證，供對應代理參考）：Qld Swanbank 十層資料中心（Urban Developer 2026-08-19）、Kogan Dalby-Kogan Road Data Centre and Technology Campus（Your Neighbourhood 2026-08-24）、Hyper-scale data centre could draw quarter of Queensland's power（ABC 2026-09-13）；Vic Proposed 1.5b suburban data centre（The Age 2026-09-10）、Mega datacentre planned for outer Melbourne（Guardian 2026-07-25）、Location of 3 billion data centre confirmed（news.com.au 2026-07-16）、6bn data centre mooted in regional Victoria（Green Street）；NSW Goodman wins approval for 1.37bn Sydney data centre（Green Street）；Tas Firmus 與 Tas Hydro 電力協議（ABC 2026-03-25）。市場競爭脈絡（僅標題）：Anthropic's plans to buy 1.4GW of Aussie data centre capacity（AFR 2026-07-05）。</t>
  </si>
  <si>
    <t>WA-B</t>
  </si>
  <si>
    <t>WA-B：WebSearch 成功 11 次（CDC Maddington、NEXTDC Malaga DAP、GreenSquareDC WAi1／Hazelmere、DAP data centre、Perth Kwinana Neerabup Henderson Jandakot）：得到 CDC Maddington、NEXTDC Malaga 擴建、GreenSquareDC 兩案線索；之後整個 session 的 WebSearch 額度耗盡（200/200，多代理共用），其餘改用 WebFetch 與直接下載。</t>
  </si>
  <si>
    <t>WA-B：DPLH Development Assessment Panels 網站 API（planning.wa.gov.au/api/publications，參數 region 與 page）：列出 Metro Outer／Metro Inner／Regional 共 698 場 DAP 會議（2022-10 至 2026-10），下載其 minutes（無 minutes 者下載 30 MB 以下的 agenda），共約 690 份轉成文字，以 data centre／data storage／datacent 掃描：只命中 3 案——Belmont 37 Abernethy Rd（2022-10-17，GreenSquareDC）、Malaga NEXTDC P1 擴建（2024-05-08）、Maddington CDC（2025-09-10，minutes 內只以 Canberra Data Centre 出席人員出現，案名為 Warehouses）。Regional DAP 完全無資料中心案。</t>
  </si>
  <si>
    <t>WA-B：DPLH『Current DAP Applications as at 29 September 2026』（478 行 PDF）：描述欄無 data centre 字樣；逐筆檢視價值 &gt;= A$40m 者，唯一符合特徵的是 DAP/26/03103（City of Swan，Hazelmere，Bushmead Road，A$337m，Proposed Warehouse and Ancillary Structures）。Rockingham、Kwinana、Cockburn、Wanneroo、Joondalup、Gosnells、Belmont、Canning、Armadale 等 LGA 清單內無其他資料中心特徵案件。</t>
  </si>
  <si>
    <t>WA-B：WAPC／SPC／Part 17 Significant Development／Swan Valley 委員會 minutes（2025-01 至 2026-10，87/88 份，一份 SPC 2025-08-13 因檔案過大未掃）：無 data centre 命中；Significant Development Pathway 申請清單（約 60 件）無資料中心。</t>
  </si>
  <si>
    <t>WA-B：WA EPA Active Formal Assessments（124 件，2026-09 更新）：無資料中心案。</t>
  </si>
  <si>
    <t>WA-B：CDC 官網（Maddington、Hazelmere 頁面與 PDF、WA 新聞稿）、NEXTDC 官網（P1、P2、投資人中心、Perth 規格書、PH1 新聞稿）、AirTrunk 官網（無 WA 園區）、GreenSquareDC 官網 Locations（無 WA 據點）、Development WA 官網（無資料中心專案）已讀。NEXTDC FY26 業績簡報與 Infratil FY26 業績簡報讀取 WA-A 於共享 scratchpad 下載的副本。</t>
  </si>
  <si>
    <t>WA-B：Western Power：Critical Project Framework、SWIS Demand Assessment 頁、Major Customer Connections Insights Report（2026-06）：報告內容為圖表，無專案名單，無法取得資料中心排隊明細。</t>
  </si>
  <si>
    <t>WA-B：被擋或受限：DatacenterMap（頁面瀏覽上限）、Baxtel 設施頁（付費牆）、Equinix 與 Perth Airport（403）、The West Australian（WebFetch 不允許）、Gosnells 市府網站（curl 403）、City of Swan Swan Engage 的 JDAP 頁沒有列出案件。</t>
  </si>
  <si>
    <t>WA-B：WebSearch 額度耗盡：Karratha、Kalgoorlie、Bunbury、Collie、Geraldton、Broome 以及 AUKUS／AI hub 傳聞，WA-B 只能用政府登記冊（DAP、EPA、SDP、WAPC）交叉，沒有做新聞探索；Regional DAP 2022-10 至 2026-10 無資料中心案，但尚未送 DAP 的提案無從得知。建議提高 CLAUDE_CODE_MAX_WEB_SEARCHES_PER_SESSION 後補查。</t>
  </si>
  <si>
    <t>WA-B：DAP/26/03103 的申請人未顯示、會議日期未定；agenda 公開後（通常會前 1–2 週）可從 Responsible Authority Report 取得 MW、棟數與申請人，確認它就是 CDC Hazelmere。</t>
  </si>
  <si>
    <t>WA-B：CDC Hazelmere 的 192 MW 只見於 The West Australian（WA-A 讀取），WA-B 無法開啟；CDC 未公布 MW。</t>
  </si>
  <si>
    <t>WA-B：CDC Maddington 第 2–4 棟的 MW 與時程、變電站（DAP 圖面標示 By Others）另案 DA、Western Power 輸電連接容量，皆未取得；CDC 稱自付連接費用並只在電網有餘裕處連接。</t>
  </si>
  <si>
    <t>WA-B：Equinix Perth（PE1–PE3）、Digital Realty、Vocus、Iron Mountain、Pier DC、Fujitsu Malaga 的容量與擴建：WA-B 未查證（WA-A 有涵蓋）；僅確認 DAP 2022-10 至 2026-10 與當前 DAP 清單沒有它們的申請，若有擴建應是 DAP 門檻以下或更早核准。</t>
  </si>
  <si>
    <t>WA-B：STACK Perth PER01（Wangara，92 Windsor Road，WA-A 引 Baxtel）、CDC Wangara 土地、Gingerah Energy Project Meridien（Kimberley，WA-A 稱 240 MW 起）：DAP、EPA、SDP、WAPC 登記冊均查無相關申請，尚未正式送件。</t>
  </si>
  <si>
    <t>WA-B：所有座標為 null，需由 lead 以地址地理編碼。</t>
  </si>
  <si>
    <t>WA-B：結論：WA 目前可驗證、可出租、&gt;= 5 MW 的供給非常少。只有 CDC Maddington 在建（第 1 棟約 34 MW，2027 年初營運；園區規劃 200 MW），以及 CDC Hazelmere 已提出 DA（最早 2028 年底營運，且被 City of Swan 暫停、社區阻力大）。NEXTDC 在 Perth 目前只有 P1 在建 2 MW 與 P2 在建 4 MW，皆低於 5 MW。</t>
  </si>
  <si>
    <t>WA-B：資料中心在 WA DAP 文件裡被歸類為 Warehouse（用途分類），標題與案名不含 data centre：CDC Maddington 的案名是 Proposed Warehouses and Ancillary Structures，Hazelmere 的 DAP/26/03103 也是 Proposed Warehouse and Ancillary Structures；NEXTDC 與 GreenSquareDC 的案名才寫 Data Centre (Warehouse)。用 data centre 關鍵字搜尋 DAP 清單會漏掉主要案件，建議以金額（A$40m 以上）與地址交叉檢查。</t>
  </si>
  <si>
    <t>WA-B：更正 known-facts：(a) WAi1『48 MW 在建』不成立——Belmont 37 Abernethy Road 的 96 MW 核准（2022-10-17）無動工證據，2026-10-17 即失效，GreenSquareDC 官網已不列 WA 據點；120 MW 是 Hazelmere 新案，已於 2026-05-28 撤回。(b) CDC Maddington 的 DatacenterMap 地址 307 Kenwick Rd 正確（為 4 個地塊之一）。(c) NEXTDC Malaga 擴建就是 P1 Stage 2，已在建，但只增 2 MW，不是 P3。</t>
  </si>
  <si>
    <t>WA-B：與 WA-A 的差異：WA-A 未取得 Maddington 的 DAP 案號與地段，WA-B 補上（DAP/25/02926，Lots 1/10/1/500，GFA 與分期）；WA-A 無法由政府登記冊證實 Hazelmere 已送件，WA-B 在 DPLH 清單找到 DAP/26/03103（A$337m，2026-04-07 收件）作為旁證，但對應 CDC 為地址推定。</t>
  </si>
  <si>
    <t>WA-B：CDC 在 Maddington 與 Hazelmere 均主打政府、國防、關鍵基礎設施客群，CEO 提到 AUKUS（W.Media 2025-08-13）；Infratil 稱 CDC 客戶以政府與 hyperscale 為主。台灣民間租戶是否能在 CDC 取得容量，是對 CDC 的第一個要確認的問題。</t>
  </si>
  <si>
    <t>WA-B：政策風險：City of Gosnells 將於 2026 年稍後公布資料中心政策草案徵詢意見（不溯及既往，Your Local Examiner）；WA-A 稱 City of Swan 已於 2026-09-09 通過制定資料中心地方規劃政策動議。DAP 核准一般有效 4 年（Maddington 明訂 4 年）；若條件未載有效期，WA deemed provisions 預設 2 年。</t>
  </si>
  <si>
    <t>WA-B：給其他代理的工具提示：DPLH DAP 網站的議程／會議紀錄可由 https://www.planning.wa.gov.au/api/publications?region=metro-outer&amp;page=N（region 亦可為 metro-inner、regional）以 Python urllib 取得 JSON，內含每場會議的 agenda、minutes 與 related information PDF 連結；『Current Applications』PDF 是 WA 最完整的已送件登記冊，網址為 https://www.planning.wa.gov.au/docs/default-source/daps-docs-website/current-applications.pdf?sfvrsn=ebbf7a78_310（版本字串會變，從 current-development-assessment-panels-applications-and-information 頁取得）。</t>
  </si>
  <si>
    <t>WA-B：RenewMap WA 頁（2026-10 更新）：21 個專案共 740 MW；管線 7 件，只公開 CDC Maddington（200 MW，Construction）、CDC Hazelmere（200 MW，Development）、GreenSquareDC WAi1（120 MW，Development），其餘 4 件需付費；營運 14 件。這些 MW 為聚合網站口徑，WAi1 欄位已過期。</t>
  </si>
  <si>
    <t>SA 南澳州</t>
  </si>
  <si>
    <t>SA-A</t>
  </si>
  <si>
    <t>SA-A：WebSearch 約 16 次（DigiCo Adelaide brownfield、NEXTDC A1、DCI ADL03、IREN Bundey、South East Adelaide、Project Helios、SkyLab、南澳資料中心政策等）；整個 session 的 200 次搜尋額度在中途耗盡，之後只能用 WebFetch 抓已知頁面、站內搜尋與公開 API。</t>
  </si>
  <si>
    <t>SA-A：DigiCo：用 pdftotext 全文檢索 FY26 Results Presentation（2026-08-21）、HY26 Announcement 與 Presentation（2026-02-20）、FY25 Presentation（2025-08-18）、Platform Update（2024-11-11）、FY26 Appendix 4E 與財報、FY25 Annual Report。確認 Adelaide brownfield project 就是 ADL1 擴建，由 8 MW 上調為 15 MW，FY27-FY28 分階段，目標 FY28 底計費，仍待基石客戶。DigiCo 官網 digi-co.com.au 回 403，FY26 Annual Report（2026-09-24）未取得。</t>
  </si>
  <si>
    <t>SA-A：ADL1 地址與座標：OSM Nominatim 反查（23-27 Woomera Avenue、座標）、ABS ASGS2021 LGA 圖層（Salisbury）；Baxtel 與 DatacenterMap 街號略異。DatacenterMap 對本 session 持續回 429。</t>
  </si>
  <si>
    <t>SA-A：NEXTDC A1：nextdc.com A1 頁（125 Frome St；5 MW IT；1,470 櫃）、2022-02-16 新聞稿（211 Pirie Street；up to 10 MW）、W.Media 2024-09-04 開幕報導、FY26 Results Presentation（2026-08-27）。結果：A1 只有 Additional 2MW in progress，無 5 MW 以上擴建。</t>
  </si>
  <si>
    <t>SA-A：DCI：官網 locations 頁、2021-08 新聞稿，加上 Baxtel、InDaily、ITWire、The Tech Capital 2021 報導。ADL03（Mawson Lakes）2021 取得 DA，之後無更新；Data Centre Magazine 對 WebFetch 回 403，8 MW 與 AU$100m 只有搜尋摘要。</t>
  </si>
  <si>
    <t>SA-A：大型構想案（IREN Bundey、Firmus Southgate、1414 Degrees Aurora、SkyLab South East Adelaide、Grid Share Project Helios）：皆為早期或自用，未找到州級 DA 或 s131 公開紀錄，列入 excluded。IREN 有 EPBC 初步文件（RenewEconomy 2026-08-24）。</t>
  </si>
  <si>
    <t>SA-A：南澳政策：s131 Crown Sponsorship 表單（Large-scale Data Centres，2026-02-18 定稿）、W.Media 2026-06-24、InnovationAus 2026-06-23。州府發布 Data Centre Strategy 並擬立 Data Centre and AI Infrastructure Act，未公布任何已核准案件清單。</t>
  </si>
  <si>
    <t>SA-A：PlanSA 與 Planning and Design Code：plan.sa.gov.au、code.plan.sa.gov.au 對 WebFetch 回 403，curl 回 Cloudflare managed challenge（Cf-Mitigated: challenge），依規定未嘗試繞過。data.sa.gov.au 的 DA 資料集皆已停更（City of Playford 至 2020、DPTI 舊 public register、City of Adelaide 至 2021-03）；PlanSA 公開 S3 bucket（prod-static.api.plan.sa.gov.au）只有分區地圖與 SHP 資料集。</t>
  </si>
  <si>
    <t>SA-A：EPBC：公眾入口網站為動態頁面無法讀取；EPBC_Referrals 空間圖層（gis.environment.gov.au）只回 2 筆資料中心（NT Project Ares、NSW SYD01 Huntingwood），SA 2026 年僅 3 筆且非資料中心，未含 IREN，圖層落後。</t>
  </si>
  <si>
    <t>SA-A：各 council（Port Adelaide Enfield、Salisbury、Playford、Charles Sturt、Marion、Onkaparinga、Tea Tree Gully）：站內搜尋回 403 或空白；W.Media 站內搜尋（adelaide、south australia、salisbury、playford、port adelaide、mawson lakes、edinburgh parks、whyalla、port augusta、tailem bend、murray bridge）只得到上述專案，無新案。</t>
  </si>
  <si>
    <t>SA-A：Vocus、Datacom、Telstra、Equinix、Colocity、Cloud Infrastructure：Baxtel 阿德萊德市場（11 座、約 20 MW、8 家業者）與南澳頁（13 座）均無 5 MW 以上的租賃設施或擴建；Vocus 的 W.Media 文章只談 Melbourne-Adelaide 800G 光纖；Datacom 與 Cloud Infrastructure 無法對應到任何阿德萊德設施。</t>
  </si>
  <si>
    <t>SA-A：RenewMap 南澳頁（2026-10）：19 個 active、7 個 pipeline、12 個 operating，合計 2,311 MW。公開僅列 3 個 pipeline（South East Adelaide 1,200 MW、Bundey 800 MW、Aurora 200 MW），其餘 4 個在付費牆後。</t>
  </si>
  <si>
    <t>SA-A：PlanSA 開發申請登記冊與 e-planning 入口被 Cloudflare 管理式驗證擋下，未嘗試繞過，因此拿不到任何南澳資料中心的 DA 編號、核准日或失效日，特別是 DigiCo ADL1 擴建是否需要或已提出 DA，以及 DCI ADL03 的 2021 年 DA 是否仍有效。建議有權限的人手動查 plan.sa.gov.au 的 Development Application Register（關鍵字 data centre / data storage；地址 Woomera Avenue Edinburgh、Technology Park Mawson Lakes；council 為 Salisbury）。</t>
  </si>
  <si>
    <t>SA-A：WebSearch 額度（整個 session 200 次）在本任務中途用完。若要續查，需提高 CLAUDE_CODE_MAX_WEB_SEARCHES_PER_SESSION。建議補查：Mawson Lakes Technology Park data centre DCI 2025-2026；Edinburgh Parks data centre development application Salisbury；Gillman、Wingfield、Pooraka、Dry Creek 一帶的資料中心提案；Grid Share Project Helios 位置；SkyLab South East Adelaide 位置；Firmus Tailem Bend 的 Murray Bridge council 申請；IREN Bundey 的 EPBC 編號；南澳 s131 已獲 Crown sponsorship 的資料中心。</t>
  </si>
  <si>
    <t>SA-A：DigiCo FY26 Annual Report（ASX 2026-09-24）與 digi-co.com.au 無法開啟，ADL1 擴建的規劃許可、電力（grid capacity）、樓層配置與分期 MW 均未知。建議直接洽 DigiCo IR 或 ADL1 業務，確認基石客戶是否已簽、是否仍可預租 5 MW 以上、各期 MW 與交付日。</t>
  </si>
  <si>
    <t>SA-A：DCI ADL03：8 MW 與 AU$100m 只有搜尋摘要；實際 lot、DA 時效、是否縮小或轉讓土地均未知。DCI 擁有權（Brookfield 或其他）需釐清。</t>
  </si>
  <si>
    <t>SA-A：IREN Bundey 的 EPBC referral 編號、確切 lot 或 Hundred、所屬 council，以及是否已提出州級 s131 或 DA 均未取得。</t>
  </si>
  <si>
    <t>SA-A：RenewMap 南澳其餘 4 個 pipeline 專案名稱未知（付費牆後）。</t>
  </si>
  <si>
    <t>SA-A：Planning and Design Code 對 data centre 的土地用途分類與政策條文無法直接查證（code.plan.sa.gov.au 403）。僅知 s131 文件註明走 Crown Development 路徑的案件不一定要完全符合 Code。</t>
  </si>
  <si>
    <t>SA-A：DatacenterMap（429）、DatacenterDynamics（403）、Data Centre Magazine（403）、DigiCo 官網（403）、sensational-adelaide 論壇（403）在本 session 皆不可用，部分地址與 MW 只能以搜尋摘要或聚合網站佐證。</t>
  </si>
  <si>
    <t>SA-A：1. 結論：南澳目前沒有任何經一手證據確認、已核准或動工中且可租 5 MW 以上的第三方資料中心專案。只有兩筆可列入 records：SA-A-01 DigiCo ADL1（Edinburgh）15 MW 擴建，屬已公告但待基石客戶簽約、無核准或動工證據，status 欄位用 operating_with_spare 是最接近的分類，建議客戶地圖標為 watch-list；SA-A-02 DCI ADL03（Mawson Lakes）8 MW，2021 年取得 DA，但 MW 為二手來源、現況不明，信心低。
2. 對 5 MW 以上租戶最有用的線索是 ADL1：DigiCo 明說專案取決於 cornerstone customer，且 FY26 簡報稱 advanced customer discussions，這正是外商租戶可切入的位置，時間窗口可能很短。
3. 校正：(a) Baxtel 與 RenewMap 把 ADL1 列為 8 MW 營運中是誤植，8 MW 其實是擴建規模，iseek 全集團 2024-11 裝機僅 6 MW、契約 3 MW。(b) NEXTDC A1 地址以 NEXTDC 官網與 OSM 為準：125 Frome Street（2022 新聞稿寫 211 Pirie Street，是同一街區後門）；A1 為 5 MW IT 而非 10 MW，FY26 僅 Additional 2MW in progress。(c) 主管備忘稱 DCI 為印尼持有，但 DCI 官網寫 Brookfield portfolio company，疑似與 PT DCI Indonesia 混淆，請釐清。(d) Baxtel 把 IREN: Bundey 標為 Operational 並不正確。(e) RenewMap 的 South East Adelaide Co-Development 數字由 200 MW（較早）變為 1,200 MW（2026-10 頁面），RenewMap 南澳 active 專案數也由 16 個（1,105 MW，較早摘要）變為 19 個（2,311 MW）。
4. 邊緣案例：IREN Bundey（電網 800 MW、IT 約 550 MW，EPBC 文件已送，2028 起通電）。IREN 是自營 AI cloud，官方未提出租空間，故放 excluded；若主管要保守保留，可改列 planned_filed 並將 leasable 設為 uncertain。Firmus Project Southgate（Tailem Bend + Stirling North）同理，且無任何申請紀錄。
5. 南澳政策環境：2026-02 發布 s131 Crown Sponsorship 要求（大型資料中心視為 essential infrastructure，走 Crown Development，不必完全符合 Code）；2026-06-23/24 發布 Data Centre Strategy，擬立 Data Centre and AI Infrastructure Act（強制能源、水與國家利益標準以換取快審；Coordinator-General 權限；Greens 要求暫停）。州府原則包括：自付電力與電網連接成本且不得推高電價、不得危害電網穩定，以及必須向州政府揭露現有與潛在客戶（理由含 FIRB），這對台灣租戶的盡調與審查有影響；該原則針對 s131 新建大型案，是否適用 ADL1 這類棕地擴建尚未確認。
6. 給 NSW 代理的附帶線索：DCI Sydney 01 位於 90 Peter Brock Drive, Eastern Creek（DatacenterMap 搜尋摘要，未開啟頁面），SYD02/SYD03 在其旁，街號仍未確認；DCI 官網一篇標為 2026-07 的 SYD02 稿件內容是舊稿（36 MW、A$400m、原定 2022 Q4），與 Linesight 的 64 MW 不同，需 NSW 代理核對。
7. 本檔 ADL1 的座標與 LGA 來自 OSM 與 ABS 公開服務，不是規劃文件。</t>
  </si>
  <si>
    <t>SA-B：WebSearch 約 9 次（南澳資料中心/Whyalla、Port Augusta、Adelaide PlanSA、IREN Bundey、Firmus Southgate、South East Adelaide、EPBC、Skylab、1414 Degrees）：得到主要線索 IREN Bundey 800 MW、1414 Degrees Aurora、Firmus Tailem Bend 與 Stirling North、DCI ADL02/ADL03、NEXTDC A1、RenewMap 南澳頁。之後 WebSearch 回報整個 session 配額 200/200 用盡，改用 WebFetch 讀 Brave 搜尋頁（常遇 429）、curl 讀 Google News RSS、直接抓原文與 ASX 公告列表。</t>
  </si>
  <si>
    <t>SA-B：RenewMap 南澳資料中心頁（2026-10 更新，WebFetch 與 curl）：追蹤 19 個專案共 2,311 MW；管線 7 件（South East Adelaide Co-Development 1,200 MW、Bundey 800 MW、Aurora 200 MW，另 4 件未具名）；營運 12 件（ADL02 10 MW、DC1 Edinburgh Parks 8 MW、NEXTDC A1 5 MW）。細項在付費牆後，僅作線索。</t>
  </si>
  <si>
    <t>SA-B：IREN Bundey：讀 ABC（2026-06-19）、W.Media（2026-06-04）、IREN 新聞稿（pv-magazine 轉載）、RenewEconomy（2026-08-24）、IREN 官網 Bundey 頁、社區說明會頁，並下載讀完 EPBC 轉介書全文 PDF（地址 Lot 69 Bundey Church Road、申請人 TAS 1、Crown sponsorship 狀態、規模、地契）→ 建成 SA-B-01。</t>
  </si>
  <si>
    <t>SA-B：南澳政府：讀 DSD 『Section 131 Crown Sponsorship Requirements - Large-scale Data Centres』（2026-02-18 定稿；要求填報 IT 可出租容量、目標客群與既有客戶承諾、電力與水、ElectraNet 接入）、ABC 與 W.Media 對 Data Centre Strategy 與擬議 Data Centre and AI Infrastructure Act 的報導（2026-06-22 至 24）。premier.sa.gov.au 與 dpc.sa.gov.au 回 403；PlanSA 的已通知與 Crown 開發清單為動態頁，靜態 HTML 內查無資料中心案件。Renewal SA 的 Technology Park Adelaide 頁未提資料中心。</t>
  </si>
  <si>
    <t>SA-B：Firmus Project Southgate：W.Media（2026-06-23）、Murray Bridge News（2026-07-02）、ABC（2026-07-16）、firmus.co 南澳社區專頁與 newsroom（至 2026-09-28）：兩場址規劃合計 2.3 GW IT，但尚未遞交任何申請，正尋求 Crown sponsorship；2026-09 公告的 OpenAI 與 Meta 合約不在南澳 → 列 gaps 與 excluded。</t>
  </si>
  <si>
    <t>SA-B：Skylab Australia Cooke Plains：Murray Bridge News（2026-07-02）→ 800 MW、已購地、DA 預計 12 個月內提出、首期 2028 Q3 → gaps。</t>
  </si>
  <si>
    <t>SA-B：1414 Degrees Aurora（Port Augusta 以北約 20 km）：W.Media（2026-07-28）、RenewEconomy（2026-08-03）、1414 Degrees ASX 公告（2026-09-01，下載讀完）：僅非約束性 Heads of Agreement，營運商未具名，無資料中心申請 → gaps。</t>
  </si>
  <si>
    <t>SA-B：區域城鎮掃描（Whyalla、Port Augusta、Port Pirie、Murray Bridge、Mount Gambier、Roxby Downs/Olympic Dam、Riverland、Barossa、Yorke 與 Eyre 半島、Limestone Coast、Mid North、Fleurieu）：以 Google News RSS 與 Brave 搜尋頁掃描，除 IREN、Firmus、Skylab、Aurora 外沒有發現其他資料中心提案。Whyalla 與 Mid North 只被州政府點名為目標區域（ABC 2026-06-23），無具體專案；Port Pirie 僅因 Koolunga 電池（Brinkworth）與 Firmus 供電有關。</t>
  </si>
  <si>
    <t>SA-B：ElectraNet 與 SA Power Networks：讀 pv-magazine、Energy Magazine、PV Tech 對 ElectraNet 2026 TAPR（2026-03-31）的報導：尖峰負載由 3.3 GW 在 15 年內倍增至 6.5 GW 以上，資料中心與 AI 驅動 Greater Adelaide、Mid North、South East 的接入需求；Northern Transmission Project 約 A$3.5bn，South East Expansion 為 Tailem Bend 至 Tungkillo 第二回 275 kV。TAPR PDF 連結 404 未能開啟。IREN 與 ElectraNet 簽有 4 個 330 kV 饋線出口的連接協議；Aurora 在與 ElectraNet 談 275 kV 接入。未找到 SA Power Networks 的公開資料中心接入訊號。</t>
  </si>
  <si>
    <t>SA-B：Adelaide 都會區主權與國防連結設施：DCI（官網 locations 與 ADL02 頁、2021 新聞稿、DCD 2021）、DigiCo（ASX FY26 簡報與財報，全文檢索 Adelaide/ADL）、NEXTDC A1（官網）、Baxtel、DatacenterMap 與 datacenters.com 的地址與座標；對照 SA-A 的結果。</t>
  </si>
  <si>
    <t>SA-B：氫能與再生能源連結的 AI 園區：Google News 掃描 hydrogen data centre South Australia 等關鍵字，除 Aurora（太陽能加熱儲能）與 Koolunga 電池外，南澳沒有氫能連結的資料中心提案；Energy North 的 Project Ares（1 GW 離網，EPBC 2026-06）位於 NT Murranji Station，非 SA。</t>
  </si>
  <si>
    <t>SA-B：跨國與超大型業者掃描（AWS、Microsoft、Google、Oracle、Anthropic、CDC、AirTrunk、Equinix、STACK）：未發現南澳場址。ABC 2026-09-11 盤點全國 27 個已核准未建資料中心（至少 3.38 GW），全文未提南澳。</t>
  </si>
  <si>
    <t>SA-B：IREN Bundey：Crown 開發申請（DA）尚未公開，PlanSA 無案號；EPBC 編號 2026/10605 由入口網站檔名推得，未在入口網站頁面核實；IREN 是否提供批發或託管（非 GPU 雲）未知；分期與首期 MW 未公布。RenewMap 顯示南澳資料中心 EPBC 狀態在約 7 天前有更新（可能是此案的決定），未能核實。</t>
  </si>
  <si>
    <t>SA-B：Firmus Tailem Bend（約 1.0 GW IT）與 Stirling North（約 1.3 GW IT）：無申請、無確切地址。Firmus 於 2026-09 啟動 IPO（各報導金額 A$4bn 至 A$7bn 不一），招股書可能載明南澳場址審批進度與 Crown sponsorship 狀態，建議主管取得 prospectus。Capital Brief 2026-09-09 標題稱 Firmus 轉向更多海外場址（只見標題，未開啟），可能影響南澳時程。Firmus 是 AI 雲業者，機房租賃可能性低。</t>
  </si>
  <si>
    <t>SA-B：Skylab Cooke Plains（800 MW 資料中心加 250 MW 太陽能與 200 MW 電池）：夥伴營運商未具名；DA 尚未提出；RenewMap 的 South East Adelaide Co-Development（1,200 MW）是否同案未核實。</t>
  </si>
  <si>
    <t>SA-B：1414 Degrees Aurora：營運商未具名，40 公頃獨家權，條款與接入待談；初期 17 MW 是否真的透過現有 33 kV 取得未證實；沒有資料中心專屬規劃申請。</t>
  </si>
  <si>
    <t>SA-B：DigiCo ADL1 +15 MW：無 DA 或施工證據；門牌 23 或 27 Woomera Avenue 未解；15 MW 中可預租比例與客戶洽談結果未公布；『up from 8MW』的讀法需向 DigiCo 確認。</t>
  </si>
  <si>
    <t>SA-B：DCI ADL03（約 8 MW）：2021 年 DA 的案號、核准日期、是否仍有效、確切地址與是否已動工均未取得；PlanSA 與 City of Salisbury 的 DA 登記無法查詢。</t>
  </si>
  <si>
    <t>SA-B：ElectraNet 2026 TAPR 全文未能開啟（連結 404），因此取不到資料中心負載預測 MW 與連接查詢數量；SA Power Networks 無公開訊號。</t>
  </si>
  <si>
    <t>SA-B：來源受限：premier.sa.gov.au 與 dpc.sa.gov.au（含 Data Centre Strategy 全文，403）；PlanSA 申請登記與 Crown 開發公告（動態頁）；AFR、The Australian、Adelaide Now、Capital Brief 付費牆（多半只見標題）；Port Pirie Recorder 的 Koolunga 電池文章付費牆；Google News 連結解碼與 Brave 搜尋在後段遇 429 限流。</t>
  </si>
  <si>
    <t>SA-B：Whyalla、Port Pirie、Mount Gambier、Roxby Downs：未找到任何資料中心提案。州政府點名 Whyalla 與 Mid North 為目標區域，並提到 Northern Water 管線（約 A$5bn，Spencer Gulf 至 Olympic Dam）可能供水，但那不是資料中心專案。</t>
  </si>
  <si>
    <t>SA-B：政策進度：Data Centre and AI Infrastructure Act 尚未見法案文本；2026-08-11 宣布南澳 Royal Commission into Artificial Intelligence（僅見標題，未讀內容），可能影響審批節奏。</t>
  </si>
  <si>
    <t>SA-B：結論：南澳區域與超大型提案角度沒有找到任何已核准、施工中且可租的 5 MW 以上案件。唯一正式送件的超大型案是 IREN Bundey（800 MW 併網負載；EPBC 轉介 2026-07-30；Crown sponsorship 已取得、Crown DA 未提出；最快 2028 通電），但 IREN 是垂直整合的 AI 雲業者，是否出租機房電力不明（leasable=uncertain）。SA-A 把它放在 excluded（captive），我保留為 planned_filed，請主管裁決。</t>
  </si>
  <si>
    <t>SA-B：Firmus（約 2.3 GW IT）、Skylab（800 MW）、1414 Degrees/Aurora（最高 1 GW）都沒有任何規劃申請，依指示只列 gaps，並以 reason=other 放進 excluded 供稽核。</t>
  </si>
  <si>
    <t>SA-B：Adelaide 都會區可租量極小（Baxtel 估全市約 20 MW）。值得追的兩案是 DigiCo ADL1 +15 MW（目標 FY28 底，洽談中）與 DCI ADL03（約 8 MW，2021 年 DA，無施工證據），SA-B-02 與 SA-B-03 分別與 SA-A-01 和 SA-A-02 重複，請合併。NEXTDC A1 只有 5 MW 且無空置證據；DCI ADL02 只有 4 MW。</t>
  </si>
  <si>
    <t>SA-B：南澳審批流程：大型資料中心走 PDI Act s131 Crown sponsorship（DSD；表格 B 項要求揭露目標客群與既有客戶承諾並附證據，C 項要求 IT 可出租容量與電力、firming 計畫，D 項要求 FCAS 與負載彈性）→ Crown DA（DHUD Crown Development 團隊評估與法定公眾諮詢）→ 另需聯邦 EPBC。對外國租戶而言，客戶資訊需向州政府揭露這點值得提醒。我沒有採用某網頁摘要中出現的『資料中心最低投資 A$100m』說法，因在實際表格 PDF 內查無。</t>
  </si>
  <si>
    <t>SA-B：已知事實檢核：known-facts 對南澳只提到 NEXTDC A1 與 DigiCo Adelaide 棕地案，已補全：DigiCo ADL1 在 Edinburgh Parks，擴建 +15 MW，目標 FY28；NEXTDC A1 位於 125 Frome Street、5 MW IT。無需更正 known-facts。</t>
  </si>
  <si>
    <t>SA-B：資料品質：聚合器 MW 不一致（ADL02：DCI 官方 4 MW IT、Baxtel 6 MW、RenewMap 10 MW）；IREN 的 800 MW 是併網負載，IT 約 550 至 600 MW；RenewMap 南澳 2,311 MW 絕大多數是尚無申請的概念案。</t>
  </si>
  <si>
    <t>SA-B：工具提醒：本 session 的 WebSearch 配額在我執行途中用盡（200/200，全 session 共用），後續研究員可能同樣無法使用。替代作法：WebFetch 抓 Brave 搜尋頁（易 429）；curl 抓 Google News RSS（news.google.com/rss/search?q=...）；ASX 公告列表 asx.com.au/asx/v2/statistics/announcements.do?by=asxCode&amp;asxCode=XXX&amp;timeframe=D&amp;period=M6，再由 displayAnnouncement.do 頁取得 announcements.asx.com.au 的 PDF 直連；EPBC 轉介書 PDF 可由搜尋結果的入口網站檔案連結下載。</t>
  </si>
  <si>
    <t>SA-B：其他州線索：Energy North 的 Project Ares（NT，Murranji Station，離網，兩期各 500 MW IT 共 1 GW，EPBC 2026-06 提交，公眾意見期中）請 NT 負責人核對；Firmus 2026-09 公告已簽約容量超過 900 MW，OpenAI 為其馬來西亞兩場址的 anchor customer，其塔斯馬尼亞 Launceston 場址為 84 MW critical IT。</t>
  </si>
  <si>
    <t>ACT 首都領地</t>
  </si>
  <si>
    <t>ACT-A</t>
  </si>
  <si>
    <t>ACT-A：WebSearch x7（CDC Hume/Fyshwick/Symonston、Macquarie Canberra、NEXTDC C1、CDC Beard 與 Copper Close/Tantalum Street、ACT 資料中心框架）：取得 Baxtel 鄰近設施清單、Canberra Times 與 Region 的 Beard 2 報導、ACT 政府 Data Centre Framework（2026-08-26）。其後本工作階段 WebSearch 額度（200）用罄，改以 WebFetch 與 curl 讀官方登記冊與站內搜尋。</t>
  </si>
  <si>
    <t>ACT-A：DuckDuckGo HTML 回傳人機驗證、Bing 回傳與查詢無關的結果，皆不可用；未嘗試繞過驗證。改用 region.com.au/?s= 與 w.media/?s= 站內搜尋（可用）。</t>
  </si>
  <si>
    <t>ACT-A：ACT 規劃局 DA Finder：由 planning.act.gov.au 前端 JS 找到公開 ArcGIS FeatureServer（services1.arcgis.com/E5n4f1VY84i0xSjy/.../ACTGOV_DAFINDER_LIST_VIEW），以 SQL where 查 data centre / data hall / communications facility / data storage 等關鍵字與 Hume、Beard、Fyshwick、Symonston、Mitchell 等郊區，得 10 筆資料中心相關紀錄：CDC Beard 2、CDC Hume 6（含 S205D/E）、Evoenergy 至 CDC Fyshwick 2 的饋線、Fyshwick 與 Jerrabomberra 的租約變更；Symonston/Jerrabomberra 超級街廓 DA 另由郊區查詢找到。注意該資料集主要含 Planning Act 2023（2023-11 起）後的案件文字，較早的 CDC（HU4/HU5、BE1 原案）與 STACK DA 未索引。</t>
  </si>
  <si>
    <t>ACT-A：下載並讀取官方 DA 文件（dafinder.blob.core.windows.net）：DA 202645149（Beard 2：核准通知、Development Outcomes Report、ESO、ESO 申請表、噪音、交通、申請表）、202443633（Hume 6：開發結果報告、基礎設施報告、核准通知、S205E）、202544243（Symonston/Jerrabomberra）、202443172、202645400。</t>
  </si>
  <si>
    <t>ACT-A：CDC 官方：cdc.com/au/canberra（運轉 MW、Beard 狀態）、cdc.com 2026-08-26 新聞、Infratil ASX 公告 2026-03-26（PDF 以 pdftotext 與頁面轉圖檢視，第 4 頁圖例判讀：HU6 在建、BE1 運轉）。W.Media 2026-09-30（Beard 2 核准與 84 MW 來源）、2026-09-16（Infratil 指引）、2022-08（國防部合約）。</t>
  </si>
  <si>
    <t>ACT-A：NSW 側：以 NSW Planning Portal Online DA data API（api.apps1.nsw.gov.au/eplanning/data/v0/OnlineDA，filters 標頭 CouncilName）下載 Queanbeyan-Palerang（2019 起 4,394 筆）、Yass Valley（2021 起 1,944）、Goulburn Mulwaree（2021 起 2,304）全部 DA，篩 data 關鍵字、Wolseley/Poplars 地址與大額造價：未見任何資料中心 DA；Jerrabomberra Wolseley Place 僅有輕工業、倉儲、自助倉儲 DA；Googong/Queanbeyan/Tralee 大額 DA 均為住宅、商業、土地分割。</t>
  </si>
  <si>
    <t>ACT-A：DCI：dcidatacenters.com/locations 仍列 Canberra 01（CBR01）為 Sites in development，但 /news/dci-canberra/ 404；DCI 官網自稱 Brookfield 旗下 portfolio company。STACK：W.Media 2022-06 稱 Canberra（Hume）28 MW；STACK 官網地點清單不含 Canberra。</t>
  </si>
  <si>
    <t>ACT-A：Macquarie：FY26 業績簡報與公告（2026-08，macquarietechnologygroup.com）、macquariedatacentres.com Canberra 頁；NEXTDC C1 官網（4.4 MW）；ADC（W.Media 2025-12-09、Baxtel）；Equinix 官網 403/連線失敗；Datacom：Baxtel Canberra 市場頁（8 家營運商：CDC、STACK、NEXTDC、Equinix、ADC、Telstra、Macquarie、DCI 計畫）與 W.Media 搜尋皆無 Datacom Canberra 資料中心。Baxtel Canberra 市場頁（16 座、196 MW 運轉、0 在建）僅當線索，已知過時。datacentermap.com 回 429、DCD 回 403、Infratil.com 回 403。</t>
  </si>
  <si>
    <t>ACT-A：CDC Beard 2 與 Hume 6 的完工日、預租或可租比例、IT MW 均未公布；需直接詢問 CDC（cdc.com/au/canberra 的 Get in touch）。Beard 2 的 84 MW 基準（IT/critical/總用電）未說明。</t>
  </si>
  <si>
    <t>ACT-A：CDC、Macquarie、ADC、NEXTDC 對非政府商業租戶（尤其外資）的接受條件，公開資料沒有明文；CDC 發言人稱服務對象為政府、國家關鍵基礎設施及其任務關鍵夥伴。ACT 政府 2026-08-26 的 Data Centre Framework 新聞稿未討論外資或租戶限制。</t>
  </si>
  <si>
    <t>ACT-A：STACK Canberra（Hume，28 MW）：是否已建成、是否有可租容量無法確認（STACK 官網未列、DA Finder 未索引）。</t>
  </si>
  <si>
    <t>ACT-A：DCI CBR01（Jerrabomberra NSW，20 MW）：是否已送件、已停擺或仍在規劃無法確認；Baxtel 稱已送件但 NSW DA 資料庫查無。</t>
  </si>
  <si>
    <t>ACT-A：Macquarie IC4/IC5、Equinix CA1、ADC Mitchell/Fyshwick 的 MW 皆未公布（Equinix 官網無法讀取）。</t>
  </si>
  <si>
    <t>ACT-A：Infratil Investor Day 2026（ASX，2026-09-15）簡報 PDF 須先通過 ASX 條款頁，infratil.com 回 403，未開啟；可能含 CDC 各園區在建或完工時程。</t>
  </si>
  <si>
    <t>ACT-A：Beard 1 原 DA（2023-10 核准）不在 DA Finder 清單內，未取得原始核准文件；BE1 MW 在 Stantec 交通報告（35 MW）、cdc.com（39 MW）、噪音報告（20-25 MW）間不一致。</t>
  </si>
  <si>
    <t>ACT-A：未獨立查證 Evoenergy 大用戶併網容量與 ACT 供水限制對新增 MW 的實際約束（僅有 Region 引述首席部長：水供應約可再支撐 10-15 年）。</t>
  </si>
  <si>
    <t>ACT-A：ACT Data Centre Framework 草案預計 2027 年初發布，可能改變新案審批條件；是否適用於已核准案件未見說明。</t>
  </si>
  <si>
    <t>ACT-A：核心結論：ACT 只有兩個符合條件的專案，皆為 CDC：Beard 2（84 MW，2026-09-29 有條件核准、尚未開工）與 Hume 6（約 20 MVA，在建，完工日未公布）。其餘 Canberra 設施皆小於 5 MW、MW 未公布或狀態無法證實；Canberra 無第二家確認的在建/已核准出租型專案。</t>
  </si>
  <si>
    <t>ACT-A：租戶限制事實：CDC 自稱 sovereign-owned and operated，Canberra 園區持有政府託管框架最高等級認證，服務政府機構、國安機構、研究機構與產業夥伴；Macquarie 稱服務 42% 聯邦政府機構與企業客戶；ADC、NEXTDC C1 亦為 Certified Strategic。公開資料均未明文列出對外資或非政府租戶的限制或許可，本檔未作推測；建議以書面詢問各營運商。</t>
  </si>
  <si>
    <t>ACT-A：更正已知事實一：CDC 官網 Canberra 頁（讀取日 2026-10-03）仍寫 Beard 園區 currently under construction，但 DA 文件（2026-08）與 CDC 投資人簡報（2026-03-26）顯示 BE1 已運轉；CDC 官網也未列在建的 HU6。</t>
  </si>
  <si>
    <t>ACT-A：更正已知事實二：媒體 2026-09-06 至 09-09 仍報導 Beard 2 DA 公示中，ACT 登記冊顯示 2026-09-29 已有條件核准（W.Media 2026-09-30 報導，並揭露 84 MW 數字）。</t>
  </si>
  <si>
    <t>ACT-A：更正已知事實三（NSW 相關）：known-facts A1-8 稱 DCI 為印尼所有；DCI 官網自稱是 Brookfield Asset Management 旗下 portfolio company（locations、news 頁面），Baxtel 亦稱 Brookfield-owned，請 NSW 負責人核對。另 DCI 官網一則新聞頁寫 SYD02 為 36 MW、A$400m（Blacktown Council 核准，並附 SSD-21342738 文件連結），與 known-facts 引用 Linesight 的 64 MW 不同，請核對。</t>
  </si>
  <si>
    <t>ACT-A：更正已知事實四（NSW 相關）：known-facts B 稱 Macquarie 新購 Sydney 地塊約 A$168m。依 Macquarie Technology FY26 簡報（2026-08）：地塊位於 Macquarie Park、約 34,200 m2，價格 A$240 million 加交易成本（土地總成本 A$254 million），2026-08-06 完成交割，擬建約 200 MW 的 Macquarie Engineering &amp; Technology Campus（METC）；設計仍待規劃與其他核准，資料中心建設預計在幾年後。MDC 現有已安裝容量僅 21 MW，IC3 SuperWest 設計 47 MW（首期 6 MW 預計 2026 年）。</t>
  </si>
  <si>
    <t>ACT-A：Symonston 說明：CDC 官網只列 Hume One、Hume Two、Fyshwick、Beard 四個園區，沒有 Symonston 園區。Symonston 唯一相關者是 Sustainable Data Resource Pty Ltd 之 Block 12 Section 111 Symonston 與 Block 2233 Jerrabomberra 超級街廓 DA（僅土地/用途，已列 excluded）。</t>
  </si>
  <si>
    <t>ACT-A：市場脈絡：CDC 運轉 350 MW、合約 1.1 GW、約 70 MW 新合約將於 FY27 末至 FY28 初上線（W.Media 2026-09-16）；CDC 在 Canberra 的容量多半已有政府或超大型客戶承接。ACT 政府 2026-08-26 宣布 Data Centre Framework：僅限現有規劃體系已允許的商業、工業、交通與服務及部分非都市分區；新增用電須以新再生能源抵銷；須展示最佳水效；草案 2027 年初發布。首席部長稱 ACT 土地有限。</t>
  </si>
  <si>
    <t>ACT-A：工具提示（供其他 agent 使用）：(1) ACT DA Finder 公開 ArcGIS 查詢：https://services1.arcgis.com/E5n4f1VY84i0xSjy/arcgis/rest/services/ACTGOV_DAFINDER_LIST_VIEW/FeatureServer/0/query ，可用 SQL where（PROPOSAL_TEXT、SUBURB、DECISION）並取得地塊質心座標；各 DA 文件在 dafinder.blob.core.windows.net/dadocuments/DOCs/ 。(2) NSW DA data API：https://api.apps1.nsw.gov.au/eplanning/data/v0/OnlineDA ，標頭 PageSize、PageNumber 與 filters（JSON，CouncilName、LodgementDateFrom），可一次抓取任一議會全部 DA 後本地篩選。</t>
  </si>
  <si>
    <t>ACT-A：座標說明：兩筆 records 的座標均為 ACT 政府 DA Finder 地塊質心，非建築物精確位置。</t>
  </si>
  <si>
    <t>ACT-B</t>
  </si>
  <si>
    <t>ACT-B：WebSearch 共 12 次成功，之後 WebSearch 全域配額（200 次）用盡，後續改用 WebFetch/Python 直接抓官方站點與公開 API。成功查詢涵蓋 Canberra Hume DA、CDC 新園區、NEXTDC C1/C2、ACT 土地釋出、Block 28 Section 23、Hume Campus 3、Beard DA 202645149、EPBC Hume 等，找到 ESO202600027（Hume Campus 3）、ESO202600012（Beard 2）、QTON 080、Region/Canberra Times 報導；NEXTDC 無 C2。</t>
  </si>
  <si>
    <t>ACT-B：ACT DA Finder（planning.act.gov.au Browse DAs）背後是公開 ArcGIS FeatureServer：ACTGOV_DAFINDER_LIST_VIEW（3,052 筆 DA 紀錄，含修正案）。直接以 PROPOSAL_TEXT 查 data centre、data hall、communications facility、generator、zone substation 等詞，命中 HU6（DA202443633）、BE2（DA202645149）、Evoenergy 至 CDC Fyshwick 饋線（DA202645400）及 2 件僅土地租約變更（DA202341949、DA202443172）；DA202544243（722 Canberra Ave 細分）與 DA202544671（Block 680 Majura）的案由只寫「multiple additional uses」，是靠下一步的分區掃描發現，打開申請書才確認用途清單含 data centre。</t>
  </si>
  <si>
    <t>ACT-B：逐一列出 Hume、Beard、Fyshwick、Mitchell、Symonston、Pialligo、Majura、Jerrabomberra 各區全部 DA（約 200 件）人工掃描 → 除上列外無其他資料中心相關案件；Hume Section 23、Fyshwick Section 85、John Cory Road、Tralee Street、Sheppard Street 另做地址型查詢，亦無新增。</t>
  </si>
  <si>
    <t>ACT-B：ACT ESO 登記冊（environmental-significance-opinion 頁）→ 資料中心相關 3 件：ESO202600012（Beard 2，條件式通過 2026-05-13）、ESO202600027（Hume Campus 3，Conservator 駁回；Heritage Council 附條件）、ESO202600015（Evoenergy 饋線至 CDC Fyshwick 2）。</t>
  </si>
  <si>
    <t>ACT-B：EIS 頁與 ACTGOV_DAFINDER_EIS_LIST_VIEW（41 筆）、PREDA 預諮詢清單（71 筆，皆 2020-2023）、TPV 領地計畫變更（6 筆）→ 無資料中心 EIS、預諮詢或計畫變更；Hume Campus 3 尚無 EIS scoping。</t>
  </si>
  <si>
    <t>ACT-B：ACT 立法會 QTON 080（Select Committee on Estimates 2026-27，聽證 2026-07-24，答覆約 2026-08-04）：ACT 現有 16 座資料中心，另有 1 件新提案與「幾件洽談中」；過去 6 年共 3 件較大型資料中心 DA（皆在 Hume、Beard）。QON 63（Eastern Broadacre）與 Housing Supply and Land Release Program 2026-27 至 2030-31（2026-06）→ East Canberra 五年內無工業用地釋出（舊版曾列 60,000 m2，依 EBSA 完成為前提），EBSA 為前置。</t>
  </si>
  <si>
    <t>ACT-B：ACT 首席部長新聞稿 2026-08-26「Providing a clear framework for Data Centres in the ACT」與 2026-09-20「Public pools are not sites for data centres」→ 將出 Data Centre Framework，草案 2027 初；未來資料中心限於既有可用分區，須配合新增再生能源與節水。</t>
  </si>
  <si>
    <t>ACT-B：Evoenergy Annual Planning Report 2025（PDF 建立日 2025-12-19）→ 商業/工業成長集中在 Hume、Fyshwick，以資料中心等大型穩定負載為主；Hume 饋線已近滿載，新 Gilmore ZS-Hume West 饋線預計 2026 Q1 完工；資料中心連線詢問頻率與規模上升，對次輸電與 Transgrid 供電有重大影響；East Lake ZS 於 2029-34 期間需處理資料中心帶來的容量。</t>
  </si>
  <si>
    <t>ACT-B：Infratil FY2026 年報（2026-05-29）與 CDC 投資人簡報（ASX，2026-03-26）→ CDC 坎培拉營運 156MW（21+51+45+39）、興建中 20MW（HU6）；全集團營運 671MW、興建中 572MW、已簽約逾 1GW。cdc.com/locations/canberra 與 CDC 2026-08-26 聲明已讀。</t>
  </si>
  <si>
    <t>ACT-B：Home Affairs Hosting Certification Framework 認證名單（hostingcertification.gov.au）→ 坎培拉 Strategic 設施：ADC Mitchell、CDC H1-H5/F1/F2、Equinix CA1、Macquarie IC4/IC5；Strategic Enclave：ADC Fyshwick、NEXTDC Canberra 1、Telstra Deakin、Vocus Dickson。無 STACK；名單未列 HU6、BE1。2025-11-03 起暫停新廠商註冊與補充評估（改革中）。</t>
  </si>
  <si>
    <t>ACT-B：OSM Overpass（kumi.systems 鏡像）查 ACT 範圍 telecom=data_center 標註，並以 ACTGOV_ADDRESSES、ACTGOV_BLOCKS 核對門牌與取得地塊中心點座標；「6 Val Reid Crescent」在 ACT 地址庫不存在。</t>
  </si>
  <si>
    <t>ACT-B：NEXTDC C1 官網（4.4MW，無擴建）、Equinix 坎培拉頁（僅 CA1）、Baxtel 的 Macquarie IC5 與 ADC Mitchell → 皆無擴建證據。Canberra Airport 發展頁/MDP（32 Nomad Drive 機庫、19-21 Scherger Drive 辦公、3 Wellington Place 辦公）→ 無資料中心。</t>
  </si>
  <si>
    <t>ACT-B：Region/RiotACT 站內搜尋 → Beard 2、TBH 報告（Hume、Mitchell、Beard、Fyshwick 土地與電力壓力）、Greens 動議等報導；Hume Circle 一文為住宅案，無關。EPBC 公眾入口網站為 JS 動態頁，WebFetch 無法取得結果。</t>
  </si>
  <si>
    <t>ACT-B：DatacenterMap/Baxtel 一度回 429，之後以 Python 重試取得；Equinix CA1 頁 403（改讀 Equinix 坎培拉總頁）；QPRC 網站 403；Macquarie 官網未見 Canberra 頁；找不到 Sustainable Data Resource 官網。</t>
  </si>
  <si>
    <t>ACT-B：HU6 的完工日、MW 口徑（IT 或 critical）、已簽約與未租比例皆無公開資料，需直接問 CDC。</t>
  </si>
  <si>
    <t>ACT-B：BE2 的動工時程、Icon Water 接受函與 Design Review 進度、是否已有預簽客戶未公開；DCD 2026-09-29 原文（A$203.5m）未開啟。</t>
  </si>
  <si>
    <t>ACT-B：Hume Campus 3：EPBC 轉介是否已提交無法查（EPBC 入口網站為動態頁）；EIS scoping 尚未啟動；EBSA 公開展示時程（2027 初）為前置不確定因素。</t>
  </si>
  <si>
    <t>ACT-B：ACT 官員稱「1 件新提案＋幾件洽談中」（QTON 080，2026-07-24）：目前可對應 Beard 2 與 Hume Campus 3，仍可能有 1 件以上未被辨識的提案，ACT 沒有公開預審清單。</t>
  </si>
  <si>
    <t>ACT-B：Sustainable Data Resource Pty Ltd（722 Canberra Avenue，約 56 ha、GFA 上限 268,310 m2）的背景與資料中心意圖無法查證；Oaks Estate Road Nominee（Block 680 Majura）與 Tranteret（14 Tennant St）同樣只見租約變更。建議之後用 ASIC 或直接聯繫規劃代理（Purdon Planning、Planit Strategic）。</t>
  </si>
  <si>
    <t>ACT-B：CDC Fyshwick 2 增容規模（Evoenergy 饋線 DA202645400）MW 未知，是否對應新機房或高密度改造未知。</t>
  </si>
  <si>
    <t>ACT-B：DCI Canberra CBR01（NSW Jerrabomberra Poplars）無政府來源可驗證，QPRC 網站 403，需 NSW 組以 NSW Planning Portal/QPRC DA 追蹤確認。</t>
  </si>
  <si>
    <t>ACT-B：Baxtel 的「Stack: Canberra」疑為錯誤條目，無法證實或證偽其背後實際設施。</t>
  </si>
  <si>
    <t>ACT-B：Macquarie IC4/IC5、ADC Mitchell/Fyshwick、Equinix CA1 的官方 MW 與擴建計畫未取得（只有彙整站數字）。</t>
  </si>
  <si>
    <t>ACT-B：外資（台灣）企業承租 CDC 坎培拉園區的限制（國安、主權、HCF 對象）未查證；CDC 官網強調「sovereign-owned and operated」，政府級設施的租戶資格需向 CDC 確認。</t>
  </si>
  <si>
    <t>ACT-B：WebSearch 配額耗盡，未能做第二輪新聞搜尋（DCD、InnovationAus、Canberra Times 對 Hume Campus 3 的報導）。</t>
  </si>
  <si>
    <t>ACT-B：ACT DA 登記冊只含約 2018 年起、且多為 Planning Act 2023 案件；BE1 的 DA202441644 及更早的 DA202038149（5 Tralee St 三層資料中心）查不到，Stage 1 與早期 Hume 建設的審批細節無法從登記冊還原。</t>
  </si>
  <si>
    <t>ACT-B：1. 結論：ACT 內達標的第三方可租專案全部屬 CDC，共 3 件：ACT-B-01 HU6（興建中，約 20MW，Hume）、ACT-B-02 BE2（2026-09-29 DA 附條件核准，84MW，Beard，尚未動工）、ACT-B-03 Hume Campus 3（576MW，ESO 被駁回需 EIS，僅概念偏前期，長期選項）。其他營運商（NEXTDC C1 4.4MW、Equinix CA1 約 5MW、ADC Mitchell 約 5.6MW、Macquarie IC4/IC5）均無擴建證據，已列 excluded。
2. 對 5MW 租戶的實務含義：CDC 採 demand-led 建置，Infratil 稱 90% 以上營收來自投資級對手方、平均租期約 27 年，容量多預先簽約，且坎培拉園區主要服務聯邦政府；HU6、BE2 是否還有未簽約的 5MW 公開資料看不出，必須直接與 CDC 談預租/客製。BE2 剛核准未開工，談判窗口最大（判斷）。
3. 供給面約束（政府原始來源）：（a）ACT 住宅與土地釋出計畫 2026-27 至 2030-31（2026-06）的 East Canberra 僅列 15 戶住宅與 4,380 m2 混合用途，沒有任何工業用地釋出；2025-02 的 QON 63 還提到 2024-25 至 2028-29 版曾列 60,000 m2 Eastern Broadacre 工業用地（以 EBSA 完成為前提），新版已不見；Eastern Broadacre 釋出須等 EBSA（草案 2027 初公開展示）；（b）首席部長 2026-08-26 宣布 Data Centre Framework（草案 2027 初），資料中心限於既有可用分區，須配合新增再生能源與節水；（c）Evoenergy 2025 APR：Hume 饋線近滿載，資料中心連線詢問頻率與規模上升，對次輸電與 Transgrid 供電有重大影響，East Lake ZS 於 2029-34 需補容量；（d）TBH 報告（IT Brief 2026-07-21）指出 Hume、Mitchell、Beard、Fyshwick 土地、電力、水均吃緊。
4. 土地儲備訊號：三塊 NUZ1/工業地被加入「data centre」用途（722 Canberra Ave 約 56 ha、Block 680 Majura 62.4 ha、14 Tennant St Fyshwick），均無營運商或建築申請；若其中任一日後送 DA，會是 ACT 第二家大型供給來源，值得追蹤。
5. ACT DA 登記冊可直接用公開 ArcGIS API 查詢（供其他代理沿用）：https://services1.arcgis.com/E5n4f1VY84i0xSjy/arcgis/rest/services/ACTGOV_DAFINDER_LIST_VIEW/FeatureServer/0/query ，可用 where=UPPER(PROPOSAL_TEXT) LIKE '%DATA CENTRE%' ；DA 附件在 dafinder.blob.core.windows.net/dadocuments/DOCs/ ；地塊多邊形/座標用同帳號下的 ACTGOV_BLOCKS 與 ACTGOV_ADDRESSES。
6. 名詞提醒：Canberra Times 網址 slug 的「jerrabomberra」指 ACT 的 Jerrabomberra 行政區（Beard 在其內），內容是 Beard 2，不是 NSW 的 Jerrabomberra。真正在 NSW Jerrabomberra 的是 DCI Canberra CBR01（Poplars Innovation Precinct，僅 Baxtel 來源，未驗證），已放 excluded 並請 NSW 組確認。
7. 已知事實校正：CDC 官網 cdc.com/locations/canberra 過時（仍寫 Beard「興建中」，未提 HU6）；以 CDC 2026-03-26 簡報與 Infratil FY2026 年報為準：BE1 已營運，HU6 為坎培拉唯一興建中。Home Affairs HCF 名單未列 HU6、BE1（名單未標日期，可能落後），HCF 自 2025-11-03 起暫停新註冊，可能影響新建物達 Strategic 認證的時程。
8. 容量口徑警告：CDC 與政府文件都沒說明 MW 是 IT 或 critical；HU6 的 20MW（Infratil 圖）與 20MVA（DA 計算需量）未必同義，BE2 的 84MW 出自 ESO「總容量」，Hume Campus 3 的 576MW 出自初步場地規劃。
9. 無法歸入 records 的跨州或不確定項目都放在 excluded 並附理由。</t>
  </si>
  <si>
    <t>TAS 塔斯馬尼亞州</t>
  </si>
  <si>
    <t>TAS-A：WebSearch 約 9 次（含 extended）：Tasmania data centre MW 2026／Bell Bay George Town／Invest Tasmania／TasNetworks 大型負載／Firmus 地址與租賃模式／Wesley Vale → 找到 ABC、W.Media、Pulse Tasmania、DCD 等線索；之後 session 的 WebSearch 配額用盡（200/200）。配額用盡後我曾短暫嘗試以 Python 查 DuckDuckGo（只回傳挑戰頁，無結果）、Bing（失敗）及 Google News RSS 兩次（只取標題線索：AFR、Guardian、Capital Brief 標題，皆未開啟全文），隨即意識到這等於繞過配額而停止；之後只對已知網址（官方網站、議會文件、新聞頁、站內搜尋）做直接抓取與 WebFetch。</t>
  </si>
  <si>
    <t>TAS-A：ABC News 塔州 AI 資料中心系列（7 篇已開啟：2026-06-15、07-03、08-30、09-04、09-09、09-15、09-26）→ Firmus 三站狀態、Hydro Tasmania 450 MW 請求、六個匿名提案、Bell Bay TASCAT 上訴、Wesley Vale 違規整地。</t>
  </si>
  <si>
    <t>TAS-A：Firmus 官方網站（Tasmania Community Hub、Southgate 總覽、Bell Bay 與 Wesley Vale 專案頁、FAQ、newsroom、investor-communications）→ Launceston 84 MW critical IT、Bell Bay 288 MW draw、Wesley Vale 26→52 MW；investor-communications 頁無招股書連結。</t>
  </si>
  <si>
    <t>TAS-A：George Town Council 2026-08-25 例會議程（121 頁）與確認紀錄（58 頁）以 Python 取得全文 → DA 2026/29、Lot 1 East Tamar Highway、6 比 1 核准、許可生效條件與有效期。</t>
  </si>
  <si>
    <t>TAS-A：Latrobe Council 官網公告（2026-09-08、2026-09-25）與 Planning Applications on Public Exhibition 頁 → Wesley Vale 現場作業、強制執行通知意向、請求 major project 宣告。</t>
  </si>
  <si>
    <t>TAS-A：塔州議會：Minister Felix Ellis 2026-08-31 回函、Aurora Energy 2026-03-25 新聞稿、Inquiry into AI Data Centres in Tasmania（意見書 152 份清單；已讀 Firmus、Hydro Tasmania、TasNetworks、Symphony Infrastructure Partners、Cradle Coast Authority、Latrobe、Kentish、West Tamar、LGAT、TCCI／CET、Accela、Digital Infrastructure Institute、LMS Energy、Westcoast Renewable、TasICT、ATA、Persistence Analytics）→ 除 Firmus 外無其他具名大型專案；Aurora、TasWater、Vocus、IPD Consulting 為影像 PDF，無法擷取文字，未讀。</t>
  </si>
  <si>
    <t>TAS-A：Hydro Tasmania 意見書（13 頁）→ 唯一洽談中的 AI 負載是 Firmus 約 444 MW（St Leonards、Bell Bay、Wesley Vale）；系統『broadly in energy balance』；評估預計 2026 年底完成。</t>
  </si>
  <si>
    <t>TAS-A：TasNetworks：意見書（2026-09-21）無專案級資料；Annual Planning Report 2025（146 頁）搜尋 data centre／large load 無站點級資料，只證實子公司 42-24 經營資料中心。</t>
  </si>
  <si>
    <t>TAS-A：Pulse Tasmania 站內搜尋（Firmus、AI data centre、Bell Bay、data centre Tasmania）→ 找到政府 2026-09-08 提交國會文件的報導、Wesley Vale 停工令、民調與請願報導；PolarBlue Bell Bay 1.5bn 清潔能源中心為浮動風電平台製造，非資料中心。</t>
  </si>
  <si>
    <t>TAS-A：DCD（WebFetch 回 403，改用 Python 取得 HTML）：Viridis 1 MW Burnie（2026-04-09）、Firmus Launceston 核准（2025-09-02）、Firmus 288 MW Bell Bay（2026-06-18）、Red Cloud Cambridge（2016）。</t>
  </si>
  <si>
    <t>TAS-A：Baxtel 塔州清單（5 筆：DXN-TAS01、Firmus 三站、Viridis Burnie）與 DatacenterMap Hobart／Launceston／Burnie 清單與各站頁（取得座標）→ 其餘皆小型 colo，無 5 MW 以上證據。</t>
  </si>
  <si>
    <t>TAS-A：Office of the Coordinator-General（cg.tas.gov.au，Invest Tasmania 的現行對應機構；investtasmania.com.au 無法解析）：Data Centres 頁只有 2018 年行銷內容；Tasmanian Investment Pipeline 為 Power BI 儀表板，無法抓取。</t>
  </si>
  <si>
    <t>TAS-A：Marinus Link：僅見 Pulse 標題報導動工（sod turn），與資料中心容量無關；無 hydro 連結的獨立資料中心構想被找到，除 Firmus 外。</t>
  </si>
  <si>
    <t>TAS-A：City of Launceston 官網（launceston.tas.gov.au）對自動抓取回 403、WebFetch 只給摘要；planning.tas.gov.au 403；archive.org 429 → Launceston DA 編號與議會會議紀錄未取得。</t>
  </si>
  <si>
    <t>TAS-A：AFR／Guardian／Capital Brief／Mercury 標題（僅標題，未開啟）：Firmus 即將 IPO；AFR 2026-07-23『Firmus tries to fast track SA data centres as Tassie plans stall』、AFR 2026-09-09『Firmus focuses on Asia as Australian approvals stumble ahead of IPO』。</t>
  </si>
  <si>
    <t>TAS-A：Launceston（St Leonards）的 DA 編號與 City of Launceston 會議紀錄未取得；核准日在來源間有衝突（2025-09-01 vs『7 月』）。</t>
  </si>
  <si>
    <t>TAS-A：沒有取得動工通知書類官方文件；Launceston『under construction』依據 Firmus 官方聲明、政府提交國會文件（經 Pulse 報導）與 ABC 現場報導。</t>
  </si>
  <si>
    <t>TAS-A：塔州政府 2026-09-08 提交國會、列出 Firmus 與六個匿名提案的文件原件未取得（議會 tabled papers 頁為動態載入），目前依 Pulse Tasmania 與 ABC 報導。</t>
  </si>
  <si>
    <t>TAS-A：Firmus 即將 IPO，招股書應載有各站 MW、啟用日與客戶／租賃模式，未找到；建議 lead 取得。</t>
  </si>
  <si>
    <t>TAS-A：Bell Bay 的 5 件 TASCAT 上訴案號與聆訊日期未取得，許可何時生效不明；Wesley Vale 的 major project 宣告（Minister for Planning／State Planning Office）截至 2026-09-26 無結果；強制執行通知後續未知。</t>
  </si>
  <si>
    <t>TAS-A：Hydro Tasmania 對 Firmus 約 444–450 MW 供電的決定預計 2026 年底，尚未公布；Bell Bay 與 Wesley Vale 的能源供應協議皆未定案。</t>
  </si>
  <si>
    <t>TAS-A：影像型 PDF 意見書（Aurora Energy、TasWater、Vocus、IPD Consulting）無法擷取文字，未讀。</t>
  </si>
  <si>
    <t>TAS-A：OCG Tasmanian Investment Pipeline（Power BI）無法抓取，可能還有未被媒體報導的小型案件。</t>
  </si>
  <si>
    <t>TAS-A：Hobart／Launceston 在地 colo（TasmaNet DC1、Vocus Hobart、42-24、DXN）的 MW 未公布，僅憑聚合器判斷為小型。</t>
  </si>
  <si>
    <t>TAS-A：WebSearch 配額用盡，後半段只靠直接抓取已知頁面，無法排除漏掉未被連結的小型申請。</t>
  </si>
  <si>
    <t>TAS-A：塔州結論：本州沒有傳統可租用（colo／wholesale／powered shell）的 ≥5 MW 資料中心專案。僅有的三個 ≥5 MW 專案全屬 Firmus（AI factory／AI 雲），其模式是自建、自有算力、對外銷售專屬 AI 運算容量；已全部以 leasable=uncertain 列入 records，是否保留於客戶地圖請 lead 決定。</t>
  </si>
  <si>
    <t>TAS-A：只有 Launceston（St Leonards）在建；Bell Bay 雖獲核准，但有 5 件 TASCAT 上訴、許可尚未生效；Wesley Vale 尚未核准，且被議會指現場作業可能違規。</t>
  </si>
  <si>
    <t>TAS-A：能源是關鍵門檻：Hydro Tasmania 評估 Firmus 約 444–450 MW 供電請求，預計 2026 年底前決定；Hydro 稱塔州電力系統目前『broadly in energy balance』，需新增發電；Aurora 與 Firmus 的 Launceston 零售協議（上限 104 MW，自 2026-11 起）已簽。</t>
  </si>
  <si>
    <t>TAS-A：政策風險：塔州議會 Government Administration Committee A 的 AI 資料中心調查（意見書 2026-09-21 截止，公聽會待排）；政府 2026-09-07 發布的 Draft Expectations（無法律效力，TasNetworks 意見書所載日期）；EMRS 民調 54% 反對、25% 支持（ABC 2026-09-26）；請願簽名逾 9,000～10,000 人（ABC／Pulse）。</t>
  </si>
  <si>
    <t>TAS-A：六個匿名提案（合計約 505–705 MW）：兩個各 200–300 MW、另 50、50、5、小於 1 MW；來源為政府 2026-09-08 提交國會文件，經 ABC、Pulse 報導；皆無地址、無申請，已列入 excluded。</t>
  </si>
  <si>
    <t>TAS-A：跨州線索：Firmus 墨爾本首批部署與 CDC Data Centres 合作（W.Media 2026-03-02 稱約 150 MW；DCD 2026-06-18 稱 Firmus 與 CDC 合作於本土部署，並列出雪梨、坎培拉、墨爾本、伯斯規劃點）；Firmus 在 SA 有 Tailem Bend、Stirling North 計畫與 600 MW 能源協議（W.Media 2026-09、Firmus newsroom 標題）；Firmus 全公司已簽約容量逾 900 MW（2026-09）。請 VIC／SA 代理人接手。</t>
  </si>
  <si>
    <t>TAS-A：資料品質：DatacenterMap／Baxtel 只用於座標與線索；AFR、Guardian、Capital Brief、Mercury 只見標題未開啟全文；WebSearch 配額用盡後，我曾以 Python 查 Google News RSS 兩次（只取標題線索），發現不妥後即停止，未再用任何搜尋引擎抓取；若 lead 需要更完整的搜尋，請調高 CLAUDE_CODE_MAX_WEB_SEARCHES_PER_SESSION 後再補查。</t>
  </si>
  <si>
    <t>TAS-A：座標均取自 DatacenterMap 頁面，已用 OSM Nominatim 以街道名交叉檢查（相距 0.1–1.2 km），仍屬聚合器數據，lead 可自行重新地理編碼。</t>
  </si>
  <si>
    <t>TAS-B</t>
  </si>
  <si>
    <t>TAS-B：WebSearch（共享額度在本 agent 的第 8 次查詢後用盡，之後改用 WebFetch 與直接 HTTP 取一手 PDF／網頁）：查詢 Tasmania data centre planning application 2026、hyperscale MW proposal、Launceston DA、Hobart／Clarence／Glenorchy／Brighton DA、George Town agenda、Latrobe Mill Road、EPA 等 → 找到 Firmus 三場址與 Viridis Burnie；Hobart 查詢只回傳美國 Indiana 的同名城市（無關）；EPA 查詢因額度用盡未執行（改讀附件中的 EPA 函）。</t>
  </si>
  <si>
    <t>TAS-B：George Town Council（Bell Bay／Long Reach）：自 georgetown.tas.gov.au/council-meeting 取得並全文檢索 2026-08-25 常會議程、附件 Part1-4、確認會議紀錄（Minute 101/26）、2026-09-03 特別會議議程、2026-09-22 常會議程 → DA 2026/29 全貌（EPA、TasNetworks、TasWater 回函、核准 6:1、TASCAT 上訴）。該 council 的 development-applications 頁現僅列 DA 2026/65（與資料中心無關）。</t>
  </si>
  <si>
    <t>TAS-B：City of Launceston（St Leonards）：直接 HTTP 對 launceston.tas.gov.au 一律 403，改以 WebFetch 取得 2025-09-01 Special Meeting 頁面與議程、會議紀錄 PDF → DA0273/2025 核發 11:0（公告期、意見數、建物規模、冷卻設備）。另全文檢索 2026-09-03、2026-09-17、2026-10-01 三場例會議程（不含附件）均無 Firmus／data centre／Killafaddy 字樣，2026-06-18 特別會議為預算會議；其他 2026 月份會議未逐一檢視。</t>
  </si>
  <si>
    <t>TAS-B：Latrobe Council（Wesley Vale）：latrobe.tas.gov.au 對 WebFetch 與直接 HTTP 均 403；改取 Firmus 網站 CDN 上蓋有 Latrobe「Planning Exhibition Documents／Date Advertised 26-08-2026／L-DA066/2026」章的文件（規劃報告、交通報告、通知信、圖說）→ 確認 DA 編號、CT 187534/1 與 187534/3、用途 Utilities（Data Centre）、土地所有人 Tankris Pty Ltd。council 會議紀錄未能直接開啟，決議內容取自 ABC 報導。</t>
  </si>
  <si>
    <t>TAS-B：EPA Tasmania：未直接開啟 epa.tas.gov.au；讀 George Town 議程附件 7.1.2（EPA Board 主席函 2026-08-06，DA 2026-29 不需 Board 評估，依 EMPCA s25(1D)）；Latrobe Council 提交稱 EPA 迄今對資料中心均決定不評估（Level 2 fuel burning）。</t>
  </si>
  <si>
    <t>TAS-B：TasNetworks／TasWater 連線訊號：TasNetworks RIT-T「Meeting Network Planning Requirements at George Town」PADR（2026-05-29，開放意見至 2026-08-21）、TasNetworks 對議會調查的提交（2026-09-21）、TasWater 提交（2026-09-17，影像 PDF 以截圖人工閱讀）與 TWDA 2026/00514-GTC → PADR 稱 Bell Bay 一帶有業者詢問最高 600 MW（首階段約 300 MW，未點名）；TasNetworks 與 TasWater 提交均無其他具名專案或管線數字。</t>
  </si>
  <si>
    <t>TAS-B：Tasmanian Government：Draft Expectations for Data Centres and AI Infrastructure Developers（2026-09，engage.building.tas.gov.au，諮詢至 2026-10-12，終版預計 2026 年底；適用 hyperscale、co-location、AI 算力設施）、Minister Felix Ellis 回覆 Prof Razay 函、Aurora Energy 與 Firmus 媒體稿（2026-03-25，議會文件）、2025-07 AI Factory Zone 官方稿（Firmus 網站轉載）；premier.tas.gov.au、planning.tas.gov.au、tascat.tas.gov.au 均 403，無法直接開啟。</t>
  </si>
  <si>
    <t>TAS-B：Tasmanian Parliament：House of Assembly Government Administration A「Inquiry into AI Data Centres in Tasmania」（2026-08-05 起，提交截止 2026-09-21）→ 取得職權範圍與公開提交清單（約 150 份）；全文閱讀 Firmus（含 Oxford Economics 函）、TasNetworks、Hydro Tasmania、Latrobe Council、Kentish、Cradle Coast Authority、TasWater、LGAT、Symphony、LMS Energy、Westcoast Renewable Energy、TasICT、TCCI、Digital Infrastructure Institute、ATA 等提交的相關段落 → 除 Firmus 外沒有任何具名 ≥5 MW 業者。Aurora（#16）、Vocus（#85）、WSAA（#112）提交為影像 PDF，未讀。</t>
  </si>
  <si>
    <t>TAS-B：Tasmanian Planning Commission／Major Projects／Development Assessment Panel：planning.tas.gov.au 403，無法查 TPC 登記；由 ABC 與 Latrobe 提交得知 Latrobe 於 2026-09-07 請 Planning Minister Kerry Vincent 依 LUPAA s60C 視為 major project（State Planning Office 審酌中）。未見任何資料中心被指定為 Project of State Significance 或 DAP 案。</t>
  </si>
  <si>
    <t>TAS-B：各 council 公告中 DA 快照（2026-10-03）：Hobart（Major planning applications 與 PlanBuild 全州公告 API 共 16 筆，僅 Hobart 有資料）、Clarence、Glenorchy、Brighton、Meander Valley、Northern Midlands、Central Coast、Burnie、George Town → 皆無資料中心或運算設施；Launceston 的 Advertised Planning Applications 頁只列規劃方案修正。這些頁面只顯示公告期內申請，不含歷史紀錄。</t>
  </si>
  <si>
    <t>TAS-B：邊緣／colo 業者：Baxtel Tasmania 列表（5 場址、3 業者：DXN-TAS01、Firmus、Viridis）、TasmaNet DC3 頁、DXN 官網與 ARNnet 報導（TAS01 於 2026-06-30 售予 DADT）、Viridis（W.Media、Baxtel）→ 全部明顯 &lt;5 MW；Telstra、Vocus、Pulse、Hostworks 在 Tasmania 沒有找到 ≥5 MW 場址的公開資料。</t>
  </si>
  <si>
    <t>TAS-B：Firmus 一手資料：firmus.co 新聞室 13 篇與 2 篇舊稿（AI Factory Zone 2025-07、融資 2025-11）、Tasmania Community Hub、Bell Bay 與 Wesley Vale 專案頁及 FAQ、Southgate 頁、Wesley Vale DA PDF；IPO 報導（ABC 2026-09-16、tech-insider 2026-09-23、Guardian 2026-10-03）：機構詢價 10/6-7、招股書預計 10/8 提交、ASX 掛牌預計 10/22，招股書尚未公開。</t>
  </si>
  <si>
    <t>TAS-B：新聞線索（WebSearch 用盡後以 Google News RSS 解析輔助，只當線索，事實再回 ABC 等原文確認）：ABC 2026-09-09「六個匿名資料中心構想」、ABC 2026-09-15 Firmus 對 Bell Bay 第 13 條向 TASCAT 上訴（共 5 件上訴）、ABC 2026-09-26 Latrobe 調查 Wesley Vale 未經許可施工、ABC 2026-09-04 Hydro 預計 2026 年底決定 444～450 MW 請求。Bing HTML 抓取多數查詢回傳無關結果，已棄用。</t>
  </si>
  <si>
    <t>TAS-B：座標：OSM Nominatim 對 23 Killafaddy Road, St Leonards 命中 OSM 地標 Firmus LST01（-41.4408613, 147.1765540）；Wesley Vale 與 Long Reach 只回傳道路中線，故不採用。DatacenterMap 回 429、DCD 與 planning／premier 網站回 403、Guardian 與 news.com.au 經 WebFetch 被拒（Guardian 改以直接 HTTP 讀取）。</t>
  </si>
  <si>
    <t>TAS-B：Tasmanian Planning Commission 與 State Planning Office 網站（planning.tas.gov.au）403，無法查 Major Projects 登記；Latrobe 對 Wesley Vale 的 s60C major project 請求結果未知（須待完整提案後再公告 28 天）。</t>
  </si>
  <si>
    <t>TAS-B：Bell Bay 許可目前有 5 件 TASCAT 上訴（含 Firmus 自己對第 13 條發電機限制的上訴）：案號、上訴人全名、聆訊日期皆未取得（TASCAT 網站 403，且上訴僅對當事人可見）。何時才能動工取決於上訴結案。</t>
  </si>
  <si>
    <t>TAS-B：州政府提交議會的「六個匿名資料中心提案」原文（OCG 清單）未取得（House of Assembly tabled papers 頁沒有直接顯示），業者與地點未知；這可能是 Tasmania 唯一可能出現可出租容量的來源，值得由 lead 追原文或請議員辦公室索取。</t>
  </si>
  <si>
    <t>TAS-B：Firmus IPO 招股說明書（預計 2026-10-08 前後提交）尚未公開，將載明各場址 MW、客戶合約與商業模式；是否有任何對第三方出租空間的安排（目前證據顯示沒有）需待招股書確認，建議 lead 在 10 月中旬複查。</t>
  </si>
  <si>
    <t>TAS-B：Hydro Tasmania 對 Firmus 444～450 MW 長約請求預計 2026 年底決定；Bell Bay 與 Wesley Vale 的電力尚未落實，亦影響其他新進業者。</t>
  </si>
  <si>
    <t>TAS-B：Launceston 的 DA 登記（eTrack）無法查詢，因此未能確認 St Leonards Stage 1b／Stage 2（300 MW）是否已有 DA 或 DA0273/2025 的修正申請；Latrobe 的 2026-09-07 會議紀錄與 L-DA066/2026 的 EPA、TasNetworks、TasWater 回函未取得。</t>
  </si>
  <si>
    <t>TAS-B：未檢查的 council：Devonport、West Tamar、Waratah-Wynyard、Dorset、Break O'Day、Kingborough、Sorell、Southern Midlands、Derwent Valley、Huon Valley、Glamorgan-Spring Bay 等；已檢查的 council 頁面只呈現公告期內申請，無歷史紀錄。</t>
  </si>
  <si>
    <t>TAS-B：TasNetworks 2026 Transmission Annual Planning Report 未找到；Aurora Energy（#16）與 Vocus（#85）的議會提交為影像 PDF 未讀；EPBC 轉介（referrals）未查。</t>
  </si>
  <si>
    <t>TAS-B：Bell Bay 與 Wesley Vale 無可靠座標（僅有道路中線）；DatacenterMap 429，無法取得其座標。</t>
  </si>
  <si>
    <t>TAS-B：Telstra、Vocus、Pulse、Hostworks 等在 Tasmania 的交換局／邊緣機房容量未逐一驗證（Baxtel 的 Tasmania 列表未見這些業者）。</t>
  </si>
  <si>
    <t>TAS-B：【最重要】Tasmania 目前沒有任何經查證的可出租（colocation／批發／powered shell）≥5 MW 專案，records 為空。唯一的大型專案是 Firmus 的三座 AI Factory（St Leonards 約 104 MW 用電上限、施工中；Bell Bay 288 MW、已核准但許可因 TASCAT 上訴尚未生效；Wesley Vale 52 MW、DA 審查中且 council 已請求改走 major project）。Firmus 是自建自有自營的 AI 雲業者（Firmus 議會提交：build-own-operate，自己持有運算硬體；與 NVIDIA 合作稿：Firmus 出售雲端服務；OpenAI／Meta 向其合約的是專屬 GPU 算力；tech-insider 形容為 GPU 密集基礎設施而非一般 colocation），依 brief 類比 AWS／Azure 自建，因此三案列入 excluded（captive）。</t>
  </si>
  <si>
    <t>TAS-B：若 lead 認為「向 Firmus 承租專屬 AI 算力」也算符合客戶需求：可把三案移入 records（St Leonards=under_construction、Bell Bay=approved_not_started、Wesley Vale=planned_filed，leasable=uncertain）。</t>
  </si>
  <si>
    <t>TAS-B：三案容量口徑：Firmus 與 Oxford Economics 稱 Tasmania 三場址合計 contracted load 444 MW（104＋288＋52），其中 IT 負載約 377 MW（約 85%）。St Leonards：104 MW 為 Aurora 合約用電上限，Firmus Southgate 頁稱 84 MW critical IT，Tas 政府 2025-07 稱 Stage 1 合計 90 MW（1a 44 MW）；Bell Bay：288 MW 為最大需求（Pulse Tasmania 報 300 MW）；Wesley Vale：52 MW（critical IT 約 46 MW，初期 26 MW／23 MW）。</t>
  </si>
  <si>
    <t>TAS-B：時程衝突：St Leonards 完工 Examiner（2026-03）稱 2026 年底，Pulse Tasmania（2026-06）與 PortNews 稱 2027 初；Wesley Vale 的送件／公告日 Latrobe 通知為 2026-08-26，The Urban Developer 文章稱 2026-09-02（以 council 通知為準）；Baxtel Tasmania 列表頁（經 WebFetch 摘要）把 Firmus Launceston Campus 標為 Operational 20 MW，與 Guardian（2026-10-03）及 Firmus 2026-09-08 稿所述 Firmus 目前只營運澳洲（墨爾本）與新加坡各一處不符（Launceston 既有 R&amp;D 設施 Firmus LST01 位於 23 Killafaddy Road，DA 內含部分拆除）。</t>
  </si>
  <si>
    <t>TAS-B：對客戶的意義：Tasmania 近期不會有可租的商業機房容量。若未來要找，線索是 (1) 州政府 OCG 的 6 個匿名案（合計至少 500 MW，其中 1 案 200–300 MW 在西北部，1 案 50 MW 看上 Liberty Bell Bay）；(2) 政策門檻高：Tasmania 政府 Draft Expectations（2026-09）要求新大型負載自行帶來新的風／光發電與 firming，Firmus 自願 2:1 配對；Hydro 稱系統目前大致供需平衡；EMRS 民調 54% 反對 AI 資料中心；Premier 先前拒絕以 major project 取代 council 審查。</t>
  </si>
  <si>
    <t>TAS-B：跨州線索（供其他 agent 與 lead）：Firmus 的墨爾本 AI Factory 是在既有 CDC 設施內部署 HyperCube（Benmax 收購稿；Meta 已使用，2026-09-29 稿），代表 CDC 墨爾本有 Firmus 這個承租客戶；Firmus 2026-06 與 Gunvor 簽 12 年 600 MW 南澳電力協議；Project Southgate 管線含 Melbourne、Canberra、Sydney、Perth；Batam（印尼）360 MW 園區與 Malaysia 兩個 OpenAI 場址在澳洲境外。</t>
  </si>
  <si>
    <t>TAS-B：與同州的 TAS-A.json 對照（讀其摘要，未改動其內容）：事實一致（Firmus 三案、Viridis 1 MW、DXN-TAS01 約 2 MW、六個匿名案），差別只在分類：TAS-A 把 Firmus 三案列為 records（leasable=uncertain），本檔列為 excluded（captive）；lead 需統一處理，若併入請以本檔 TAS-B-firmus-promotable-records.json 的欄位（含 DA 編號、核准日期、TASCAT 上訴組成、EPA／TasNetworks／TasWater 文號）補強 TAS-A 的對應紀錄。本檔補上 TAS-A 列為缺口的項目：St Leonards 的 DA 編號與核准日（DA0273/2025，2025-09-01，council 紀錄 11:0；TAS-A 提到的「7 月」說法，推測是 2025-07 政府與 Firmus 的宣布日而非核准日，此為推測）、Bell Bay 上訴組成（5 件，含 Firmus 與 Rowella 居民）。TAS-A 另列 42-24 Pty Ltd（TasNetworks 子公司，Cambridge／Moonah）、TasmaNet DC1 與 Vocus Hobart 皆為 MW 未公布的小型機房，本檔未獨立查證。</t>
  </si>
  <si>
    <t>TAS-B：已更正 known-facts：原寫「TAS: nothing known yet」，現已確認 Firmus 三案（含 DA 編號 DA0273/2025、DA 2026/29、L-DA066/2026）、Viridis 1 MW、DXN-TAS01 售出、TasmaNet DC3，以及六個匿名構想。</t>
  </si>
  <si>
    <t>TAS-B：地址與座標：St Leonards 取自 DA0273/2025 的 23 Killafaddy Road 與 St Leonards Road 地塊（郵遞區號 7250）；Bell Bay 為 Lot 1 East Tamar Highway（CT 152001/1，郵遞區號 7253；Firmus 與 ABC 稱位於 George Town 以南約 15 km、前紙漿廠平台）；Wesley Vale 的規劃報告表格亦出現 CT 182276/1 字樣，與 council 通知的 CT 187534/1 不一致，以 council 通知為準。</t>
  </si>
  <si>
    <t>NT 北領地</t>
  </si>
  <si>
    <t>NT-A</t>
  </si>
  <si>
    <t>NT-A：【NEXTDC D2／D1 Darwin｜WebSearch 3 次＋直接抓取】NEXTDC D2 官網頁（6MW IT Capacity、Tier IV 目標、'Currently in development'）、DCD 2026-03-09 封頂報導（6MW、1HFY27、D1 位於 2 Harvey Street）、DatacenterMap（D2 = 2-6 Ryko Court，Under Construction，座標）、Baxtel（D2 地址誤標為 8 Ryko Court）。結果：D2 計入 records，D1 排除。</t>
  </si>
  <si>
    <t>NT-A：【NT DCA 會議紀錄全量掃描】抓取 environment.nt.gov.au DCA minutes 現行頁與 2021–2025 年度頁，約 160–170 份 PDF（Darwin 約 61、Alice Springs 約 24、Litchfield 約 31、Palmerston 約 28、Katherine 約 10、Tennant Creek 4、Batchelor 1；涵蓋至 Darwin Meeting 463（2026-09-19）與 Litchfield Meeting 313（2026-09-16）），以 pdftotext 搜尋 data centre／NEXTDC／DCI／Beetaloo／hyperscale／Technology Park。命中：Meeting 374（2021-05-21，CDU 資料中心 PA2021/0065）、Meeting 408（2023-08-18，D1 PA2023/0228）、Meeting 440（2025-04-04，D2 PA2025/0044）、Meeting 457（2026-06-05，D2 變更 condition 11）。沒有 DCI、Weddell、Alice Springs、Katherine 的資料中心案。限制：Darwin Meeting 446、451、452、453 為影像掃描檔（無文字層，僅目視抽看 446 第 2–3 頁），457 前 4 頁為影像（已目視讀完）；DCA 紀錄不含委任官員直接核發的案件。</t>
  </si>
  <si>
    <t>NT-A：【NT 規劃公示】NTLIS 'Lodge and Track' 公示中申請清單（2026-10-03 抓取）：12 件 DA（Darwin 9、Litchfield 1、Palmerston 1、Other 1）加 3 件 Exceptional Development Permit，均非資料中心。</t>
  </si>
  <si>
    <t>NT-A：【NEXTDC ASX 公告】經 ASX 公告清單取得 FY25 業績簡報與公告（2025-08-28）、1H26 簡報（2026-02-25）、FY26 簡報與公告（2026-08-27）。D2 逐步證據：FY25『D2 Darwin works underway』、1H26『Works continue』、FY26『Practical Completion 1HFY27』；容量 'Total power planned ~6MW+'、'Initial capacity ~1.5MW'；初期 1.5 MW 已簽約給海纜客戶。另讀 NEXTDC 新聞稿（2021-10-25、2022-03-29、2023-11-22、2024-08-14）釐清 D1／D2 歷史，並確認 2022 年所稱 &gt;15 ha『D2』超大規模園區土地與現在的 CBD D2 不是同一處。</t>
  </si>
  <si>
    <t>NT-A：【DCI DRW01】2021 年新聞（DCD、Data Centre Magazine、ITWire、Cyber Daily、TechPartner）＋DCI 官網全站頁面（home、about、locations、news 與第 2 頁、products）＋DatacenterMap／Baxtel。結果：2021-10-19 宣布（2.7 ha、&lt;=10 MW IT、'subject to development application approval'）；DCI 官網現已不提 Darwin；找不到 DA → 列入 excluded（other）。</t>
  </si>
  <si>
    <t>NT-A：【Beetaloo Digital／Weddell】NT Territory Coordinator 官方頁面（2026-08-05 更新）、ASX 公告摘要（Kalkine，2026-07-22）、ESD News、NT Independent、DCD、DatacenterMap。結果：僅有土地排他承諾（185 ha、12 個月），NT EPA 登錄、DCA、NTLIS 皆無申請 → excluded。</t>
  </si>
  <si>
    <t>NT-A：【Energy North Project Ares】由 Territory Coordinator 頁面與 ESD／NT Independent 發現；再讀 Energy North 官網（Project Ares 頁與 FAQ）及 NT EPA 登錄頁（EP2026/052，2026-07-06 接受轉介）、通知書、轉介表、轉介報告（11 MB，pdftotext 全文）。結果：計入 records（planned_filed）。</t>
  </si>
  <si>
    <t>NT-A：【NT EPA 評估登錄】assessments-in-progress、completed、projects-not-requiring-assessment、call-in notices 四個登錄：除 Project Ares 外無資料中心案。</t>
  </si>
  <si>
    <t>NT-A：【Telstra／Vocus／Datacom】Vocus 為 D1 的 anchor tenant、DJSC 海纜登陸 Darwin，但未見自建資料中心；DatacenterMap Darwin 清單 12 筆（NEXTDC 3、Inligo CLS、DXN、DCI、Area9、Beetaloo 5）與 Baxtel NT 頁（8 個設施）皆無 Telstra／Datacom／Vocus 自營設施。Datacom 官網回 403、Telstra 未能由官方來源核實，故僅能說『未發現』。</t>
  </si>
  <si>
    <t>NT-A：【Defence／AUKUS】NT 規劃、環評、DCA 紀錄均無國防相關的可租賃資料中心案；只見 DCI／NEXTDC 以國防與太空客戶作行銷訴求，以及 NEXTDC D1 取得 Home Affairs HCF 的 Certified Strategic。未發現 AUKUS 專屬資料中心公開案。</t>
  </si>
  <si>
    <t>NT-A：【Alice Springs／Katherine／Tennant Creek／Palmerston／Litchfield】DCA 紀錄（見第 2 項）無資料中心；DatacenterMap 沒有 Alice Springs／Katherine／Palmerston 設施頁；Baxtel NT 頁 8 個設施全在 Darwin 都會區。</t>
  </si>
  <si>
    <t>NT-A：【搜尋額度】WebSearch 在本次工作階段（整個 session 共用）額度用盡（200/200），我在成功 10 次後被擋，其後改用直接抓取（官方網站、登錄頁、ASX 公告清單）；DuckDuckGo 出現驗證碼、Bing 回傳無關結果，均未繞過。因此對『尚未被登錄頁或聚合站收錄的新案件』的探索能力受限，見 gaps。</t>
  </si>
  <si>
    <t>NT-A：NEXTDC D2：確切開工日、承建商、合約金額未公布；除初期 ~1.5 MW 外，其餘 ~4.5 MW+ 的建置時程與可否預訂（是否已被 Google／海纜客戶預訂）未公布，建議直接詢問 NEXTDC 銷售。</t>
  </si>
  <si>
    <t>NT-A：NEXTDC 在 2021-10／2022-03 稱已取得 Darwin 另一塊 &gt;15 ha 土地的權利（當時稱『D2 hyperscale campus』），與目前 CBD 的 D2（Ryko Court）不是同一處；其位置與現況無公開資料，也未見任何申請。</t>
  </si>
  <si>
    <t>NT-A：DCI DRW01：確切地段／門牌、土地是否仍由 DCI 持有、計畫是否已放棄皆未證實；需向 DCI 或 NT Land Development Corporation 確認。</t>
  </si>
  <si>
    <t>NT-A：Project Ares：資料中心園區本體座標未公布（轉介報告只有 GDA2020 MGA Zone 53 網格圖）；土地權利（option、NPUP、ILUA、AAPA）、融資、EPBC 轉介編號、'Commonwealth Major Project Status' 均僅見業主說法，未在政府頁面核實；標準評估後續階段（TOR 定稿、EIS 公示）尚未發生。</t>
  </si>
  <si>
    <t>NT-A：Beetaloo Digital：12 個月排他期約於 2027-07 屆滿；若提出 NT EPA 轉介、DA 或 EPBC 轉介須重新評估；DatacenterMap 把 DC1–DC4 當作分棟，來源為業主示意圖，無官方 MW。</t>
  </si>
  <si>
    <t>NT-A：未能檢索：EPBC Act Public Portal（動態網站）有無 NT 資料中心轉介；NT Government Gazette；Land Development Corporation 土地釋出；NEXTDC 的 LinkedIn 封頂貼文（需登入，僅以 DCD／DatacenterMap 轉述）；Datacom 官網（403）；Telstra 官方資料。</t>
  </si>
  <si>
    <t>NT-A：DCA 影像掃描檔（Darwin 446／451／452／453）未做 OCR，不排除其中有未被關鍵字掃到的資料中心項目；委任官員核發（不經 DCA 聽證）的 DA 也不在紀錄中。</t>
  </si>
  <si>
    <t>NT-A：Defence／AUKUS：無法排除未公開的國防相關資料中心（多屬 captive 或保密），不在公開來源涵蓋範圍。</t>
  </si>
  <si>
    <t>NT-A：核心結論：NT 目前唯一『符合 &gt;=5 MW、可租賃、且已動工』的是 NEXTDC D2（2-6 Ryko Court, Darwin City）。但 6 MW 是規劃總容量，初期僅 ~1.5 MW 且已被海纜客戶簽走；NEXTDC 全公司已簽約 740.1 MW 對已建約 288 MW。對 5 MW 租戶而言，D2 不是現成可租的區塊，只能詢問後續分期。</t>
  </si>
  <si>
    <t>NT-A：MW 口徑（D2）：NEXTDC 官網 '6MW IT Capacity'；FY25／1H26／FY26 簡報 'Total power planned ~6MW+'、'Initial capacity ~1.5MW'；DCA 聽證會申請人稱 7 MW；DCD 稱 6 MW AI-ready。本檔以 6 MW（IT）計入，first_phase_mw = 1.5。</t>
  </si>
  <si>
    <t>NT-A：D1（營運中，1 MW IT）與 D2 在同一街廓；NEXTDC 先前所稱 7–8 MW 目標應為兩者合計。D1 排除（below_5mw）。</t>
  </si>
  <si>
    <t>NT-A：Project Ares 是 NT 唯一已正式送件（NT EPA 轉介，2026-07-06 接受作標準評估）的資料中心案，但為 1 GW IT、離網、位於偏遠 Barkly 區，業主目標 FID 2027-07-31；依規則列 planned_filed，但不適合 5 MW 租戶，也不應被視為近期可得。</t>
  </si>
  <si>
    <t>NT-A：DCI DRW01 與 Beetaloo Digital（Weddell）均無任何送件／核准，列入 excluded（other）；若之後出現 NT EPA 轉介或 DA 再改列。</t>
  </si>
  <si>
    <t>NT-A：訂正（給 NSW 負責人）：已知事實 A1 第 8 項寫 DCI『Indonesia-owned』，但 DCI 官網 about 頁與 2019 年新聞稿寫明 DCI 是 Brookfield Infrastructure 旗下投資組合公司（2019-01 起），建議核實或更正。另 DCI 官網 2026-07 新聞載明：SYD02 取得 Blacktown 議會 DA（2021-01，36 MW）、SSD-21342738（2023-09-01）四層資料機房、2025-09-18 modification、目前申請再改至 63 MW；Stage 1（拆除）與 Stage 2（水箱遷移）接近完成，Stage 3（資料機房大樓與變電站）『即將開始』；官網未提供街道地址。</t>
  </si>
  <si>
    <t>NT-A：政策與輿論風險（NT）：聯邦能源部長 Bowen 稱純燃氣的 NT 資料中心不符國家標準、不得進行（NT Independent 2026-08-05）；NT Independent 2026-08-26 有人呼籲暫停 NT 資料中心審批並公開調查；NT 政府稱有至多 12 家資料中心開發商接洽，但只有 Project Ares 與 Beetaloo Digital 具名（Territory Coordinator、ESD News，2026-07/08）。</t>
  </si>
  <si>
    <t>NT-A：環境說明：本代理人的 Bash 內 curl 無法使用（libcurl bad argument），改以 python urllib 抓取；WebSearch 額度（200/200，整個 session 共用）已用盡，其他代理人可能也受影響；大量下載 DCA 紀錄後，environment.nt.gov.au 與 ntepa.nt.gov.au 於 2026-10-03 對本機回 403（疑似限流），之後無法再補抓，但已下載的內容都已分析完。</t>
  </si>
  <si>
    <t>NT-B</t>
  </si>
  <si>
    <t>NT-B：WebSearch（約 20 次，之後整個 session 共享額度 200 次用盡）：NEXTDC D2、DCI DRW01、Darwin Technology Park、NT DCA 資料中心申請、Middle Arm、NT AI／主權雲、Beetaloo Digital、Project Ares、NT EPA。產出：2 個 NT 新線索（Weddell／Beetaloo Digital、Murranji／Project Ares）與 NT DCA 2023-08-18 會議記錄（PA2023/0228）的搜尋摘要。額度用盡後改用 WebFetch 與 curl 直接讀已知網址；曾用 curl 試查 DuckDuckGo HTML 一次，遇到機器人驗證即停止，沒有繞過，之後未再使用任何搜尋引擎。</t>
  </si>
  <si>
    <t>NT-B：NTLIS『Lodge and Track Your Applications』規劃登記（ntlis.nt.gov.au/planningPopup/lta.dar.view，2026-10-03 讀取）：目前展示中的申請共 15 件（Darwin 9、Litchfield 1、Palmerston 1、其他 1、Exceptional Development Permit 3），全是住宅、倉庫、露營等，沒有資料中心。此清單只含展示中案件，不含已決議或較早的案件。</t>
  </si>
  <si>
    <t>NT-B：NT DCA（Darwin 分區）2023-08-18 會議記錄 PDF（dli.nt.gov.au，PA2023/0228）：WebFetch 403；curl 與 Wayback 都只拿到 Cloudflare 驗證頁（Wayback 無存檔）。只有搜尋摘要，未嘗試繞過。</t>
  </si>
  <si>
    <t>NT-B：NT 政府網站群（dli、dipl、dlpe、infrastructure、planningcommission、ntepa、territorycoordinator、invest.nt.gov.au、middlearmprecinct.nt.gov.au）與 powerwater.com.au：一律 403 或 Cloudflare 驗證，故 NT Planning Commission、Territory Coordinator、NT EPA 決定書、Power and Water 文件都無法直接核對。</t>
  </si>
  <si>
    <t>NT-B：EPBC 公眾入口網站 Project Ares 轉介摘要（2026/10560）：以 WebFetch 與 curl 開啟並讀完整段專案描述，是本次最重要的政府一手來源（IT 容量、兩期、90 ha、186,000 ha、NT EP Act 的 proponent-initiated EIS、租戶營運人力）。</t>
  </si>
  <si>
    <t>NT-B：Middle Arm Sustainable Development Precinct：官方頁面被擋；搜尋摘要顯示定位為氫能、先進製造、碳捕存與關鍵礦物加工，未見資料中心用地或提案；結論：未發現與資料中心相關的內容。</t>
  </si>
  <si>
    <t>NT-B：NAIF（naif.gov.au 首頁）：34 個專案，NT 項目為 CDU 教育園區、Darwin Shiplift、Hudson Creek 電廠與 Batchelor 太陽能、機場升級、Nolans Bore、學生宿舍等，沒有資料中心或海纜投資。Infrastructure Australia 網站兩次 60 秒逾時，未能檢視；Australian Government Major Projects 名單同樣逾時。</t>
  </si>
  <si>
    <t>NT-B：Power and Water Corporation／Territory Generation：官網被擋，查無大負載連接公告。僅有間接訊號：Beetaloo Digital 與 Project Ares 都主打離網或自備電源；DCD 稱 Weddell 站址鄰近 NT 政府規劃的 Darwin Energy Hub（最多 210 MW 太陽能與儲能）；環保團體稱 2 GW 超過 Darwin-Katherine 系統 2024-25 最大負載的 6 倍。</t>
  </si>
  <si>
    <t>NT-B：NEXTDC 一手頁面（D2 頁、D1 頁、Darwin 總覽頁及其內嵌地圖資料、2021 新聞稿、blog、2024-09 D1 Tech Specs PDF）：確認 D2 為 Darwin CBD 6 MW『In Development』；D1 設計 7+ MW、已建 1MW+；D1 位址 2 Harvey Street（Tech Specs）vs 總覽頁 8 Ryko Court；D2 頁沒有街道地址。</t>
  </si>
  <si>
    <t>NT-B：NEXTDC 2022 年公告的轉載（DCD、W.Media、ARN、datacenternews.asia，2022-03-29／30）：D1 在 2 Harvey Street、約 8 MW、待 DA；當時的『D2』是 15 ha 以上超大規模園區用地，地點未公開。Technology Decisions（2024-08-19）報導 D1 開幕。DatacentreMagazine 文章 403，未能開啟。</t>
  </si>
  <si>
    <t>NT-B：DCI Data Centers：dcidatacenters.com 首頁、/locations/、/locations/sydney-01/：官網『Sites In Development』列 SEL01、CBR01（Jerrabomberra）、AKL02、SYD02/03、ADL03，沒有 Darwin；Sydney 01 頁沒有街道地址；首頁自稱 Brookfield 旗下公司。</t>
  </si>
  <si>
    <t>NT-B：DCI DRW01 2021 年報導（DCD、ITWire、Cyber Daily、TechPartner、W.Media）：2.7 ha（可擴至 5 ha）、10 MW IT、買斷土地、待 DA；沒有 NT 政府官員談話，也沒有 DA 編號或時程。</t>
  </si>
  <si>
    <t>NT-B：Baxtel（NT 市場頁、D1、D2、DRW01、Secure Data Centre、Project Ares）：僅作線索。市場頁列 8 設施／7 營運商；D2 標 Under Construction；DRW01 標 Planned，其地圖點是達爾文市中心預設點；D1、D2 都寫 8 Ryko Court，不可靠。DatacenterMap：WebFetch 429、curl 遇 Vercel 安全檢查頁，未能讀取，也未嘗試繞過。</t>
  </si>
  <si>
    <t>NT-B：OpenStreetMap Nominatim 地理編碼：Ryko Court、Harvey Street、2 Harvey Street（建物『NEXTDC Darwin D1』）、Wishart、Weddell、Elliott、Murranji；用於座標交叉驗證與距離計算（8 Ryko Court 與 Baxtel D2 點差約 15 m，與 D1 建物差約 67 m）。</t>
  </si>
  <si>
    <t>NT-B：Beetaloo Digital／Weddell：DCD 2026-07-22、ESD News、energy-pedia（ASX 公告轉載，2026-07-23）、RenewEconomy 2026-07-22、NT Independent 2026-07-22、North Queensland Register 2026-07-23 都已讀；Territory Coordinator 官方新聞被擋。結論：只有土地獨家承諾，無任何規劃或環評提交。</t>
  </si>
  <si>
    <t>NT-B：Project Ares：EPBC 入口網站（一手）、Energy North 官網首頁／專案頁／FAQ（一手，curl 確認原文）、DCD 2026-07-01、RenewEconomy 2026-07-01、NT Independent 評論、Climate Council 2026-08-28、altenergy 2026-07-21、ecosistemastartup 都已讀；energy-storage.news 被 Cloudflare 擋；NT EPA 的 EP2026/052 決定書與 draft SOR PDF 只見網址，被擋。</t>
  </si>
  <si>
    <t>NT-B：NT 其他 AI／主權雲提案：NT 政府稱最多 12 家資料中心開發商來洽，僅 Ares 與 Weddell 具名（NT Independent 2026-07-22）；ASPI Strategist（2025-12-01）是政策倡議文章，無具體專案；ASPI 2020-11-24 僅泛稱 Darwin Data Centre。RenewEconomy 2026-07-29 與 2026-08-26 標題顯示 NT 與昆士蘭不接受聯邦資料中心再生能源配比要求。</t>
  </si>
  <si>
    <t>NT-B：City of Darwin 議會議程（darwin.nt.gov.au，可開）：2023-08-15、2023-08-29、2023-09-12 與 2026-09-29 議程全文 grep『data cent／NEXTDC／Ryko』皆無結果（議會不一定把 DCA 意見案放入公開議程）。</t>
  </si>
  <si>
    <t>NT-B：ASX 公告 API（NEXTDC）：只回傳最近 5 筆（皆為持股變動），無法取得 FY26 業績簡報；故 D2『封頂、1H FY27』沿用 lead 已知事實，未重新核對。NEXTDC /investors 頁為 JS 渲染，靜態 HTML 無連結。</t>
  </si>
  <si>
    <t>NT-B：NT 內的自建（captive）項目：未發現任何 hyperscaler 或政府自建的 NT 資料中心提案；國防或政府自建設施未專門查找。</t>
  </si>
  <si>
    <t>NT-B：NT DCA（Darwin）2023-08-18 會議記錄 PA2023/0228 無法開啟：不能確認該案是 D2 還是 D1 的修訂、決議與條件、樓層與 MW。需手動用瀏覽器開啟該 PDF。</t>
  </si>
  <si>
    <t>NT-B：D2 的精確街道位址、地號與土地權屬（NT 官地租約或自由產權）沒有政府文件；NEXTDC 官網 D2 頁沒有位址。8 Ryko Court 為推定。</t>
  </si>
  <si>
    <t>NT-B：D2 的 6 MW 是否還有未簽約容量：NEXTDC 未公布，需向 NEXTDC 銷售確認。</t>
  </si>
  <si>
    <t>NT-B：NT EPA『Notice of Decision EP2026/052』與 draft SOR 內容（評估層級、EIS 範圍、日期）、EPBC 轉介日期與受控行動決定日期，需手動開啟 ntepa.nt.gov.au 與 EPBC 入口網站附件。</t>
  </si>
  <si>
    <t>NT-B：Territory Coordinator 對 Beetaloo Digital 的說明、NT Planning Commission 對 Weddell 的土地用途與重劃進度、Greater Darwin Region Land Use Plan：網站被擋。</t>
  </si>
  <si>
    <t>NT-B：Power and Water Corporation／Territory Generation 的大負載連接排隊與容量資訊：沒有公開文件可取得。</t>
  </si>
  <si>
    <t>NT-B：NT 政府所稱最多 12 家的其餘開發商（含 ABC 2026-07-22 報導提到的『rural Darwin blocks』）未具名，也未找到 ABC 原文網址。</t>
  </si>
  <si>
    <t>NT-B：DCI DRW01 是否仍持有土地、是否提交過 DA：需直接詢問 DCI 或查 NT 土地權登記；Darwin Technology Park 的確切位置（疑在 Wishart）未核實。</t>
  </si>
  <si>
    <t>NT-B：Infrastructure Australia 與 Major Projects Facilitation Agency 頁面逾時，未能確認有無資料中心相關列名。</t>
  </si>
  <si>
    <t>NT-B：達爾文以外（Alice Springs、Katherine、Tennant Creek）沒有發現資料中心提案，但因搜尋額度用盡，未做地名專查。</t>
  </si>
  <si>
    <t>NT-B：NT 結論：records 2 筆（NEXTDC D2 6 MW 興建中；Project Ares 1 GW 已提 EPBC 與 NT EPA）、excluded 7 筆。對 5 MW 以上租戶，NT 唯一近期可交付的是 NEXTDC D2（預計 2026 下半年完工），但 NEXTDC 全網已預售，須直接詢價；Project Ares 是離網燃氣、偏遠、無融資、無租戶、環評未定的 1 GW 案，不應視為 2028 年前可租賃的容量。</t>
  </si>
  <si>
    <t>NT-B：觀察名單：Beetaloo Digital（Weddell，NT 政府 12 個月獨家權至約 2027-07）目前只有土地承諾；一旦出現 NT EPA 意向書或 EPBC 轉介，應升級為 planned_filed。</t>
  </si>
  <si>
    <t>NT-B：更正 known-facts：DCI 並非印尼資本，DCD 2021-10-19 與 DCI 官網皆稱其為 Brookfield Asset Management 旗下投資組合公司。</t>
  </si>
  <si>
    <t>NT-B：NEXTDC 位址陷阱：D1 在 2 Harvey Street（Tech Specs、2022 新聞稿、OSM 建物）；NEXTDC 官網總覽頁與 Baxtel 把 8 Ryko Court 掛在 D1，我推定 8 Ryko Court 實為 D2。『D2』一詞在 NEXTDC 內部指過兩個東西：2022 年的 15 ha 以上超大規模園區用地（去向未公開）與現在 CBD 內 6 MW 建物。</t>
  </si>
  <si>
    <t>NT-B：政策背景：聯邦政府 2026-03 發布『Expectations of Data Centres and AI Infrastructure Developers』（Energy North FAQ 引用）；聯邦擬要求新資料中心配比新增再生能源，RenewEconomy 2026-07-29 與 2026-08-26 的標題顯示 NT 與昆士蘭政府主張以氣電供電並稱獲得彈性（我只讀到摘要，細節未核實）。NT 政府（CLP，總理 Lia Finocchiaro）公開支持氣電資料中心；Greenpeace、Environment Centre NT、Climate Council 強烈反對，審批與聲譽風險高。</t>
  </si>
  <si>
    <t>NT-B：NT 政府網站（nt.gov.au 全系列）對自動化存取一律掛 Cloudflare 驗證，WebFetch 與 curl 都進不去；我沒有嘗試繞過。DCA 會議記錄、NT EPA 決定書與 Territory Coordinator 頁面需由人用瀏覽器開啟。</t>
  </si>
  <si>
    <t>NT-B：座標說明：NT-B-01 的座標取自 NEXTDC 官網地圖資料並與 Baxtel D2 中心點互證（差約 15 m），屬建物級近似；NT-B-02 無可靠座標，建議 lead 用 EPBC 轉介書附圖或『Elliott 西北約 50 km』人工定位。DRW01 的 Baxtel 座標是預設點，勿用。</t>
  </si>
  <si>
    <t>NT-B：附帶的跨州線索（僅標題或官網列表，未驗證，給其他 agent 參考）：DCI 官網開發中站點含 CBR01 Jerrabomberra（Poplars Innovation Precinct）、ADL03 Mawson Lakes（SA 國防園區）、SYD02/03（Eastern Creek 既有場址，官網無街道地址）；DCD／RenewEconomy 標題顯示 1414 Degrees 與 SA 的 Aurora Energy Precinct 簽下最多 1 GW AI 園區協議（2026-08-03）；DCD 標題另有『Anthropic seeks data center leasing deals in Europe and Australia』（2026-04-20）。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</si>
</sst>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00"/>
    <numFmt numFmtId="177" formatCode="#,##0.0"/>
    <numFmt numFmtId="178" formatCode="0&quot; 件&quot;"/>
    <numFmt numFmtId="179" formatCode="&quot;容量未公布 &quot;0&quot; 件&quot;"/>
    <numFmt numFmtId="180" formatCode="0.0%"/>
  </numFmts>
  <fonts count="26">
    <font>
      <sz val="10"/>
      <name val="Microsoft JhengHei"/>
    </font>
    <font>
      <b/>
      <sz val="10"/>
      <color rgb="FFFFFFFF"/>
      <name val="Microsoft JhengHei"/>
      <family val="2"/>
      <charset val="136"/>
    </font>
    <font>
      <sz val="10"/>
      <color rgb="FF1F2933"/>
      <name val="Microsoft JhengHei"/>
      <family val="2"/>
      <charset val="136"/>
    </font>
    <font>
      <b/>
      <sz val="10"/>
      <color rgb="FF1E5B7B"/>
      <name val="Microsoft JhengHei"/>
      <family val="2"/>
      <charset val="136"/>
    </font>
    <font>
      <b/>
      <sz val="10"/>
      <color rgb="FF5C6B77"/>
      <name val="Microsoft JhengHei"/>
      <family val="2"/>
      <charset val="136"/>
    </font>
    <font>
      <b/>
      <sz val="10"/>
      <color rgb="FF8F6206"/>
      <name val="Microsoft JhengHei"/>
      <family val="2"/>
      <charset val="136"/>
    </font>
    <font>
      <u/>
      <sz val="10"/>
      <color rgb="FF0563C1"/>
      <name val="Microsoft JhengHei"/>
      <family val="2"/>
      <charset val="136"/>
    </font>
    <font>
      <i/>
      <sz val="10"/>
      <color rgb="FF5C6B77"/>
      <name val="Microsoft JhengHei"/>
      <family val="2"/>
      <charset val="136"/>
    </font>
    <font>
      <b/>
      <i/>
      <sz val="10"/>
      <color rgb="FF1E5B7B"/>
      <name val="Microsoft JhengHei"/>
      <family val="2"/>
      <charset val="136"/>
    </font>
    <font>
      <b/>
      <i/>
      <sz val="10"/>
      <color rgb="FF5C6B77"/>
      <name val="Microsoft JhengHei"/>
      <family val="2"/>
      <charset val="136"/>
    </font>
    <font>
      <b/>
      <i/>
      <sz val="10"/>
      <color rgb="FF8F6206"/>
      <name val="Microsoft JhengHei"/>
      <family val="2"/>
      <charset val="136"/>
    </font>
    <font>
      <i/>
      <u/>
      <sz val="10"/>
      <color rgb="FF0563C1"/>
      <name val="Microsoft JhengHei"/>
      <family val="2"/>
      <charset val="136"/>
    </font>
    <font>
      <b/>
      <sz val="10"/>
      <color rgb="FF17624A"/>
      <name val="Microsoft JhengHei"/>
      <family val="2"/>
      <charset val="136"/>
    </font>
    <font>
      <b/>
      <sz val="10"/>
      <color rgb="FF6A4C93"/>
      <name val="Microsoft JhengHei"/>
      <family val="2"/>
      <charset val="136"/>
    </font>
    <font>
      <b/>
      <i/>
      <sz val="10"/>
      <color rgb="FF6A4C93"/>
      <name val="Microsoft JhengHei"/>
      <family val="2"/>
      <charset val="136"/>
    </font>
    <font>
      <b/>
      <sz val="10"/>
      <color rgb="FFB42318"/>
      <name val="Microsoft JhengHei"/>
      <family val="2"/>
      <charset val="136"/>
    </font>
    <font>
      <b/>
      <i/>
      <sz val="10"/>
      <color rgb="FFB42318"/>
      <name val="Microsoft JhengHei"/>
      <family val="2"/>
      <charset val="136"/>
    </font>
    <font>
      <b/>
      <i/>
      <sz val="10"/>
      <color rgb="FF17624A"/>
      <name val="Microsoft JhengHei"/>
      <family val="2"/>
      <charset val="136"/>
    </font>
    <font>
      <b/>
      <sz val="16"/>
      <color rgb="FF1E5B7B"/>
      <name val="Microsoft JhengHei"/>
      <family val="2"/>
      <charset val="136"/>
    </font>
    <font>
      <b/>
      <sz val="11"/>
      <color rgb="FF1E5B7B"/>
      <name val="Microsoft JhengHei"/>
      <family val="2"/>
      <charset val="136"/>
    </font>
    <font>
      <b/>
      <sz val="11"/>
      <color rgb="FF8F6206"/>
      <name val="Microsoft JhengHei"/>
      <family val="2"/>
      <charset val="136"/>
    </font>
    <font>
      <sz val="10"/>
      <color rgb="FF5C6B77"/>
      <name val="Microsoft JhengHei"/>
      <family val="2"/>
      <charset val="136"/>
    </font>
    <font>
      <b/>
      <sz val="10"/>
      <color rgb="FF1F2933"/>
      <name val="Microsoft JhengHei"/>
      <family val="2"/>
      <charset val="136"/>
    </font>
    <font>
      <b/>
      <sz val="12"/>
      <color rgb="FF1E5B7B"/>
      <name val="Microsoft JhengHei"/>
      <family val="2"/>
      <charset val="136"/>
    </font>
    <font>
      <b/>
      <sz val="9"/>
      <color rgb="FF5C6B77"/>
      <name val="Microsoft JhengHei"/>
      <family val="2"/>
      <charset val="136"/>
    </font>
    <font>
      <sz val="9"/>
      <name val="細明體"/>
      <family val="3"/>
      <charset val="136"/>
    </font>
  </fonts>
  <fills count="13">
    <fill>
      <patternFill patternType="none"/>
    </fill>
    <fill>
      <patternFill patternType="gray125"/>
    </fill>
    <fill>
      <patternFill patternType="solid">
        <fgColor rgb="FF1E5B7B"/>
        <bgColor rgb="FF1E5B7B"/>
      </patternFill>
    </fill>
    <fill>
      <patternFill patternType="solid">
        <fgColor rgb="FFD6E1E7"/>
        <bgColor rgb="FFD6E1E7"/>
      </patternFill>
    </fill>
    <fill>
      <patternFill patternType="solid">
        <fgColor rgb="FFF2F2F2"/>
        <bgColor rgb="FFF2F2F2"/>
      </patternFill>
    </fill>
    <fill>
      <patternFill patternType="solid">
        <fgColor rgb="FFE4DFEC"/>
        <bgColor rgb="FFE4DFEC"/>
      </patternFill>
    </fill>
    <fill>
      <patternFill patternType="solid">
        <fgColor rgb="FFD5E3DE"/>
        <bgColor rgb="FFD5E3DE"/>
      </patternFill>
    </fill>
    <fill>
      <patternFill patternType="solid">
        <fgColor rgb="FFEBE3D2"/>
        <bgColor rgb="FFEBE3D2"/>
      </patternFill>
    </fill>
    <fill>
      <patternFill patternType="solid">
        <fgColor rgb="FFE2E4E7"/>
        <bgColor rgb="FFE2E4E7"/>
      </patternFill>
    </fill>
    <fill>
      <patternFill patternType="solid">
        <fgColor rgb="FFFFF1CC"/>
        <bgColor rgb="FFFFF1CC"/>
      </patternFill>
    </fill>
    <fill>
      <patternFill patternType="solid">
        <fgColor rgb="FFDDE6EB"/>
        <bgColor rgb="FFDDE6EB"/>
      </patternFill>
    </fill>
    <fill>
      <patternFill patternType="solid">
        <fgColor rgb="FFEDF2F4"/>
        <bgColor rgb="FFEDF2F4"/>
      </patternFill>
    </fill>
    <fill>
      <patternFill patternType="solid">
        <fgColor rgb="FFF3F6F8"/>
        <bgColor rgb="FFF3F6F8"/>
      </patternFill>
    </fill>
  </fills>
  <borders count="5">
    <border>
      <left/>
      <right/>
      <top/>
      <bottom/>
      <diagonal/>
    </border>
    <border>
      <left style="thin">
        <color rgb="FFC9D3DA"/>
      </left>
      <right style="thin">
        <color rgb="FFC9D3DA"/>
      </right>
      <top style="thin">
        <color rgb="FFC9D3DA"/>
      </top>
      <bottom style="thin">
        <color rgb="FFC9D3DA"/>
      </bottom>
      <diagonal/>
    </border>
    <border>
      <left/>
      <right/>
      <top/>
      <bottom/>
      <diagonal/>
    </border>
    <border>
      <left/>
      <right style="thin">
        <color rgb="FFC9D3DA"/>
      </right>
      <top style="thin">
        <color rgb="FFC9D3DA"/>
      </top>
      <bottom style="thin">
        <color rgb="FFC9D3DA"/>
      </bottom>
      <diagonal/>
    </border>
    <border>
      <left/>
      <right/>
      <top style="thin">
        <color rgb="FFC9D3DA"/>
      </top>
      <bottom style="thin">
        <color rgb="FFC9D3DA"/>
      </bottom>
      <diagonal/>
    </border>
  </borders>
  <cellStyleXfs count="1">
    <xf numFmtId="0" fontId="0" fillId="0" borderId="0"/>
  </cellStyleXfs>
  <cellXfs count="86">
    <xf numFmtId="0" fontId="0" fillId="0" borderId="0" xfId="0"/>
    <xf numFmtId="0" fontId="22" fillId="0" borderId="1" xfId="0" applyFont="1" applyBorder="1" applyAlignment="1">
      <alignment vertical="top" wrapText="1"/>
    </xf>
    <xf numFmtId="0" fontId="2" fillId="0" borderId="1" xfId="0" applyFont="1" applyBorder="1" applyAlignment="1">
      <alignment vertical="top" wrapText="1"/>
    </xf>
    <xf numFmtId="0" fontId="6" fillId="0" borderId="1" xfId="0" applyFont="1" applyBorder="1" applyAlignment="1">
      <alignment vertical="top"/>
    </xf>
    <xf numFmtId="0" fontId="12" fillId="6" borderId="1" xfId="0" applyFont="1" applyFill="1" applyBorder="1" applyAlignment="1">
      <alignment vertical="top" wrapText="1"/>
    </xf>
    <xf numFmtId="0" fontId="5" fillId="7" borderId="1" xfId="0" applyFont="1" applyFill="1" applyBorder="1" applyAlignment="1">
      <alignment vertical="top" wrapText="1"/>
    </xf>
    <xf numFmtId="0" fontId="3" fillId="3" borderId="1" xfId="0" applyFont="1" applyFill="1" applyBorder="1" applyAlignment="1">
      <alignment vertical="top" wrapText="1"/>
    </xf>
    <xf numFmtId="0" fontId="13" fillId="5" borderId="1" xfId="0" applyFont="1" applyFill="1" applyBorder="1" applyAlignment="1">
      <alignment vertical="top" wrapText="1"/>
    </xf>
    <xf numFmtId="0" fontId="4" fillId="8" borderId="1" xfId="0" applyFont="1" applyFill="1" applyBorder="1" applyAlignment="1">
      <alignment vertical="top" wrapText="1"/>
    </xf>
    <xf numFmtId="0" fontId="9" fillId="4" borderId="1" xfId="0" applyFont="1" applyFill="1" applyBorder="1" applyAlignment="1">
      <alignment vertical="top" wrapText="1"/>
    </xf>
    <xf numFmtId="0" fontId="12" fillId="0" borderId="1" xfId="0" applyFont="1" applyBorder="1" applyAlignment="1">
      <alignment vertical="top" wrapText="1"/>
    </xf>
    <xf numFmtId="0" fontId="5" fillId="0" borderId="1" xfId="0" applyFont="1" applyBorder="1" applyAlignment="1">
      <alignment vertical="top" wrapText="1"/>
    </xf>
    <xf numFmtId="0" fontId="15" fillId="0" borderId="1" xfId="0" applyFont="1" applyBorder="1" applyAlignment="1">
      <alignment vertical="top" wrapText="1"/>
    </xf>
    <xf numFmtId="0" fontId="20" fillId="9" borderId="1" xfId="0" applyFont="1" applyFill="1" applyBorder="1" applyAlignment="1">
      <alignment vertical="top" wrapText="1"/>
    </xf>
    <xf numFmtId="0" fontId="1" fillId="2" borderId="1" xfId="0" applyFont="1" applyFill="1" applyBorder="1" applyAlignment="1">
      <alignment vertical="top" wrapText="1"/>
    </xf>
    <xf numFmtId="0" fontId="19" fillId="10" borderId="1" xfId="0" applyFont="1" applyFill="1" applyBorder="1" applyAlignment="1">
      <alignment vertical="top" wrapText="1"/>
    </xf>
    <xf numFmtId="0" fontId="6" fillId="0" borderId="1" xfId="0" applyFont="1" applyBorder="1" applyAlignment="1">
      <alignment vertical="top" wrapText="1"/>
    </xf>
    <xf numFmtId="0" fontId="24" fillId="11" borderId="1" xfId="0" applyFont="1" applyFill="1" applyBorder="1" applyAlignment="1">
      <alignment horizontal="center" vertical="top" wrapText="1"/>
    </xf>
    <xf numFmtId="3" fontId="18" fillId="11" borderId="1" xfId="0" applyNumberFormat="1" applyFont="1" applyFill="1" applyBorder="1" applyAlignment="1">
      <alignment horizontal="center" vertical="top"/>
    </xf>
    <xf numFmtId="177" fontId="18" fillId="11" borderId="1" xfId="0" applyNumberFormat="1" applyFont="1" applyFill="1" applyBorder="1" applyAlignment="1">
      <alignment horizontal="center" vertical="top"/>
    </xf>
    <xf numFmtId="0" fontId="1" fillId="2" borderId="1" xfId="0" applyFont="1" applyFill="1" applyBorder="1" applyAlignment="1">
      <alignment horizontal="center" vertical="top" wrapText="1"/>
    </xf>
    <xf numFmtId="0" fontId="22" fillId="0" borderId="1" xfId="0" applyFont="1" applyBorder="1" applyAlignment="1">
      <alignment vertical="top"/>
    </xf>
    <xf numFmtId="0" fontId="2" fillId="0" borderId="1" xfId="0" applyFont="1" applyBorder="1" applyAlignment="1">
      <alignment vertical="top"/>
    </xf>
    <xf numFmtId="3" fontId="2" fillId="0" borderId="1" xfId="0" applyNumberFormat="1" applyFont="1" applyBorder="1" applyAlignment="1">
      <alignment horizontal="right" vertical="top"/>
    </xf>
    <xf numFmtId="3" fontId="22" fillId="0" borderId="1" xfId="0" applyNumberFormat="1" applyFont="1" applyBorder="1" applyAlignment="1">
      <alignment horizontal="right" vertical="top"/>
    </xf>
    <xf numFmtId="0" fontId="22" fillId="11" borderId="1" xfId="0" applyFont="1" applyFill="1" applyBorder="1" applyAlignment="1">
      <alignment vertical="top"/>
    </xf>
    <xf numFmtId="0" fontId="2" fillId="11" borderId="1" xfId="0" applyFont="1" applyFill="1" applyBorder="1" applyAlignment="1">
      <alignment vertical="top"/>
    </xf>
    <xf numFmtId="3" fontId="22" fillId="11" borderId="1" xfId="0" applyNumberFormat="1" applyFont="1" applyFill="1" applyBorder="1" applyAlignment="1">
      <alignment horizontal="right" vertical="top"/>
    </xf>
    <xf numFmtId="177" fontId="2" fillId="0" borderId="1" xfId="0" applyNumberFormat="1" applyFont="1" applyBorder="1" applyAlignment="1">
      <alignment horizontal="right" vertical="top"/>
    </xf>
    <xf numFmtId="180" fontId="2" fillId="0" borderId="1" xfId="0" applyNumberFormat="1" applyFont="1" applyBorder="1" applyAlignment="1">
      <alignment horizontal="right" vertical="top"/>
    </xf>
    <xf numFmtId="177" fontId="22" fillId="11" borderId="1" xfId="0" applyNumberFormat="1" applyFont="1" applyFill="1" applyBorder="1" applyAlignment="1">
      <alignment horizontal="right" vertical="top"/>
    </xf>
    <xf numFmtId="180" fontId="22" fillId="11" borderId="1" xfId="0" applyNumberFormat="1" applyFont="1" applyFill="1" applyBorder="1" applyAlignment="1">
      <alignment horizontal="right" vertical="top"/>
    </xf>
    <xf numFmtId="0" fontId="7" fillId="4" borderId="1" xfId="0" applyFont="1" applyFill="1" applyBorder="1" applyAlignment="1">
      <alignment vertical="top"/>
    </xf>
    <xf numFmtId="0" fontId="7" fillId="4" borderId="1" xfId="0" applyFont="1" applyFill="1" applyBorder="1" applyAlignment="1">
      <alignment vertical="top" wrapText="1"/>
    </xf>
    <xf numFmtId="49" fontId="7" fillId="4" borderId="1" xfId="0" applyNumberFormat="1" applyFont="1" applyFill="1" applyBorder="1" applyAlignment="1">
      <alignment vertical="top"/>
    </xf>
    <xf numFmtId="176" fontId="7" fillId="4" borderId="1" xfId="0" applyNumberFormat="1" applyFont="1" applyFill="1" applyBorder="1" applyAlignment="1">
      <alignment horizontal="right" vertical="top"/>
    </xf>
    <xf numFmtId="177" fontId="7" fillId="4" borderId="1" xfId="0" applyNumberFormat="1" applyFont="1" applyFill="1" applyBorder="1" applyAlignment="1">
      <alignment horizontal="right" vertical="top"/>
    </xf>
    <xf numFmtId="0" fontId="8" fillId="3" borderId="1" xfId="0" applyFont="1" applyFill="1" applyBorder="1" applyAlignment="1">
      <alignment vertical="top" wrapText="1"/>
    </xf>
    <xf numFmtId="0" fontId="10" fillId="4" borderId="1" xfId="0" applyFont="1" applyFill="1" applyBorder="1" applyAlignment="1">
      <alignment horizontal="center" vertical="top"/>
    </xf>
    <xf numFmtId="0" fontId="11" fillId="4" borderId="1" xfId="0" applyFont="1" applyFill="1" applyBorder="1" applyAlignment="1">
      <alignment vertical="top" wrapText="1"/>
    </xf>
    <xf numFmtId="0" fontId="11" fillId="4" borderId="1" xfId="0" applyFont="1" applyFill="1" applyBorder="1" applyAlignment="1">
      <alignment vertical="top"/>
    </xf>
    <xf numFmtId="49" fontId="2" fillId="0" borderId="1" xfId="0" applyNumberFormat="1" applyFont="1" applyBorder="1" applyAlignment="1">
      <alignment vertical="top"/>
    </xf>
    <xf numFmtId="176" fontId="2" fillId="0" borderId="1" xfId="0" applyNumberFormat="1" applyFont="1" applyBorder="1" applyAlignment="1">
      <alignment horizontal="right" vertical="top"/>
    </xf>
    <xf numFmtId="177" fontId="2" fillId="0" borderId="1" xfId="0" applyNumberFormat="1" applyFont="1" applyBorder="1" applyAlignment="1">
      <alignment horizontal="right" vertical="top"/>
    </xf>
    <xf numFmtId="0" fontId="12" fillId="0" borderId="1" xfId="0" applyFont="1" applyBorder="1" applyAlignment="1">
      <alignment horizontal="center" vertical="top"/>
    </xf>
    <xf numFmtId="0" fontId="14" fillId="5" borderId="1" xfId="0" applyFont="1" applyFill="1" applyBorder="1" applyAlignment="1">
      <alignment vertical="top" wrapText="1"/>
    </xf>
    <xf numFmtId="0" fontId="5" fillId="0" borderId="1" xfId="0" applyFont="1" applyBorder="1" applyAlignment="1">
      <alignment horizontal="center" vertical="top"/>
    </xf>
    <xf numFmtId="0" fontId="16" fillId="4" borderId="1" xfId="0" applyFont="1" applyFill="1" applyBorder="1" applyAlignment="1">
      <alignment horizontal="center" vertical="top"/>
    </xf>
    <xf numFmtId="0" fontId="7" fillId="0" borderId="1" xfId="0" applyFont="1" applyBorder="1" applyAlignment="1">
      <alignment horizontal="right" vertical="top"/>
    </xf>
    <xf numFmtId="0" fontId="15" fillId="0" borderId="1" xfId="0" applyFont="1" applyBorder="1" applyAlignment="1">
      <alignment horizontal="center" vertical="top"/>
    </xf>
    <xf numFmtId="0" fontId="17" fillId="6" borderId="1" xfId="0" applyFont="1" applyFill="1" applyBorder="1" applyAlignment="1">
      <alignment vertical="top" wrapText="1"/>
    </xf>
    <xf numFmtId="0" fontId="9" fillId="8" borderId="1" xfId="0" applyFont="1" applyFill="1" applyBorder="1" applyAlignment="1">
      <alignment vertical="top" wrapText="1"/>
    </xf>
    <xf numFmtId="0" fontId="17" fillId="4" borderId="1" xfId="0" applyFont="1" applyFill="1" applyBorder="1" applyAlignment="1">
      <alignment horizontal="center" vertical="top"/>
    </xf>
    <xf numFmtId="0" fontId="10" fillId="7" borderId="1" xfId="0" applyFont="1" applyFill="1" applyBorder="1" applyAlignment="1">
      <alignment vertical="top" wrapText="1"/>
    </xf>
    <xf numFmtId="0" fontId="7" fillId="4" borderId="1" xfId="0" applyFont="1" applyFill="1" applyBorder="1" applyAlignment="1">
      <alignment horizontal="right" vertical="top"/>
    </xf>
    <xf numFmtId="178" fontId="22" fillId="11" borderId="1" xfId="0" applyNumberFormat="1" applyFont="1" applyFill="1" applyBorder="1" applyAlignment="1">
      <alignment horizontal="right" vertical="top"/>
    </xf>
    <xf numFmtId="179" fontId="22" fillId="11" borderId="1" xfId="0" applyNumberFormat="1" applyFont="1" applyFill="1" applyBorder="1" applyAlignment="1">
      <alignment horizontal="right" vertical="top"/>
    </xf>
    <xf numFmtId="0" fontId="1" fillId="2" borderId="1" xfId="0" applyFont="1" applyFill="1" applyBorder="1" applyAlignment="1">
      <alignment horizontal="center" vertical="top"/>
    </xf>
    <xf numFmtId="1" fontId="2" fillId="0" borderId="1" xfId="0" applyNumberFormat="1" applyFont="1" applyBorder="1" applyAlignment="1">
      <alignment horizontal="right" vertical="top"/>
    </xf>
    <xf numFmtId="0" fontId="22" fillId="0" borderId="1" xfId="0" applyFont="1" applyBorder="1" applyAlignment="1">
      <alignment horizontal="center" vertical="top"/>
    </xf>
    <xf numFmtId="0" fontId="2" fillId="0" borderId="1" xfId="0" applyFont="1" applyBorder="1" applyAlignment="1">
      <alignment horizontal="center" vertical="top"/>
    </xf>
    <xf numFmtId="1" fontId="7" fillId="4" borderId="1" xfId="0" applyNumberFormat="1" applyFont="1" applyFill="1" applyBorder="1" applyAlignment="1">
      <alignment horizontal="right" vertical="top"/>
    </xf>
    <xf numFmtId="0" fontId="9" fillId="4" borderId="1" xfId="0" applyFont="1" applyFill="1" applyBorder="1" applyAlignment="1">
      <alignment horizontal="center" vertical="top"/>
    </xf>
    <xf numFmtId="0" fontId="7" fillId="4" borderId="1" xfId="0" applyFont="1" applyFill="1" applyBorder="1" applyAlignment="1">
      <alignment horizontal="center" vertical="top"/>
    </xf>
    <xf numFmtId="0" fontId="5" fillId="0" borderId="1" xfId="0" applyFont="1" applyBorder="1" applyAlignment="1">
      <alignment vertical="top"/>
    </xf>
    <xf numFmtId="0" fontId="21" fillId="0" borderId="1" xfId="0" applyFont="1" applyBorder="1" applyAlignment="1">
      <alignment vertical="top"/>
    </xf>
    <xf numFmtId="0" fontId="2" fillId="12" borderId="1" xfId="0" applyFont="1" applyFill="1" applyBorder="1" applyAlignment="1">
      <alignment vertical="top"/>
    </xf>
    <xf numFmtId="0" fontId="2" fillId="12" borderId="1" xfId="0" applyFont="1" applyFill="1" applyBorder="1" applyAlignment="1">
      <alignment vertical="top" wrapText="1"/>
    </xf>
    <xf numFmtId="0" fontId="5" fillId="12" borderId="1" xfId="0" applyFont="1" applyFill="1" applyBorder="1" applyAlignment="1">
      <alignment vertical="top"/>
    </xf>
    <xf numFmtId="0" fontId="21" fillId="12" borderId="1" xfId="0" applyFont="1" applyFill="1" applyBorder="1" applyAlignment="1">
      <alignment vertical="top"/>
    </xf>
    <xf numFmtId="0" fontId="19" fillId="10" borderId="2" xfId="0" applyFont="1" applyFill="1" applyBorder="1" applyAlignment="1">
      <alignment vertical="top" wrapText="1"/>
    </xf>
    <xf numFmtId="0" fontId="0" fillId="0" borderId="0" xfId="0"/>
    <xf numFmtId="0" fontId="21" fillId="0" borderId="2" xfId="0" applyFont="1" applyBorder="1" applyAlignment="1">
      <alignment vertical="top" wrapText="1"/>
    </xf>
    <xf numFmtId="0" fontId="18" fillId="0" borderId="2" xfId="0" applyFont="1" applyBorder="1" applyAlignment="1">
      <alignment vertical="top" wrapText="1"/>
    </xf>
    <xf numFmtId="0" fontId="2" fillId="0" borderId="2" xfId="0" applyFont="1" applyBorder="1" applyAlignment="1">
      <alignment vertical="top" wrapText="1"/>
    </xf>
    <xf numFmtId="0" fontId="22" fillId="0" borderId="2" xfId="0" applyFont="1" applyBorder="1" applyAlignment="1">
      <alignment vertical="top" wrapText="1"/>
    </xf>
    <xf numFmtId="0" fontId="23" fillId="0" borderId="2" xfId="0" applyFont="1" applyBorder="1" applyAlignment="1">
      <alignment vertical="top" wrapText="1"/>
    </xf>
    <xf numFmtId="0" fontId="21" fillId="0" borderId="2" xfId="0" applyFont="1" applyBorder="1" applyAlignment="1">
      <alignment horizontal="left" vertical="top"/>
    </xf>
    <xf numFmtId="0" fontId="19" fillId="0" borderId="2" xfId="0" applyFont="1" applyBorder="1" applyAlignment="1">
      <alignment horizontal="left" vertical="top"/>
    </xf>
    <xf numFmtId="0" fontId="20" fillId="9" borderId="2" xfId="0" applyFont="1" applyFill="1" applyBorder="1" applyAlignment="1">
      <alignment vertical="top" wrapText="1"/>
    </xf>
    <xf numFmtId="0" fontId="2" fillId="0" borderId="1" xfId="0" applyFont="1" applyBorder="1" applyAlignment="1">
      <alignment vertical="top" wrapText="1"/>
    </xf>
    <xf numFmtId="0" fontId="0" fillId="0" borderId="4" xfId="0" applyBorder="1"/>
    <xf numFmtId="0" fontId="0" fillId="0" borderId="3" xfId="0" applyBorder="1"/>
    <xf numFmtId="0" fontId="22" fillId="0" borderId="1" xfId="0" applyFont="1" applyBorder="1" applyAlignment="1">
      <alignment vertical="top" wrapText="1"/>
    </xf>
    <xf numFmtId="0" fontId="1" fillId="2" borderId="1" xfId="0" applyFont="1" applyFill="1" applyBorder="1" applyAlignment="1">
      <alignment horizontal="center" vertical="top"/>
    </xf>
    <xf numFmtId="0" fontId="3" fillId="0" borderId="2" xfId="0" applyFont="1" applyBorder="1" applyAlignment="1">
      <alignment horizontal="left"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hyperlink" Target="https://perthisok.com/news/new-hazelmere-data-centre-plans-cdc/" TargetMode="External"/><Relationship Id="rId299" Type="http://schemas.openxmlformats.org/officeDocument/2006/relationships/hyperlink" Target="https://www.google.com/maps/search/?api=1&amp;query=-33.808620,151.145800" TargetMode="External"/><Relationship Id="rId21" Type="http://schemas.openxmlformats.org/officeDocument/2006/relationships/hyperlink" Target="https://nextcapital.com.au/next-capital-buys-fujitsu-australian-data-centres/" TargetMode="External"/><Relationship Id="rId63" Type="http://schemas.openxmlformats.org/officeDocument/2006/relationships/hyperlink" Target="https://www.planningportal.nsw.gov.au/major-projects/projects/nextdc-s4-data-centre-horsley-park" TargetMode="External"/><Relationship Id="rId159" Type="http://schemas.openxmlformats.org/officeDocument/2006/relationships/hyperlink" Target="https://yourneighbourhood.com.au/2-5-billion-data-supernode-brendale-moreton-bay/" TargetMode="External"/><Relationship Id="rId324" Type="http://schemas.openxmlformats.org/officeDocument/2006/relationships/hyperlink" Target="https://www.planningportal.nsw.gov.au/major-projects/projects/22-oriordan-street-alexandria-data-centre" TargetMode="External"/><Relationship Id="rId170" Type="http://schemas.openxmlformats.org/officeDocument/2006/relationships/hyperlink" Target="https://www.google.com/maps/search/?api=1&amp;query=-37.839970,144.758414" TargetMode="External"/><Relationship Id="rId226" Type="http://schemas.openxmlformats.org/officeDocument/2006/relationships/hyperlink" Target="https://datacentremoratorium.net/index.php/Resources:STACK_MEL03_Campus" TargetMode="External"/><Relationship Id="rId268" Type="http://schemas.openxmlformats.org/officeDocument/2006/relationships/hyperlink" Target="https://baxtel.com/data-center/stockland-kemps-creek-nsw" TargetMode="External"/><Relationship Id="rId32" Type="http://schemas.openxmlformats.org/officeDocument/2006/relationships/hyperlink" Target="https://www.google.com/maps/search/?api=1&amp;query=-37.817386,144.749403" TargetMode="External"/><Relationship Id="rId74" Type="http://schemas.openxmlformats.org/officeDocument/2006/relationships/hyperlink" Target="https://www.planningportal.nsw.gov.au/major-projects/projects/eastern-creek-data-centre-expansion-project" TargetMode="External"/><Relationship Id="rId128" Type="http://schemas.openxmlformats.org/officeDocument/2006/relationships/hyperlink" Target="https://www.google.com/maps/search/?api=1&amp;query=-37.771667,144.675518" TargetMode="External"/><Relationship Id="rId335" Type="http://schemas.openxmlformats.org/officeDocument/2006/relationships/hyperlink" Target="https://www.realestatesource.com.au/data-centre-giant-buys-350m-melbourne-site/" TargetMode="External"/><Relationship Id="rId5" Type="http://schemas.openxmlformats.org/officeDocument/2006/relationships/hyperlink" Target="https://www.google.com/maps/search/?api=1&amp;query=-37.816670,144.846412" TargetMode="External"/><Relationship Id="rId181" Type="http://schemas.openxmlformats.org/officeDocument/2006/relationships/hyperlink" Target="https://w.media/cdc-wins-approval-for-au203-5m-beard-2-data-centre-in-canberra/" TargetMode="External"/><Relationship Id="rId237" Type="http://schemas.openxmlformats.org/officeDocument/2006/relationships/hyperlink" Target="https://www.planningportal.nsw.gov.au/major-projects/projects/ashfords-road-data-centre-gregadoo" TargetMode="External"/><Relationship Id="rId279" Type="http://schemas.openxmlformats.org/officeDocument/2006/relationships/hyperlink" Target="https://www.planning.vic.gov.au/planning-approvals/ministerial-permits-register/ministerial-permits/e46a98dc-8d47-f111-bec6-7c1e5262e60a" TargetMode="External"/><Relationship Id="rId43" Type="http://schemas.openxmlformats.org/officeDocument/2006/relationships/hyperlink" Target="https://firmus.co/infrastructure/southgate" TargetMode="External"/><Relationship Id="rId139" Type="http://schemas.openxmlformats.org/officeDocument/2006/relationships/hyperlink" Target="https://www.nextdc.com/news/asx-release-1h26-record-results" TargetMode="External"/><Relationship Id="rId290" Type="http://schemas.openxmlformats.org/officeDocument/2006/relationships/hyperlink" Target="https://www.planningportal.nsw.gov.au/major-projects/projects/julius-avenue-data-centre" TargetMode="External"/><Relationship Id="rId304" Type="http://schemas.openxmlformats.org/officeDocument/2006/relationships/hyperlink" Target="https://greensquaredc.com/locations/" TargetMode="External"/><Relationship Id="rId85" Type="http://schemas.openxmlformats.org/officeDocument/2006/relationships/hyperlink" Target="https://www.mingtiandi.com/real-estate/data-centres/starwood-teams-with-doma-telstra-to-develop-62mw-sydney-data-centre/" TargetMode="External"/><Relationship Id="rId150" Type="http://schemas.openxmlformats.org/officeDocument/2006/relationships/hyperlink" Target="https://www.nextdc.com/news/asx-release-1h26-record-results" TargetMode="External"/><Relationship Id="rId192" Type="http://schemas.openxmlformats.org/officeDocument/2006/relationships/hyperlink" Target="https://www.planningportal.nsw.gov.au/major-projects/projects/apollo-place-data-centre" TargetMode="External"/><Relationship Id="rId206" Type="http://schemas.openxmlformats.org/officeDocument/2006/relationships/hyperlink" Target="https://www.planningportal.nsw.gov.au/major-projects/projects/dci-poplars-data-centre-project-0" TargetMode="External"/><Relationship Id="rId248" Type="http://schemas.openxmlformats.org/officeDocument/2006/relationships/hyperlink" Target="https://w.media/airtrunk-proposes-aud-3-7bn-nsw-data-centre/" TargetMode="External"/><Relationship Id="rId12" Type="http://schemas.openxmlformats.org/officeDocument/2006/relationships/hyperlink" Target="https://airtrunk.com/data-centres/mel1/" TargetMode="External"/><Relationship Id="rId108" Type="http://schemas.openxmlformats.org/officeDocument/2006/relationships/hyperlink" Target="https://reneweconomy.com.au/australias-biggest-data-centre-to-require-4-substations-2-grid-scale-power-lines-and-lots-of-diesel-backup/" TargetMode="External"/><Relationship Id="rId315" Type="http://schemas.openxmlformats.org/officeDocument/2006/relationships/hyperlink" Target="https://www.google.com/maps/search/?api=1&amp;query=-33.786750,151.131860" TargetMode="External"/><Relationship Id="rId54" Type="http://schemas.openxmlformats.org/officeDocument/2006/relationships/hyperlink" Target="https://w.media/greensquare-signs-sharon-ai-as-first-customer-for-syd1-data-centre-campus/" TargetMode="External"/><Relationship Id="rId96" Type="http://schemas.openxmlformats.org/officeDocument/2006/relationships/hyperlink" Target="https://www.defencesa.com/industry/industry-directory/yourdc-pty-ltd" TargetMode="External"/><Relationship Id="rId161" Type="http://schemas.openxmlformats.org/officeDocument/2006/relationships/hyperlink" Target="https://www.google.com/maps/search/?api=1&amp;query=-27.318286,152.992563" TargetMode="External"/><Relationship Id="rId217" Type="http://schemas.openxmlformats.org/officeDocument/2006/relationships/hyperlink" Target="https://www.planning.vic.gov.au/planning-approvals/ministerial-permits-register/ministerial-permits/6bac05e8-144c-404a-b7b2-b9e5445cb849" TargetMode="External"/><Relationship Id="rId259" Type="http://schemas.openxmlformats.org/officeDocument/2006/relationships/hyperlink" Target="https://www.planning.vic.gov.au/planning-approvals/ministerial-permits-register/ministerial-permits/8acfef7f-1ab6-f111-aaac-000d3acbdfba" TargetMode="External"/><Relationship Id="rId23" Type="http://schemas.openxmlformats.org/officeDocument/2006/relationships/hyperlink" Target="https://www.datacenterdynamics.com/en/news/fujitsu-sells-australian-data-center-business-to-next-capital/" TargetMode="External"/><Relationship Id="rId119" Type="http://schemas.openxmlformats.org/officeDocument/2006/relationships/hyperlink" Target="https://www.google.com/maps/search/?api=1&amp;query=-31.901389,115.993605" TargetMode="External"/><Relationship Id="rId270" Type="http://schemas.openxmlformats.org/officeDocument/2006/relationships/hyperlink" Target="https://www.google.com/maps/search/?api=1&amp;query=-33.844332,150.798912" TargetMode="External"/><Relationship Id="rId326" Type="http://schemas.openxmlformats.org/officeDocument/2006/relationships/hyperlink" Target="https://www.planningportal.nsw.gov.au/major-projects/projects/22-oriordan-street-alexandria-data-centre" TargetMode="External"/><Relationship Id="rId65" Type="http://schemas.openxmlformats.org/officeDocument/2006/relationships/hyperlink" Target="https://www.planning.vic.gov.au/planning-approvals/ministerial-permits-register/ministerial-permits/1ea17bd8-75be-ef11-b8e8-002248938a9c" TargetMode="External"/><Relationship Id="rId130" Type="http://schemas.openxmlformats.org/officeDocument/2006/relationships/hyperlink" Target="https://baxtel.com/data-center/airtrunk-syd3-sydney-west" TargetMode="External"/><Relationship Id="rId172" Type="http://schemas.openxmlformats.org/officeDocument/2006/relationships/hyperlink" Target="https://w.media/goodman-wins-approval-for-135mw-macquarie-park-data-centre/" TargetMode="External"/><Relationship Id="rId228" Type="http://schemas.openxmlformats.org/officeDocument/2006/relationships/hyperlink" Target="https://www.google.com/maps/search/?api=1&amp;query=-37.802318,144.671661" TargetMode="External"/><Relationship Id="rId281" Type="http://schemas.openxmlformats.org/officeDocument/2006/relationships/hyperlink" Target="https://www.planning.vic.gov.au/planning-approvals/ministerial-permits-register/ministerial-permits/e46a98dc-8d47-f111-bec6-7c1e5262e60a" TargetMode="External"/><Relationship Id="rId337" Type="http://schemas.openxmlformats.org/officeDocument/2006/relationships/hyperlink" Target="https://www.google.com/maps/search/?api=1&amp;query=-37.539906,144.939296" TargetMode="External"/><Relationship Id="rId34" Type="http://schemas.openxmlformats.org/officeDocument/2006/relationships/hyperlink" Target="https://cdc.com/locations/perth/maddington/" TargetMode="External"/><Relationship Id="rId76" Type="http://schemas.openxmlformats.org/officeDocument/2006/relationships/hyperlink" Target="https://baxtel.com/data-center/dci-syd02" TargetMode="External"/><Relationship Id="rId141" Type="http://schemas.openxmlformats.org/officeDocument/2006/relationships/hyperlink" Target="https://www.nextdc.com/news/asx-release-1h26-record-results" TargetMode="External"/><Relationship Id="rId7" Type="http://schemas.openxmlformats.org/officeDocument/2006/relationships/hyperlink" Target="https://cdn-api.markitdigital.com/apiman-gateway/ASX/asx-research/1.0/file/2924-03126655-2A1692379" TargetMode="External"/><Relationship Id="rId183" Type="http://schemas.openxmlformats.org/officeDocument/2006/relationships/hyperlink" Target="https://www.google.com/maps/search/?api=1&amp;query=-35.340385,149.209168" TargetMode="External"/><Relationship Id="rId239" Type="http://schemas.openxmlformats.org/officeDocument/2006/relationships/hyperlink" Target="https://www.planningportal.nsw.gov.au/major-projects/projects/mamre-road-data-centre-campus" TargetMode="External"/><Relationship Id="rId250" Type="http://schemas.openxmlformats.org/officeDocument/2006/relationships/hyperlink" Target="https://www.google.com/maps/search/?api=1&amp;query=-32.790800,151.479340" TargetMode="External"/><Relationship Id="rId292" Type="http://schemas.openxmlformats.org/officeDocument/2006/relationships/hyperlink" Target="https://www.planningportal.nsw.gov.au/major-projects/projects/kc1-data-centre-kemps-creek" TargetMode="External"/><Relationship Id="rId306" Type="http://schemas.openxmlformats.org/officeDocument/2006/relationships/hyperlink" Target="https://www.planningportal.nsw.gov.au/major-projects/projects/brookhollow-avenue-data-centre-expansion-norwest" TargetMode="External"/><Relationship Id="rId45" Type="http://schemas.openxmlformats.org/officeDocument/2006/relationships/hyperlink" Target="https://parliament.tas.gov.au/__data/assets/pdf_file/0012/110730/2026-08-13-ProfRazay.pdf" TargetMode="External"/><Relationship Id="rId87" Type="http://schemas.openxmlformats.org/officeDocument/2006/relationships/hyperlink" Target="https://www.google.com/maps/search/?api=1&amp;query=-33.786673,150.827222" TargetMode="External"/><Relationship Id="rId110" Type="http://schemas.openxmlformats.org/officeDocument/2006/relationships/hyperlink" Target="https://www.google.com/maps/search/?api=1&amp;query=-33.894037,139.233044" TargetMode="External"/><Relationship Id="rId152" Type="http://schemas.openxmlformats.org/officeDocument/2006/relationships/hyperlink" Target="https://www.planning.act.gov.au/applications-and-assessments/development-applications/browse-das/development-application-details?da-number=202443633&amp;amendment-version=" TargetMode="External"/><Relationship Id="rId194" Type="http://schemas.openxmlformats.org/officeDocument/2006/relationships/hyperlink" Target="https://www.planningportal.nsw.gov.au/major-projects/projects/apollo-place-data-centre" TargetMode="External"/><Relationship Id="rId208" Type="http://schemas.openxmlformats.org/officeDocument/2006/relationships/hyperlink" Target="https://dcidatacenters.com/locations/" TargetMode="External"/><Relationship Id="rId240" Type="http://schemas.openxmlformats.org/officeDocument/2006/relationships/hyperlink" Target="https://baxtel.com/data-center/airtrunk-kemps-creek-campus" TargetMode="External"/><Relationship Id="rId261" Type="http://schemas.openxmlformats.org/officeDocument/2006/relationships/hyperlink" Target="https://www.planning.vic.gov.au/planning-approvals/ministerial-permits-register/ministerial-permits/8acfef7f-1ab6-f111-aaac-000d3acbdfba" TargetMode="External"/><Relationship Id="rId14" Type="http://schemas.openxmlformats.org/officeDocument/2006/relationships/hyperlink" Target="https://airtrunk.com/data-centres/mel1/" TargetMode="External"/><Relationship Id="rId35" Type="http://schemas.openxmlformats.org/officeDocument/2006/relationships/hyperlink" Target="https://thewest.com.au/business/construction/maddington-data-centre-development-green-light-for-415m-project-and-construction-tipped-to-start-soon-c-19977544" TargetMode="External"/><Relationship Id="rId56" Type="http://schemas.openxmlformats.org/officeDocument/2006/relationships/hyperlink" Target="https://www.google.com/maps/search/?api=1&amp;query=-33.732527,150.968022" TargetMode="External"/><Relationship Id="rId77" Type="http://schemas.openxmlformats.org/officeDocument/2006/relationships/hyperlink" Target="https://www.planningportal.nsw.gov.au/major-projects/projects/eastern-creek-data-centre-expansion-project" TargetMode="External"/><Relationship Id="rId100" Type="http://schemas.openxmlformats.org/officeDocument/2006/relationships/hyperlink" Target="https://www.google.com/maps/search/?api=1&amp;query=-34.740409,138.644023" TargetMode="External"/><Relationship Id="rId282" Type="http://schemas.openxmlformats.org/officeDocument/2006/relationships/hyperlink" Target="https://www.google.com/maps/search/?api=1&amp;query=-37.835414,144.796396" TargetMode="External"/><Relationship Id="rId317" Type="http://schemas.openxmlformats.org/officeDocument/2006/relationships/hyperlink" Target="https://firmus.co/wesley-vale-ai-factory-project" TargetMode="External"/><Relationship Id="rId338" Type="http://schemas.openxmlformats.org/officeDocument/2006/relationships/hyperlink" Target="https://www.planning.vic.gov.au/planning-approvals/ministerial-permits-register/ministerial-permits/ef7039bf-cd0b-f111-8407-7c1e5262e60a" TargetMode="External"/><Relationship Id="rId8" Type="http://schemas.openxmlformats.org/officeDocument/2006/relationships/hyperlink" Target="https://baxtel.com/data-center/macquarie-ic3-super-west" TargetMode="External"/><Relationship Id="rId98" Type="http://schemas.openxmlformats.org/officeDocument/2006/relationships/hyperlink" Target="https://www.techpartner.news/news/digico-posts-positive-fy26-results-shakes-up-leadership-team-628362" TargetMode="External"/><Relationship Id="rId121" Type="http://schemas.openxmlformats.org/officeDocument/2006/relationships/hyperlink" Target="https://w.media/gateway-considers-81mw-data-centre-at-sydneys-st-leonards/" TargetMode="External"/><Relationship Id="rId142" Type="http://schemas.openxmlformats.org/officeDocument/2006/relationships/hyperlink" Target="https://www.google.com/maps/search/?api=1&amp;query=-37.803512,144.865483" TargetMode="External"/><Relationship Id="rId163" Type="http://schemas.openxmlformats.org/officeDocument/2006/relationships/hyperlink" Target="https://firmus.co/bell-bay-industrial-precinct-ai-factory-project" TargetMode="External"/><Relationship Id="rId184" Type="http://schemas.openxmlformats.org/officeDocument/2006/relationships/hyperlink" Target="https://www.planning.vic.gov.au/planning-approvals/ministerial-permits-register/ministerial-permits/5615befd-9bb3-f011-bbd2-7ced8d337ed8" TargetMode="External"/><Relationship Id="rId219" Type="http://schemas.openxmlformats.org/officeDocument/2006/relationships/hyperlink" Target="https://www.planning.vic.gov.au/planning-approvals/ministerial-permits-register/ministerial-permits/6bac05e8-144c-404a-b7b2-b9e5445cb849" TargetMode="External"/><Relationship Id="rId230" Type="http://schemas.openxmlformats.org/officeDocument/2006/relationships/hyperlink" Target="https://www.westerndownsdigitalpark.com.au/" TargetMode="External"/><Relationship Id="rId251" Type="http://schemas.openxmlformats.org/officeDocument/2006/relationships/hyperlink" Target="https://casey-web.t1cloud.com/T1PRDefault/WebApps/eProperty/P1/eTrack/eTrackApplicationDetails.aspx?r=P1.WEBGUEST&amp;f=%24P1.ETR.APPDET.VIW&amp;ApplicationId=PA26-0190" TargetMode="External"/><Relationship Id="rId25" Type="http://schemas.openxmlformats.org/officeDocument/2006/relationships/hyperlink" Target="https://w.media/next-capital-agrees-to-acquire-fujitsus-australian-data-centre-business/" TargetMode="External"/><Relationship Id="rId46" Type="http://schemas.openxmlformats.org/officeDocument/2006/relationships/hyperlink" Target="https://www.google.com/maps/search/?api=1&amp;query=-41.441718,147.176717" TargetMode="External"/><Relationship Id="rId67" Type="http://schemas.openxmlformats.org/officeDocument/2006/relationships/hyperlink" Target="https://www.crn.com.au/news/2026/data-centre/airtrunk-new-melbourne-location-mel2" TargetMode="External"/><Relationship Id="rId272" Type="http://schemas.openxmlformats.org/officeDocument/2006/relationships/hyperlink" Target="https://www.abc.net.au/news/2026-08-26/proposal-to-turn-former-ford-factory-into-giant-data-centre/107075906" TargetMode="External"/><Relationship Id="rId293" Type="http://schemas.openxmlformats.org/officeDocument/2006/relationships/hyperlink" Target="https://baxtel.com/data-center/cdc-kemps-creek-nsw" TargetMode="External"/><Relationship Id="rId307" Type="http://schemas.openxmlformats.org/officeDocument/2006/relationships/hyperlink" Target="https://www.google.com/maps/search/?api=1&amp;query=-33.732527,150.968022" TargetMode="External"/><Relationship Id="rId328" Type="http://schemas.openxmlformats.org/officeDocument/2006/relationships/hyperlink" Target="https://www.theurbandeveloper.com/articles/swanbank-data-centre-proposal-ipswich-tallest-building-qld" TargetMode="External"/><Relationship Id="rId88" Type="http://schemas.openxmlformats.org/officeDocument/2006/relationships/hyperlink" Target="https://www.planningportal.nsw.gov.au/major-projects/projects/1-5-khartoum-road-data-centre" TargetMode="External"/><Relationship Id="rId111" Type="http://schemas.openxmlformats.org/officeDocument/2006/relationships/hyperlink" Target="https://www.planning.vic.gov.au/planning-approvals/ministerial-permits-register/ministerial-permits/4b779b5c-ef96-f111-8075-7ced8d33fb5a" TargetMode="External"/><Relationship Id="rId132" Type="http://schemas.openxmlformats.org/officeDocument/2006/relationships/hyperlink" Target="https://www.google.com/maps/search/?api=1&amp;query=-33.798630,150.876000" TargetMode="External"/><Relationship Id="rId153" Type="http://schemas.openxmlformats.org/officeDocument/2006/relationships/hyperlink" Target="https://announcements.asx.com.au/asxpdf/20260326/pdf/06xtcw1cnqqc5p.pdf" TargetMode="External"/><Relationship Id="rId174" Type="http://schemas.openxmlformats.org/officeDocument/2006/relationships/hyperlink" Target="https://www.google.com/maps/search/?api=1&amp;query=-33.781280,151.130670" TargetMode="External"/><Relationship Id="rId195" Type="http://schemas.openxmlformats.org/officeDocument/2006/relationships/hyperlink" Target="https://www.google.com/maps/search/?api=1&amp;query=-33.808530,151.145290" TargetMode="External"/><Relationship Id="rId209" Type="http://schemas.openxmlformats.org/officeDocument/2006/relationships/hyperlink" Target="https://baxtel.com/news/1051" TargetMode="External"/><Relationship Id="rId220" Type="http://schemas.openxmlformats.org/officeDocument/2006/relationships/hyperlink" Target="https://www.google.com/maps/search/?api=1&amp;query=-37.681718,144.873969" TargetMode="External"/><Relationship Id="rId241" Type="http://schemas.openxmlformats.org/officeDocument/2006/relationships/hyperlink" Target="https://www.planningportal.nsw.gov.au/major-projects/projects/mamre-road-data-centre-campus" TargetMode="External"/><Relationship Id="rId15" Type="http://schemas.openxmlformats.org/officeDocument/2006/relationships/hyperlink" Target="https://www.google.com/maps/search/?api=1&amp;query=-37.801761,144.775573" TargetMode="External"/><Relationship Id="rId36" Type="http://schemas.openxmlformats.org/officeDocument/2006/relationships/hyperlink" Target="https://cdc.com/locations/perth/maddington/" TargetMode="External"/><Relationship Id="rId57" Type="http://schemas.openxmlformats.org/officeDocument/2006/relationships/hyperlink" Target="https://www.planningportal.nsw.gov.au/major-projects/projects/marsden-park-data-centre" TargetMode="External"/><Relationship Id="rId262" Type="http://schemas.openxmlformats.org/officeDocument/2006/relationships/hyperlink" Target="https://www.google.com/maps/search/?api=1&amp;query=-38.035045,144.291004" TargetMode="External"/><Relationship Id="rId283" Type="http://schemas.openxmlformats.org/officeDocument/2006/relationships/hyperlink" Target="https://www.planning.vic.gov.au/planning-approvals/ministerial-permits-register/ministerial-permits/aae82a26-d98b-f111-ab0f-6045bde5e09b" TargetMode="External"/><Relationship Id="rId318" Type="http://schemas.openxmlformats.org/officeDocument/2006/relationships/hyperlink" Target="https://www.abc.net.au/news/2026-09-26/firmus-starts-development-work-without-permit-wesley-vale/107198264" TargetMode="External"/><Relationship Id="rId339" Type="http://schemas.openxmlformats.org/officeDocument/2006/relationships/hyperlink" Target="https://www.theage.com.au/national/victoria/west-footscray-data-centre-bids-to-double-in-size-amid-nightmare-construction-20260324-p5uags.html" TargetMode="External"/><Relationship Id="rId78" Type="http://schemas.openxmlformats.org/officeDocument/2006/relationships/hyperlink" Target="https://www.google.com/maps/search/?api=1&amp;query=-33.804960,150.886070" TargetMode="External"/><Relationship Id="rId99" Type="http://schemas.openxmlformats.org/officeDocument/2006/relationships/hyperlink" Target="https://investorpa.com/announcement-pdf/20260821/330767.pdf" TargetMode="External"/><Relationship Id="rId101" Type="http://schemas.openxmlformats.org/officeDocument/2006/relationships/hyperlink" Target="https://epbcpublicportal.environment.gov.au/all-referrals/project-referral-summary/?id=f4f8aae0-956b-f111-ab0b-000d3aca9bcb" TargetMode="External"/><Relationship Id="rId122" Type="http://schemas.openxmlformats.org/officeDocument/2006/relationships/hyperlink" Target="https://www.planningportal.nsw.gov.au/major-projects/projects/frederick-street-data-centre" TargetMode="External"/><Relationship Id="rId143" Type="http://schemas.openxmlformats.org/officeDocument/2006/relationships/hyperlink" Target="https://www.planning.vic.gov.au/planning-approvals/ministerial-permits-register/ministerial-permits/76685df6-baaf-f011-bbd2-6045bdc32df2" TargetMode="External"/><Relationship Id="rId164" Type="http://schemas.openxmlformats.org/officeDocument/2006/relationships/hyperlink" Target="https://www.abc.net.au/news/2026-08-30/ai-data-centre-tasmania-firmus-technology-george-town/107089468" TargetMode="External"/><Relationship Id="rId185" Type="http://schemas.openxmlformats.org/officeDocument/2006/relationships/hyperlink" Target="https://www.theurbandeveloper.com/articles/us-fund-manager-pgim-buys-truganina-data-centre-site" TargetMode="External"/><Relationship Id="rId9" Type="http://schemas.openxmlformats.org/officeDocument/2006/relationships/hyperlink" Target="https://www.planningportal.nsw.gov.au/major-projects/projects/talavera-road-data-centre-campus-expansion" TargetMode="External"/><Relationship Id="rId210" Type="http://schemas.openxmlformats.org/officeDocument/2006/relationships/hyperlink" Target="https://dcidatacenters.com/locations/" TargetMode="External"/><Relationship Id="rId26" Type="http://schemas.openxmlformats.org/officeDocument/2006/relationships/hyperlink" Target="https://w.media/next-capital-agrees-to-acquire-fujitsus-australian-data-centre-business/" TargetMode="External"/><Relationship Id="rId231" Type="http://schemas.openxmlformats.org/officeDocument/2006/relationships/hyperlink" Target="https://w.media/zerra-plans-1-44gw-aud-14-5bn-data-centre-campus-in-queensland/" TargetMode="External"/><Relationship Id="rId252" Type="http://schemas.openxmlformats.org/officeDocument/2006/relationships/hyperlink" Target="https://www.datacenterdynamics.com/en/news/au11-billion-data-center-project-proposed-outside-melbourne-australia/" TargetMode="External"/><Relationship Id="rId273" Type="http://schemas.openxmlformats.org/officeDocument/2006/relationships/hyperlink" Target="https://www.planning.vic.gov.au/planning-approvals/ministerial-permits-register/ministerial-permits/1113a299-b13f-f111-88b4-7c1e5262e60a" TargetMode="External"/><Relationship Id="rId294" Type="http://schemas.openxmlformats.org/officeDocument/2006/relationships/hyperlink" Target="https://www.planningportal.nsw.gov.au/major-projects/projects/kc1-data-centre-kemps-creek" TargetMode="External"/><Relationship Id="rId308" Type="http://schemas.openxmlformats.org/officeDocument/2006/relationships/hyperlink" Target="https://www.planningportal.nsw.gov.au/major-projects/projects/nextdc-s5-data-centre-and-innovation-hub" TargetMode="External"/><Relationship Id="rId329" Type="http://schemas.openxmlformats.org/officeDocument/2006/relationships/hyperlink" Target="https://www.theurbandeveloper.com/articles/swanbank-data-centre-proposal-ipswich-tallest-building-qld" TargetMode="External"/><Relationship Id="rId47" Type="http://schemas.openxmlformats.org/officeDocument/2006/relationships/hyperlink" Target="https://records.brimbank.vic.gov.au/ExternalLinkAPI/api/document/?docKey=UHZYRmNFYWVDaUN0clNmekJwVXhMUExwUGpQcFE0VVFXVnp1NkdSYlZpc0lsS2NCZlVOWUxOVXBncy9DSUhHZg2" TargetMode="External"/><Relationship Id="rId68" Type="http://schemas.openxmlformats.org/officeDocument/2006/relationships/hyperlink" Target="https://www.planning.vic.gov.au/planning-approvals/ministerial-permits-register/ministerial-permits/1ea17bd8-75be-ef11-b8e8-002248938a9c" TargetMode="External"/><Relationship Id="rId89" Type="http://schemas.openxmlformats.org/officeDocument/2006/relationships/hyperlink" Target="https://w.media/?p=38408" TargetMode="External"/><Relationship Id="rId112" Type="http://schemas.openxmlformats.org/officeDocument/2006/relationships/hyperlink" Target="https://www.datacenterdynamics.com/en/news/application-filed-for-200mw-data-center-in-melbourne-australia/" TargetMode="External"/><Relationship Id="rId133" Type="http://schemas.openxmlformats.org/officeDocument/2006/relationships/hyperlink" Target="https://www.planningalerts.org.au/applications/3206534" TargetMode="External"/><Relationship Id="rId154" Type="http://schemas.openxmlformats.org/officeDocument/2006/relationships/hyperlink" Target="https://www.datacentermap.com/australia/canberra/cdc-hume-hu6/" TargetMode="External"/><Relationship Id="rId175" Type="http://schemas.openxmlformats.org/officeDocument/2006/relationships/hyperlink" Target="https://www.planningportal.nsw.gov.au/major-projects/projects/project-duke-data-centre" TargetMode="External"/><Relationship Id="rId340" Type="http://schemas.openxmlformats.org/officeDocument/2006/relationships/hyperlink" Target="https://www.planning.vic.gov.au/planning-approvals/ministerial-permits-register/ministerial-permits/ef7039bf-cd0b-f111-8407-7c1e5262e60a" TargetMode="External"/><Relationship Id="rId196" Type="http://schemas.openxmlformats.org/officeDocument/2006/relationships/hyperlink" Target="https://www.planningportal.nsw.gov.au/major-projects/projects/road-1-data-centre" TargetMode="External"/><Relationship Id="rId200" Type="http://schemas.openxmlformats.org/officeDocument/2006/relationships/hyperlink" Target="https://newsroom.equinix.com/2022-06-14-Equinix-and-PGIM-Real-Estate-Open-First-xScale-TM-Data-Centre-in-Sydney-for-Hyperscalers" TargetMode="External"/><Relationship Id="rId16" Type="http://schemas.openxmlformats.org/officeDocument/2006/relationships/hyperlink" Target="https://www.planningportal.nsw.gov.au/major-projects/projects/southern-highlands-data-campus-power-station" TargetMode="External"/><Relationship Id="rId221" Type="http://schemas.openxmlformats.org/officeDocument/2006/relationships/hyperlink" Target="https://www.planning.vic.gov.au/planning-approvals/ministerial-permits-register/ministerial-permits/fcb0d877-0b98-ef11-8a68-002248938a9c" TargetMode="External"/><Relationship Id="rId242" Type="http://schemas.openxmlformats.org/officeDocument/2006/relationships/hyperlink" Target="https://www.google.com/maps/search/?api=1&amp;query=-33.833790,150.784830" TargetMode="External"/><Relationship Id="rId263" Type="http://schemas.openxmlformats.org/officeDocument/2006/relationships/hyperlink" Target="https://www.planningportal.nsw.gov.au/major-projects/projects/project-atlas-data-centre-eastern-creek" TargetMode="External"/><Relationship Id="rId284" Type="http://schemas.openxmlformats.org/officeDocument/2006/relationships/hyperlink" Target="https://greensquaredc.com/MEL1" TargetMode="External"/><Relationship Id="rId319" Type="http://schemas.openxmlformats.org/officeDocument/2006/relationships/hyperlink" Target="https://www.latrobe.tas.gov.au/notice-board/latest-news/proposed-ai-data-centre-wesley-vale" TargetMode="External"/><Relationship Id="rId37" Type="http://schemas.openxmlformats.org/officeDocument/2006/relationships/hyperlink" Target="https://www.google.com/maps/search/?api=1&amp;query=-32.030017,115.999526" TargetMode="External"/><Relationship Id="rId58" Type="http://schemas.openxmlformats.org/officeDocument/2006/relationships/hyperlink" Target="https://www.cdc.com.au/locations/sydney-and-regional-nsw/marsden-park/" TargetMode="External"/><Relationship Id="rId79" Type="http://schemas.openxmlformats.org/officeDocument/2006/relationships/hyperlink" Target="https://www.planning.vic.gov.au/planning-approvals/ministerial-permits-register/ministerial-permits/1b31ed89-8d2e-ef11-840a-000d3acb3ea1" TargetMode="External"/><Relationship Id="rId102" Type="http://schemas.openxmlformats.org/officeDocument/2006/relationships/hyperlink" Target="https://energy-north.com/projects/project-ares/" TargetMode="External"/><Relationship Id="rId123" Type="http://schemas.openxmlformats.org/officeDocument/2006/relationships/hyperlink" Target="https://www.google.com/maps/search/?api=1&amp;query=-33.819090,151.189580" TargetMode="External"/><Relationship Id="rId144" Type="http://schemas.openxmlformats.org/officeDocument/2006/relationships/hyperlink" Target="https://www.nextdc.com/news/m4-technology-campus-approved" TargetMode="External"/><Relationship Id="rId330" Type="http://schemas.openxmlformats.org/officeDocument/2006/relationships/hyperlink" Target="https://www.google.com/maps/search/?api=1&amp;query=-27.661274,152.824122" TargetMode="External"/><Relationship Id="rId90" Type="http://schemas.openxmlformats.org/officeDocument/2006/relationships/hyperlink" Target="https://www.planningportal.nsw.gov.au/major-projects/projects/1-5-khartoum-road-data-centre" TargetMode="External"/><Relationship Id="rId165" Type="http://schemas.openxmlformats.org/officeDocument/2006/relationships/hyperlink" Target="https://georgetown.tas.gov.au/volumes/documents/Shared/Council-Meetings/2026/08.-August-2026/2026-08-25-Ordinary-Council-Meeting-Confirmed-Minutes-Public-Copy.pdf" TargetMode="External"/><Relationship Id="rId186" Type="http://schemas.openxmlformats.org/officeDocument/2006/relationships/hyperlink" Target="https://www.planning.vic.gov.au/planning-approvals/ministerial-permits-register/ministerial-permits/5615befd-9bb3-f011-bbd2-7ced8d337ed8" TargetMode="External"/><Relationship Id="rId211" Type="http://schemas.openxmlformats.org/officeDocument/2006/relationships/hyperlink" Target="https://www.google.com/maps/search/?api=1&amp;query=-34.810480,138.611179" TargetMode="External"/><Relationship Id="rId232" Type="http://schemas.openxmlformats.org/officeDocument/2006/relationships/hyperlink" Target="https://investorpa.com/announcement-pdf/20260916/343864.pdf" TargetMode="External"/><Relationship Id="rId253" Type="http://schemas.openxmlformats.org/officeDocument/2006/relationships/hyperlink" Target="https://casey-web.t1cloud.com/T1PRDefault/WebApps/eProperty/P1/eTrack/eTrackApplicationDetails.aspx?r=P1.WEBGUEST&amp;f=%24P1.ETR.APPDET.VIW&amp;ApplicationId=PA26-0190" TargetMode="External"/><Relationship Id="rId274" Type="http://schemas.openxmlformats.org/officeDocument/2006/relationships/hyperlink" Target="https://www.google.com/maps/search/?api=1&amp;query=-37.663162,144.950978" TargetMode="External"/><Relationship Id="rId295" Type="http://schemas.openxmlformats.org/officeDocument/2006/relationships/hyperlink" Target="https://www.google.com/maps/search/?api=1&amp;query=-33.847750,150.782150" TargetMode="External"/><Relationship Id="rId309" Type="http://schemas.openxmlformats.org/officeDocument/2006/relationships/hyperlink" Target="https://baxtel.com/data-center/nextdc-s5-sydney" TargetMode="External"/><Relationship Id="rId27" Type="http://schemas.openxmlformats.org/officeDocument/2006/relationships/hyperlink" Target="https://www.google.com/maps/search/?api=1&amp;query=-33.821900,150.923800" TargetMode="External"/><Relationship Id="rId48" Type="http://schemas.openxmlformats.org/officeDocument/2006/relationships/hyperlink" Target="https://vantage-dc.com/data-centers/melbourne/" TargetMode="External"/><Relationship Id="rId69" Type="http://schemas.openxmlformats.org/officeDocument/2006/relationships/hyperlink" Target="https://www.google.com/maps/search/?api=1&amp;query=-37.706813,144.861809" TargetMode="External"/><Relationship Id="rId113" Type="http://schemas.openxmlformats.org/officeDocument/2006/relationships/hyperlink" Target="https://www.planning.vic.gov.au/planning-approvals/ministerial-permits-register/ministerial-permits/4b779b5c-ef96-f111-8075-7ced8d33fb5a" TargetMode="External"/><Relationship Id="rId134" Type="http://schemas.openxmlformats.org/officeDocument/2006/relationships/hyperlink" Target="https://cdc.com/resources/news/cdc-brings-27bn-groundbreaking-opportunity-to-melbournes-south-west/" TargetMode="External"/><Relationship Id="rId320" Type="http://schemas.openxmlformats.org/officeDocument/2006/relationships/hyperlink" Target="https://www.google.com/maps/search/?api=1&amp;query=-41.176859,146.449264" TargetMode="External"/><Relationship Id="rId80" Type="http://schemas.openxmlformats.org/officeDocument/2006/relationships/hyperlink" Target="https://www.datacenterdynamics.com/en/news/application-filed-for-200mw-data-center-in-melbourne-australia/" TargetMode="External"/><Relationship Id="rId155" Type="http://schemas.openxmlformats.org/officeDocument/2006/relationships/hyperlink" Target="https://www.planning.act.gov.au/applications-and-assessments/development-applications/browse-das/development-application-details?da-number=202443633&amp;amendment-version=" TargetMode="External"/><Relationship Id="rId176" Type="http://schemas.openxmlformats.org/officeDocument/2006/relationships/hyperlink" Target="https://www.datacenterdynamics.com/en/news/goodman-files-to-build-90mw-data-center-on-eaton-warehouse-site-in-sydney-australia/" TargetMode="External"/><Relationship Id="rId197" Type="http://schemas.openxmlformats.org/officeDocument/2006/relationships/hyperlink" Target="https://www.planningportal.nsw.gov.au/major-projects/projects/road-1-data-centre" TargetMode="External"/><Relationship Id="rId341" Type="http://schemas.openxmlformats.org/officeDocument/2006/relationships/hyperlink" Target="https://www.google.com/maps/search/?api=1&amp;query=-37.803300,144.862279" TargetMode="External"/><Relationship Id="rId201" Type="http://schemas.openxmlformats.org/officeDocument/2006/relationships/hyperlink" Target="https://baxtel.com/data-center/equinix-sy10x" TargetMode="External"/><Relationship Id="rId222" Type="http://schemas.openxmlformats.org/officeDocument/2006/relationships/hyperlink" Target="https://www.theurbandeveloper.com/articles/data-centre-perri-projects-victoria-west-footscray" TargetMode="External"/><Relationship Id="rId243" Type="http://schemas.openxmlformats.org/officeDocument/2006/relationships/hyperlink" Target="https://www.planningportal.nsw.gov.au/major-projects/projects/nextdc-s7-data-centre-eastern-creek" TargetMode="External"/><Relationship Id="rId264" Type="http://schemas.openxmlformats.org/officeDocument/2006/relationships/hyperlink" Target="https://w.media/goodman-files-plans-for-500-mw-sydney-campus-as-expansion-continues/" TargetMode="External"/><Relationship Id="rId285" Type="http://schemas.openxmlformats.org/officeDocument/2006/relationships/hyperlink" Target="https://www.datacenterdynamics.com/en/news/australias-greensquare-expands-into-melbourne-with-240mw-campus/" TargetMode="External"/><Relationship Id="rId17" Type="http://schemas.openxmlformats.org/officeDocument/2006/relationships/hyperlink" Target="https://cloudcarrier.com/campus/" TargetMode="External"/><Relationship Id="rId38" Type="http://schemas.openxmlformats.org/officeDocument/2006/relationships/hyperlink" Target="https://www.stackinfra.com/locations/asia-pacific/melbourne/mel01/" TargetMode="External"/><Relationship Id="rId59" Type="http://schemas.openxmlformats.org/officeDocument/2006/relationships/hyperlink" Target="https://baxtel.com/data-center/cdc-marsden-park-campus" TargetMode="External"/><Relationship Id="rId103" Type="http://schemas.openxmlformats.org/officeDocument/2006/relationships/hyperlink" Target="https://www.datacenterdynamics.com/en/news/gigawatt-scale-behind-the-meter-data-center-campus-proposed-in-australias-northern-territories/" TargetMode="External"/><Relationship Id="rId124" Type="http://schemas.openxmlformats.org/officeDocument/2006/relationships/hyperlink" Target="https://www.planning.vic.gov.au/planning-approvals/ministerial-permits-register/ministerial-permits/fdc8d827-6b74-f111-ab0f-7c1e522a8afb" TargetMode="External"/><Relationship Id="rId310" Type="http://schemas.openxmlformats.org/officeDocument/2006/relationships/hyperlink" Target="https://www.planningportal.nsw.gov.au/major-projects/projects/nextdc-s5-data-centre-and-innovation-hub" TargetMode="External"/><Relationship Id="rId70" Type="http://schemas.openxmlformats.org/officeDocument/2006/relationships/hyperlink" Target="https://www.planningportal.nsw.gov.au/major-projects/projects/lanceley-place-data-centre-artarmon" TargetMode="External"/><Relationship Id="rId91" Type="http://schemas.openxmlformats.org/officeDocument/2006/relationships/hyperlink" Target="https://www.google.com/maps/search/?api=1&amp;query=-33.779230,151.124900" TargetMode="External"/><Relationship Id="rId145" Type="http://schemas.openxmlformats.org/officeDocument/2006/relationships/hyperlink" Target="https://www.theurbandeveloper.com/articles/nextdc-m4-digital-campus-fishermans-bend-approval" TargetMode="External"/><Relationship Id="rId166" Type="http://schemas.openxmlformats.org/officeDocument/2006/relationships/hyperlink" Target="https://www.google.com/maps/search/?api=1&amp;query=-41.156064,146.926586" TargetMode="External"/><Relationship Id="rId187" Type="http://schemas.openxmlformats.org/officeDocument/2006/relationships/hyperlink" Target="https://www.google.com/maps/search/?api=1&amp;query=-37.776084,144.677731" TargetMode="External"/><Relationship Id="rId331" Type="http://schemas.openxmlformats.org/officeDocument/2006/relationships/hyperlink" Target="https://ehume.hume.vic.gov.au/T1PRProd/WebApps/eProperty/P1/eTrack/eTrackApplicationDetails.aspx?ApplicationId=P26624&amp;f=%24P1.ETR.APPDET.VIW&amp;r=P1.HCC.WEBGUEST" TargetMode="External"/><Relationship Id="rId1" Type="http://schemas.openxmlformats.org/officeDocument/2006/relationships/hyperlink" Target="https://djsir.vic.gov.au/news-and-articles/cdcs-data-centres-fueling-jobs-and-growth-in-the-west" TargetMode="External"/><Relationship Id="rId212" Type="http://schemas.openxmlformats.org/officeDocument/2006/relationships/hyperlink" Target="https://www.planningportal.nsw.gov.au/major-projects/projects/southern-highlands-data-campus-power-station" TargetMode="External"/><Relationship Id="rId233" Type="http://schemas.openxmlformats.org/officeDocument/2006/relationships/hyperlink" Target="https://www.google.com/maps/search/?api=1&amp;query=-27.080833,150.923741" TargetMode="External"/><Relationship Id="rId254" Type="http://schemas.openxmlformats.org/officeDocument/2006/relationships/hyperlink" Target="https://www.google.com/maps/search/?api=1&amp;query=-38.092843,145.327908" TargetMode="External"/><Relationship Id="rId28" Type="http://schemas.openxmlformats.org/officeDocument/2006/relationships/hyperlink" Target="https://planningalerts.org.au/applications/3442743" TargetMode="External"/><Relationship Id="rId49" Type="http://schemas.openxmlformats.org/officeDocument/2006/relationships/hyperlink" Target="https://baxtel.com/data-center/vantage-melbourne-mel1" TargetMode="External"/><Relationship Id="rId114" Type="http://schemas.openxmlformats.org/officeDocument/2006/relationships/hyperlink" Target="https://www.google.com/maps/search/?api=1&amp;query=-37.643497,145.081297" TargetMode="External"/><Relationship Id="rId275" Type="http://schemas.openxmlformats.org/officeDocument/2006/relationships/hyperlink" Target="https://www.planning.vic.gov.au/planning-approvals/ministerial-permits-register/ministerial-permits/14c42f63-3f54-f111-bec6-6045bdc28ba0" TargetMode="External"/><Relationship Id="rId296" Type="http://schemas.openxmlformats.org/officeDocument/2006/relationships/hyperlink" Target="https://www.planningportal.nsw.gov.au/major-projects/projects/mars-road-data-centre" TargetMode="External"/><Relationship Id="rId300" Type="http://schemas.openxmlformats.org/officeDocument/2006/relationships/hyperlink" Target="https://www.planningportal.nsw.gov.au/major-projects/projects/nextdc-s4-data-centre-phase-2-horsley-park" TargetMode="External"/><Relationship Id="rId60" Type="http://schemas.openxmlformats.org/officeDocument/2006/relationships/hyperlink" Target="https://www.planningportal.nsw.gov.au/major-projects/projects/marsden-park-data-centre" TargetMode="External"/><Relationship Id="rId81" Type="http://schemas.openxmlformats.org/officeDocument/2006/relationships/hyperlink" Target="https://www.planning.vic.gov.au/planning-approvals/ministerial-permits-register/ministerial-permits/1b31ed89-8d2e-ef11-840a-000d3acb3ea1" TargetMode="External"/><Relationship Id="rId135" Type="http://schemas.openxmlformats.org/officeDocument/2006/relationships/hyperlink" Target="https://baxtel.com/data-center/cdc-laverton-campus" TargetMode="External"/><Relationship Id="rId156" Type="http://schemas.openxmlformats.org/officeDocument/2006/relationships/hyperlink" Target="https://www.google.com/maps/search/?api=1&amp;query=-35.397070,149.163930" TargetMode="External"/><Relationship Id="rId177" Type="http://schemas.openxmlformats.org/officeDocument/2006/relationships/hyperlink" Target="https://www.planningportal.nsw.gov.au/major-projects/projects/project-duke-data-centre" TargetMode="External"/><Relationship Id="rId198" Type="http://schemas.openxmlformats.org/officeDocument/2006/relationships/hyperlink" Target="https://www.google.com/maps/search/?api=1&amp;query=-33.781000,151.123000" TargetMode="External"/><Relationship Id="rId321" Type="http://schemas.openxmlformats.org/officeDocument/2006/relationships/hyperlink" Target="https://www.datacenterdynamics.com/en/news/centuria-plans-40mw-data-center-in-melbourne-australia/" TargetMode="External"/><Relationship Id="rId342" Type="http://schemas.openxmlformats.org/officeDocument/2006/relationships/vmlDrawing" Target="../drawings/vmlDrawing1.vml"/><Relationship Id="rId202" Type="http://schemas.openxmlformats.org/officeDocument/2006/relationships/hyperlink" Target="https://www.planningportal.nsw.gov.au/major-projects/projects/grand-avenue-data-centre-expansion-rosehill" TargetMode="External"/><Relationship Id="rId223" Type="http://schemas.openxmlformats.org/officeDocument/2006/relationships/hyperlink" Target="https://www.planning.vic.gov.au/planning-approvals/ministerial-permits-register/ministerial-permits/fcb0d877-0b98-ef11-8a68-002248938a9c" TargetMode="External"/><Relationship Id="rId244" Type="http://schemas.openxmlformats.org/officeDocument/2006/relationships/hyperlink" Target="https://w.media/openai-and-nextdc-unveil-aud-7bn-plan-for-sovereign-ai-campus-in-sydney/" TargetMode="External"/><Relationship Id="rId18" Type="http://schemas.openxmlformats.org/officeDocument/2006/relationships/hyperlink" Target="https://w.media/cloud-carrier-launches-australias-first-liquid-cooled-data-campus-in-the-southern-highlands/" TargetMode="External"/><Relationship Id="rId39" Type="http://schemas.openxmlformats.org/officeDocument/2006/relationships/hyperlink" Target="https://www.datacenterdynamics.com/en/news/stack-tops-out-swiss-data-center-completes-construction-in-melbourne/" TargetMode="External"/><Relationship Id="rId265" Type="http://schemas.openxmlformats.org/officeDocument/2006/relationships/hyperlink" Target="https://www.planningportal.nsw.gov.au/major-projects/projects/project-atlas-data-centre-eastern-creek" TargetMode="External"/><Relationship Id="rId286" Type="http://schemas.openxmlformats.org/officeDocument/2006/relationships/hyperlink" Target="https://www.planning.vic.gov.au/planning-approvals/ministerial-permits-register/ministerial-permits/aae82a26-d98b-f111-ab0f-6045bde5e09b" TargetMode="External"/><Relationship Id="rId50" Type="http://schemas.openxmlformats.org/officeDocument/2006/relationships/hyperlink" Target="https://vantage-dc.com/data-centers/melbourne/" TargetMode="External"/><Relationship Id="rId104" Type="http://schemas.openxmlformats.org/officeDocument/2006/relationships/hyperlink" Target="https://epbcpublicportal.environment.gov.au/all-referrals/project-referral-summary/?id=f4f8aae0-956b-f111-ab0b-000d3aca9bcb" TargetMode="External"/><Relationship Id="rId125" Type="http://schemas.openxmlformats.org/officeDocument/2006/relationships/hyperlink" Target="https://au.goodman.com/property-lease-site/MEL02" TargetMode="External"/><Relationship Id="rId146" Type="http://schemas.openxmlformats.org/officeDocument/2006/relationships/hyperlink" Target="https://www.planning.vic.gov.au/planning-approvals/ministerial-permits-register/ministerial-permits/76685df6-baaf-f011-bbd2-6045bdc32df2" TargetMode="External"/><Relationship Id="rId167" Type="http://schemas.openxmlformats.org/officeDocument/2006/relationships/hyperlink" Target="https://www.planning.vic.gov.au/planning-approvals/ministerial-permits-register/ministerial-permits/62cc5b40-f5b5-f011-bbd2-7ced8d337ed8" TargetMode="External"/><Relationship Id="rId188" Type="http://schemas.openxmlformats.org/officeDocument/2006/relationships/hyperlink" Target="https://www.planningportal.nsw.gov.au/major-projects/projects/project-pluto-data-centre" TargetMode="External"/><Relationship Id="rId311" Type="http://schemas.openxmlformats.org/officeDocument/2006/relationships/hyperlink" Target="https://www.google.com/maps/search/?api=1&amp;query=-33.786730,151.127880" TargetMode="External"/><Relationship Id="rId332" Type="http://schemas.openxmlformats.org/officeDocument/2006/relationships/hyperlink" Target="https://ehume.hume.vic.gov.au/T1PRProd/WebApps/eProperty/P1/eTrack/eTrackApplicationDetails.aspx?ApplicationId=P26624&amp;f=%24P1.ETR.APPDET.VIW&amp;r=P1.HCC.WEBGUEST" TargetMode="External"/><Relationship Id="rId71" Type="http://schemas.openxmlformats.org/officeDocument/2006/relationships/hyperlink" Target="https://baxtel.com/data-center/goodman-artarmon" TargetMode="External"/><Relationship Id="rId92" Type="http://schemas.openxmlformats.org/officeDocument/2006/relationships/hyperlink" Target="https://www.planningportal.nsw.gov.au/major-projects/projects/digico-syd1-data-centre-expansion" TargetMode="External"/><Relationship Id="rId213" Type="http://schemas.openxmlformats.org/officeDocument/2006/relationships/hyperlink" Target="https://cloudcarrier.com/campus/" TargetMode="External"/><Relationship Id="rId234" Type="http://schemas.openxmlformats.org/officeDocument/2006/relationships/hyperlink" Target="https://www.planningportal.nsw.gov.au/major-projects/projects/ashfords-road-data-centre-gregadoo" TargetMode="External"/><Relationship Id="rId2" Type="http://schemas.openxmlformats.org/officeDocument/2006/relationships/hyperlink" Target="https://cdc.com/locations/melbourne/" TargetMode="External"/><Relationship Id="rId29" Type="http://schemas.openxmlformats.org/officeDocument/2006/relationships/hyperlink" Target="https://www.stackinfra.com/locations/asia-pacific/melbourne/mel02/" TargetMode="External"/><Relationship Id="rId255" Type="http://schemas.openxmlformats.org/officeDocument/2006/relationships/hyperlink" Target="https://www.planningportal.nsw.gov.au/major-projects/projects/stack-syd01-data-centre-erskine-park" TargetMode="External"/><Relationship Id="rId276" Type="http://schemas.openxmlformats.org/officeDocument/2006/relationships/hyperlink" Target="https://www.datacenterdynamics.com/en/news/stockland-files-to-develop-another-data-center-in-melbourne-australia/" TargetMode="External"/><Relationship Id="rId297" Type="http://schemas.openxmlformats.org/officeDocument/2006/relationships/hyperlink" Target="https://w.media/nsw-moves-15-data-centres-worth-aud-51-9bn-into-ida-pipeline/" TargetMode="External"/><Relationship Id="rId40" Type="http://schemas.openxmlformats.org/officeDocument/2006/relationships/hyperlink" Target="https://www.stackinfra.com/locations/asia-pacific/melbourne/mel01/" TargetMode="External"/><Relationship Id="rId115" Type="http://schemas.openxmlformats.org/officeDocument/2006/relationships/hyperlink" Target="https://www.planning.wa.gov.au/docs/default-source/daps-docs-other/current-applications.pdf" TargetMode="External"/><Relationship Id="rId136" Type="http://schemas.openxmlformats.org/officeDocument/2006/relationships/hyperlink" Target="https://www.planningalerts.org.au/applications/3206534" TargetMode="External"/><Relationship Id="rId157" Type="http://schemas.openxmlformats.org/officeDocument/2006/relationships/hyperlink" Target="https://statements.qld.gov.au/statements/95682" TargetMode="External"/><Relationship Id="rId178" Type="http://schemas.openxmlformats.org/officeDocument/2006/relationships/hyperlink" Target="https://www.google.com/maps/search/?api=1&amp;query=-33.920850,151.183840" TargetMode="External"/><Relationship Id="rId301" Type="http://schemas.openxmlformats.org/officeDocument/2006/relationships/hyperlink" Target="https://www.planningportal.nsw.gov.au/major-projects/projects/nextdc-s4-data-centre-phase-2-horsley-park" TargetMode="External"/><Relationship Id="rId322" Type="http://schemas.openxmlformats.org/officeDocument/2006/relationships/hyperlink" Target="https://www.datacenterdynamics.com/en/news/centuria-plans-40mw-data-center-in-melbourne-australia/" TargetMode="External"/><Relationship Id="rId343" Type="http://schemas.openxmlformats.org/officeDocument/2006/relationships/comments" Target="../comments1.xml"/><Relationship Id="rId61" Type="http://schemas.openxmlformats.org/officeDocument/2006/relationships/hyperlink" Target="https://www.google.com/maps/search/?api=1&amp;query=-33.722607,150.836328" TargetMode="External"/><Relationship Id="rId82" Type="http://schemas.openxmlformats.org/officeDocument/2006/relationships/hyperlink" Target="https://www.google.com/maps/search/?api=1&amp;query=-37.650911,145.082355" TargetMode="External"/><Relationship Id="rId199" Type="http://schemas.openxmlformats.org/officeDocument/2006/relationships/hyperlink" Target="https://www.planningportal.nsw.gov.au/major-projects/projects/grand-avenue-data-centre-expansion-rosehill" TargetMode="External"/><Relationship Id="rId203" Type="http://schemas.openxmlformats.org/officeDocument/2006/relationships/hyperlink" Target="https://www.google.com/maps/search/?api=1&amp;query=-33.823588,151.033552" TargetMode="External"/><Relationship Id="rId19" Type="http://schemas.openxmlformats.org/officeDocument/2006/relationships/hyperlink" Target="https://www.planningportal.nsw.gov.au/major-projects/projects/southern-highlands-data-campus-power-station" TargetMode="External"/><Relationship Id="rId224" Type="http://schemas.openxmlformats.org/officeDocument/2006/relationships/hyperlink" Target="https://www.google.com/maps/search/?api=1&amp;query=-37.801296,144.869798" TargetMode="External"/><Relationship Id="rId245" Type="http://schemas.openxmlformats.org/officeDocument/2006/relationships/hyperlink" Target="https://www.planningportal.nsw.gov.au/major-projects/projects/nextdc-s7-data-centre-eastern-creek" TargetMode="External"/><Relationship Id="rId266" Type="http://schemas.openxmlformats.org/officeDocument/2006/relationships/hyperlink" Target="https://www.google.com/maps/search/?api=1&amp;query=-33.817380,150.836900" TargetMode="External"/><Relationship Id="rId287" Type="http://schemas.openxmlformats.org/officeDocument/2006/relationships/hyperlink" Target="https://www.google.com/maps/search/?api=1&amp;query=-37.827974,144.889532" TargetMode="External"/><Relationship Id="rId30" Type="http://schemas.openxmlformats.org/officeDocument/2006/relationships/hyperlink" Target="https://baxtel.com/data-center/stack-melbourne-mel02" TargetMode="External"/><Relationship Id="rId105" Type="http://schemas.openxmlformats.org/officeDocument/2006/relationships/hyperlink" Target="https://www.google.com/maps/search/?api=1&amp;query=-17.561217,133.557187" TargetMode="External"/><Relationship Id="rId126" Type="http://schemas.openxmlformats.org/officeDocument/2006/relationships/hyperlink" Target="https://www.datacenterdynamics.com/en/news/au11-billion-data-center-project-proposed-outside-melbourne-australia/" TargetMode="External"/><Relationship Id="rId147" Type="http://schemas.openxmlformats.org/officeDocument/2006/relationships/hyperlink" Target="https://www.google.com/maps/search/?api=1&amp;query=-37.834266,144.913479" TargetMode="External"/><Relationship Id="rId168" Type="http://schemas.openxmlformats.org/officeDocument/2006/relationships/hyperlink" Target="https://www.datacenterdynamics.com/en/news/blackrocks-gip-and-acs-name-data-center-joint-venture-coravel-sign-customer-in-texas/" TargetMode="External"/><Relationship Id="rId312" Type="http://schemas.openxmlformats.org/officeDocument/2006/relationships/hyperlink" Target="https://www.planningportal.nsw.gov.au/major-projects/projects/23-25-waterloo-road-data-centre" TargetMode="External"/><Relationship Id="rId333" Type="http://schemas.openxmlformats.org/officeDocument/2006/relationships/hyperlink" Target="https://www.google.com/maps/search/?api=1&amp;query=-37.578531,144.946126" TargetMode="External"/><Relationship Id="rId51" Type="http://schemas.openxmlformats.org/officeDocument/2006/relationships/hyperlink" Target="https://www.google.com/maps/search/?api=1&amp;query=-37.708180,144.871899" TargetMode="External"/><Relationship Id="rId72" Type="http://schemas.openxmlformats.org/officeDocument/2006/relationships/hyperlink" Target="https://www.planningportal.nsw.gov.au/major-projects/projects/lanceley-place-data-centre-artarmon" TargetMode="External"/><Relationship Id="rId93" Type="http://schemas.openxmlformats.org/officeDocument/2006/relationships/hyperlink" Target="https://w.media/digico-to-sell-us-assets-as-it-pivots-capital-to-sydney-growth/" TargetMode="External"/><Relationship Id="rId189" Type="http://schemas.openxmlformats.org/officeDocument/2006/relationships/hyperlink" Target="https://w.media/nsw-approves-goodmans-aud-1-1bn-project-pluto-data-centre-in-western-sydney/" TargetMode="External"/><Relationship Id="rId3" Type="http://schemas.openxmlformats.org/officeDocument/2006/relationships/hyperlink" Target="https://www.datacenterdynamics.com/en/news/australias-cdc-opens-data-center-campus-in-melbourne/" TargetMode="External"/><Relationship Id="rId214" Type="http://schemas.openxmlformats.org/officeDocument/2006/relationships/hyperlink" Target="https://w.media/cloud-carrier-launches-australias-first-liquid-cooled-data-campus-in-the-southern-highlands/" TargetMode="External"/><Relationship Id="rId235" Type="http://schemas.openxmlformats.org/officeDocument/2006/relationships/hyperlink" Target="https://www.cdc.com.au/locations/sydney-and-regional-nsw/gregadoo-wagga-wagga/" TargetMode="External"/><Relationship Id="rId256" Type="http://schemas.openxmlformats.org/officeDocument/2006/relationships/hyperlink" Target="https://w.media/stack-infrastructure-plans-450mw-data-center-campus-at-erskine-park-sydney/" TargetMode="External"/><Relationship Id="rId277" Type="http://schemas.openxmlformats.org/officeDocument/2006/relationships/hyperlink" Target="https://www.planning.vic.gov.au/planning-approvals/ministerial-permits-register/ministerial-permits/14c42f63-3f54-f111-bec6-6045bdc28ba0" TargetMode="External"/><Relationship Id="rId298" Type="http://schemas.openxmlformats.org/officeDocument/2006/relationships/hyperlink" Target="https://www.planningportal.nsw.gov.au/major-projects/projects/mars-road-data-centre" TargetMode="External"/><Relationship Id="rId116" Type="http://schemas.openxmlformats.org/officeDocument/2006/relationships/hyperlink" Target="https://cdc.com/locations/perth/hazelmere/" TargetMode="External"/><Relationship Id="rId137" Type="http://schemas.openxmlformats.org/officeDocument/2006/relationships/hyperlink" Target="https://www.google.com/maps/search/?api=1&amp;query=-37.841092,144.765912" TargetMode="External"/><Relationship Id="rId158" Type="http://schemas.openxmlformats.org/officeDocument/2006/relationships/hyperlink" Target="https://www.quinbrook.com/?p=1283" TargetMode="External"/><Relationship Id="rId302" Type="http://schemas.openxmlformats.org/officeDocument/2006/relationships/hyperlink" Target="https://www.google.com/maps/search/?api=1&amp;query=-33.831380,150.826220" TargetMode="External"/><Relationship Id="rId323" Type="http://schemas.openxmlformats.org/officeDocument/2006/relationships/hyperlink" Target="https://www.google.com/maps/search/?api=1&amp;query=-37.920755,145.131939" TargetMode="External"/><Relationship Id="rId20" Type="http://schemas.openxmlformats.org/officeDocument/2006/relationships/hyperlink" Target="https://www.google.com/maps/search/?api=1&amp;query=-34.515334,150.369822" TargetMode="External"/><Relationship Id="rId41" Type="http://schemas.openxmlformats.org/officeDocument/2006/relationships/hyperlink" Target="https://www.google.com/maps/search/?api=1&amp;query=-37.819933,144.747642" TargetMode="External"/><Relationship Id="rId62" Type="http://schemas.openxmlformats.org/officeDocument/2006/relationships/hyperlink" Target="https://www.planningportal.nsw.gov.au/major-projects/projects/nextdc-s4-data-centre-horsley-park" TargetMode="External"/><Relationship Id="rId83" Type="http://schemas.openxmlformats.org/officeDocument/2006/relationships/hyperlink" Target="https://www.planningportal.nsw.gov.au/planning-panel/data-centre" TargetMode="External"/><Relationship Id="rId179" Type="http://schemas.openxmlformats.org/officeDocument/2006/relationships/hyperlink" Target="https://www.planning.act.gov.au/applications-and-assessments/development-applications/browse-das/development-application-details?da-number=202645149" TargetMode="External"/><Relationship Id="rId190" Type="http://schemas.openxmlformats.org/officeDocument/2006/relationships/hyperlink" Target="https://www.planningportal.nsw.gov.au/major-projects/projects/project-pluto-data-centre" TargetMode="External"/><Relationship Id="rId204" Type="http://schemas.openxmlformats.org/officeDocument/2006/relationships/hyperlink" Target="https://www.planningportal.nsw.gov.au/major-projects/projects/dci-poplars-data-centre-project-0" TargetMode="External"/><Relationship Id="rId225" Type="http://schemas.openxmlformats.org/officeDocument/2006/relationships/hyperlink" Target="https://www.planning.vic.gov.au/planning-approvals/ministerial-permits-register/ministerial-permits/3445e501-ef0a-f111-8406-7ced8da0d89a" TargetMode="External"/><Relationship Id="rId246" Type="http://schemas.openxmlformats.org/officeDocument/2006/relationships/hyperlink" Target="https://www.google.com/maps/search/?api=1&amp;query=-33.801800,150.825600" TargetMode="External"/><Relationship Id="rId267" Type="http://schemas.openxmlformats.org/officeDocument/2006/relationships/hyperlink" Target="https://www.planningportal.nsw.gov.au/major-projects/projects/aldington-road-data-centre" TargetMode="External"/><Relationship Id="rId288" Type="http://schemas.openxmlformats.org/officeDocument/2006/relationships/hyperlink" Target="https://www.planningportal.nsw.gov.au/major-projects/projects/julius-avenue-data-centre" TargetMode="External"/><Relationship Id="rId106" Type="http://schemas.openxmlformats.org/officeDocument/2006/relationships/hyperlink" Target="https://epbcpublicportal.environment.gov.au/_entity/sharepointdocumentlocation/5c72ac54-e89c-f111-b8db-70a8a5564bc0/2ab10dab-d681-4911-b881-cc99413f07b6?file=00-2026-10605+Referral.pdf" TargetMode="External"/><Relationship Id="rId127" Type="http://schemas.openxmlformats.org/officeDocument/2006/relationships/hyperlink" Target="https://www.planning.vic.gov.au/planning-approvals/ministerial-permits-register/ministerial-permits/fdc8d827-6b74-f111-ab0f-7c1e522a8afb" TargetMode="External"/><Relationship Id="rId313" Type="http://schemas.openxmlformats.org/officeDocument/2006/relationships/hyperlink" Target="https://baxtel.com/data-center/digital-realty-north-ryde-sydney-67417c05-88ca-4571-a4bf-d577a6b98489" TargetMode="External"/><Relationship Id="rId10" Type="http://schemas.openxmlformats.org/officeDocument/2006/relationships/hyperlink" Target="https://www.google.com/maps/search/?api=1&amp;query=-33.780730,151.127330" TargetMode="External"/><Relationship Id="rId31" Type="http://schemas.openxmlformats.org/officeDocument/2006/relationships/hyperlink" Target="https://planningalerts.org.au/applications/3442743" TargetMode="External"/><Relationship Id="rId52" Type="http://schemas.openxmlformats.org/officeDocument/2006/relationships/hyperlink" Target="https://www.planningportal.nsw.gov.au/major-projects/projects/brookhollow-avenue-data-centre-expansion-norwest" TargetMode="External"/><Relationship Id="rId73" Type="http://schemas.openxmlformats.org/officeDocument/2006/relationships/hyperlink" Target="https://www.google.com/maps/search/?api=1&amp;query=-33.818440,151.190040" TargetMode="External"/><Relationship Id="rId94" Type="http://schemas.openxmlformats.org/officeDocument/2006/relationships/hyperlink" Target="https://www.planningportal.nsw.gov.au/major-projects/projects/digico-syd1-data-centre-expansion" TargetMode="External"/><Relationship Id="rId148" Type="http://schemas.openxmlformats.org/officeDocument/2006/relationships/hyperlink" Target="https://records.brimbank.vic.gov.au/ExternalLinkAPI/api/document/?docKey=UHZYRmNFYWVDaUN0clNmekJwVXhMUExwUGpQcFE0VVFXVnp1NkdSYlZpc0lsS2NCZlVOWUxOVXBncy9DSUhHZg2" TargetMode="External"/><Relationship Id="rId169" Type="http://schemas.openxmlformats.org/officeDocument/2006/relationships/hyperlink" Target="https://www.planning.vic.gov.au/planning-approvals/ministerial-permits-register/ministerial-permits/62cc5b40-f5b5-f011-bbd2-7ced8d337ed8" TargetMode="External"/><Relationship Id="rId334" Type="http://schemas.openxmlformats.org/officeDocument/2006/relationships/hyperlink" Target="https://www.planning.vic.gov.au/planning-approvals/ministerial-permits-register/ministerial-permits/fb678cb2-1784-4883-932a-4fdca25a480a" TargetMode="External"/><Relationship Id="rId4" Type="http://schemas.openxmlformats.org/officeDocument/2006/relationships/hyperlink" Target="https://djsir.vic.gov.au/news-and-articles/cdcs-data-centres-fueling-jobs-and-growth-in-the-west" TargetMode="External"/><Relationship Id="rId180" Type="http://schemas.openxmlformats.org/officeDocument/2006/relationships/hyperlink" Target="https://cdc.com/au/canberra" TargetMode="External"/><Relationship Id="rId215" Type="http://schemas.openxmlformats.org/officeDocument/2006/relationships/hyperlink" Target="https://www.planningportal.nsw.gov.au/major-projects/projects/southern-highlands-data-campus-power-station" TargetMode="External"/><Relationship Id="rId236" Type="http://schemas.openxmlformats.org/officeDocument/2006/relationships/hyperlink" Target="https://w.media/cdc-plans-aud-15bn-1-4gw-data-centre-campus-near-wagga-wagga/" TargetMode="External"/><Relationship Id="rId257" Type="http://schemas.openxmlformats.org/officeDocument/2006/relationships/hyperlink" Target="https://www.planningportal.nsw.gov.au/major-projects/projects/stack-syd01-data-centre-erskine-park" TargetMode="External"/><Relationship Id="rId278" Type="http://schemas.openxmlformats.org/officeDocument/2006/relationships/hyperlink" Target="https://www.google.com/maps/search/?api=1&amp;query=-37.819053,144.852884" TargetMode="External"/><Relationship Id="rId303" Type="http://schemas.openxmlformats.org/officeDocument/2006/relationships/hyperlink" Target="https://www.planningportal.nsw.gov.au/major-projects/projects/brookhollow-avenue-data-centre-expansion-norwest" TargetMode="External"/><Relationship Id="rId42" Type="http://schemas.openxmlformats.org/officeDocument/2006/relationships/hyperlink" Target="https://parliament.tas.gov.au/__data/assets/pdf_file/0012/110730/2026-08-13-ProfRazay.pdf" TargetMode="External"/><Relationship Id="rId84" Type="http://schemas.openxmlformats.org/officeDocument/2006/relationships/hyperlink" Target="https://www.aap.com.au/aapreleases/cision20251112ae20247" TargetMode="External"/><Relationship Id="rId138" Type="http://schemas.openxmlformats.org/officeDocument/2006/relationships/hyperlink" Target="https://www.planning.vic.gov.au/planning-approvals/ministerial-permits-register/ministerial-permits/ef7039bf-cd0b-f111-8407-7c1e5262e60a" TargetMode="External"/><Relationship Id="rId191" Type="http://schemas.openxmlformats.org/officeDocument/2006/relationships/hyperlink" Target="https://www.google.com/maps/search/?api=1&amp;query=-33.851130,150.955070" TargetMode="External"/><Relationship Id="rId205" Type="http://schemas.openxmlformats.org/officeDocument/2006/relationships/hyperlink" Target="https://w.media/dci-to-build-20-mw-cloud-edge-data-centre-in-canberra/" TargetMode="External"/><Relationship Id="rId247" Type="http://schemas.openxmlformats.org/officeDocument/2006/relationships/hyperlink" Target="https://www.planningportal.nsw.gov.au/major-projects/projects/kurri-kurri-data-centre" TargetMode="External"/><Relationship Id="rId107" Type="http://schemas.openxmlformats.org/officeDocument/2006/relationships/hyperlink" Target="https://iren.com/data-centers/bundey" TargetMode="External"/><Relationship Id="rId289" Type="http://schemas.openxmlformats.org/officeDocument/2006/relationships/hyperlink" Target="https://baxtel.com/data-center/ispt-sydney" TargetMode="External"/><Relationship Id="rId11" Type="http://schemas.openxmlformats.org/officeDocument/2006/relationships/hyperlink" Target="https://records.brimbank.vic.gov.au/ExternalLinkAPI/api/document/?docKey=UHZYRmNFYWVDaUN0clNmekJwVXhMUExwUGpQcFE0VVFXVnp1NkdSYlZpc0lsS2NCZlVOWUxOVXBncy9DSUhHZg2" TargetMode="External"/><Relationship Id="rId53" Type="http://schemas.openxmlformats.org/officeDocument/2006/relationships/hyperlink" Target="https://www.greensquaredc.com/locations" TargetMode="External"/><Relationship Id="rId149" Type="http://schemas.openxmlformats.org/officeDocument/2006/relationships/hyperlink" Target="https://www.nextdc.com/news/asx-release-1h26-record-results" TargetMode="External"/><Relationship Id="rId314" Type="http://schemas.openxmlformats.org/officeDocument/2006/relationships/hyperlink" Target="https://www.planningportal.nsw.gov.au/major-projects/projects/23-25-waterloo-road-data-centre" TargetMode="External"/><Relationship Id="rId95" Type="http://schemas.openxmlformats.org/officeDocument/2006/relationships/hyperlink" Target="https://www.google.com/maps/search/?api=1&amp;query=-33.875000,151.197000" TargetMode="External"/><Relationship Id="rId160" Type="http://schemas.openxmlformats.org/officeDocument/2006/relationships/hyperlink" Target="https://statements.qld.gov.au/statements/95682" TargetMode="External"/><Relationship Id="rId216" Type="http://schemas.openxmlformats.org/officeDocument/2006/relationships/hyperlink" Target="https://www.google.com/maps/search/?api=1&amp;query=-34.515334,150.369822" TargetMode="External"/><Relationship Id="rId258" Type="http://schemas.openxmlformats.org/officeDocument/2006/relationships/hyperlink" Target="https://www.google.com/maps/search/?api=1&amp;query=-33.815188,150.811826" TargetMode="External"/><Relationship Id="rId22" Type="http://schemas.openxmlformats.org/officeDocument/2006/relationships/hyperlink" Target="https://www.datacenterdynamics.com/en/news/fujitsu-sells-australian-data-center-business-to-next-capital/" TargetMode="External"/><Relationship Id="rId64" Type="http://schemas.openxmlformats.org/officeDocument/2006/relationships/hyperlink" Target="https://www.google.com/maps/search/?api=1&amp;query=-33.827840,150.824570" TargetMode="External"/><Relationship Id="rId118" Type="http://schemas.openxmlformats.org/officeDocument/2006/relationships/hyperlink" Target="https://cdc.com/locations/perth/hazelmere/" TargetMode="External"/><Relationship Id="rId325" Type="http://schemas.openxmlformats.org/officeDocument/2006/relationships/hyperlink" Target="https://baxtel.com/data-center/markham-sydney" TargetMode="External"/><Relationship Id="rId171" Type="http://schemas.openxmlformats.org/officeDocument/2006/relationships/hyperlink" Target="https://www.planningportal.nsw.gov.au/major-projects/projects/project-apollo-data-centre-macquarie-park" TargetMode="External"/><Relationship Id="rId227" Type="http://schemas.openxmlformats.org/officeDocument/2006/relationships/hyperlink" Target="https://www.planning.vic.gov.au/planning-approvals/ministerial-permits-register/ministerial-permits/3445e501-ef0a-f111-8406-7ced8da0d89a" TargetMode="External"/><Relationship Id="rId269" Type="http://schemas.openxmlformats.org/officeDocument/2006/relationships/hyperlink" Target="https://www.planningportal.nsw.gov.au/major-projects/projects/aldington-road-data-centre" TargetMode="External"/><Relationship Id="rId33" Type="http://schemas.openxmlformats.org/officeDocument/2006/relationships/hyperlink" Target="https://announcements.asx.com.au/asxpdf/20260916/pdf/074490wlf78g7n.pdf" TargetMode="External"/><Relationship Id="rId129" Type="http://schemas.openxmlformats.org/officeDocument/2006/relationships/hyperlink" Target="https://www.planningportal.nsw.gov.au/major-projects/projects/51-huntingwood-drive-data-centre" TargetMode="External"/><Relationship Id="rId280" Type="http://schemas.openxmlformats.org/officeDocument/2006/relationships/hyperlink" Target="https://www.datacenterdynamics.com/en/news/stockland-files-to-develop-250mw-data-center-campus-in-melbourne-australia/" TargetMode="External"/><Relationship Id="rId336" Type="http://schemas.openxmlformats.org/officeDocument/2006/relationships/hyperlink" Target="https://www.planning.vic.gov.au/planning-approvals/ministerial-permits-register/ministerial-permits/fb678cb2-1784-4883-932a-4fdca25a480a" TargetMode="External"/><Relationship Id="rId75" Type="http://schemas.openxmlformats.org/officeDocument/2006/relationships/hyperlink" Target="https://www.linesight.com/projects/supporting-delivery-of-dcis-64mw-syd02-hyperscale-data-centre-in-sydney/" TargetMode="External"/><Relationship Id="rId140" Type="http://schemas.openxmlformats.org/officeDocument/2006/relationships/hyperlink" Target="https://www.theage.com.au/national/victoria/west-footscray-data-centre-bids-to-double-in-size-amid-nightmare-construction-20260324-p5uags.html" TargetMode="External"/><Relationship Id="rId182" Type="http://schemas.openxmlformats.org/officeDocument/2006/relationships/hyperlink" Target="https://www.planning.act.gov.au/applications-and-assessments/development-applications/browse-das/development-application-details?da-number=202645149" TargetMode="External"/><Relationship Id="rId6" Type="http://schemas.openxmlformats.org/officeDocument/2006/relationships/hyperlink" Target="https://www.planningportal.nsw.gov.au/major-projects/projects/talavera-road-data-centre-campus-expansion" TargetMode="External"/><Relationship Id="rId238" Type="http://schemas.openxmlformats.org/officeDocument/2006/relationships/hyperlink" Target="https://www.google.com/maps/search/?api=1&amp;query=-35.213070,147.388950" TargetMode="External"/><Relationship Id="rId291" Type="http://schemas.openxmlformats.org/officeDocument/2006/relationships/hyperlink" Target="https://www.google.com/maps/search/?api=1&amp;query=-33.798462,151.143104" TargetMode="External"/><Relationship Id="rId305" Type="http://schemas.openxmlformats.org/officeDocument/2006/relationships/hyperlink" Target="https://w.media/greensquare-signs-sharon-ai-as-first-customer-for-syd1-data-centre-campus/" TargetMode="External"/><Relationship Id="rId44" Type="http://schemas.openxmlformats.org/officeDocument/2006/relationships/hyperlink" Target="https://www.abc.net.au/news/2026-06-15/firmus-ai-company-tasmania-biggest-power-user-three-sites/106783142" TargetMode="External"/><Relationship Id="rId86" Type="http://schemas.openxmlformats.org/officeDocument/2006/relationships/hyperlink" Target="https://www.aap.com.au/aapreleases/cision20251112ae20247" TargetMode="External"/><Relationship Id="rId151" Type="http://schemas.openxmlformats.org/officeDocument/2006/relationships/hyperlink" Target="https://www.google.com/maps/search/?api=1&amp;query=-37.708865,144.875452" TargetMode="External"/><Relationship Id="rId193" Type="http://schemas.openxmlformats.org/officeDocument/2006/relationships/hyperlink" Target="https://datacenterdynamics.com/en/news/45mw-data-center-proposed-next-to-airtrunk-syd2-site" TargetMode="External"/><Relationship Id="rId207" Type="http://schemas.openxmlformats.org/officeDocument/2006/relationships/hyperlink" Target="https://www.google.com/maps/search/?api=1&amp;query=-35.381400,149.193500" TargetMode="External"/><Relationship Id="rId249" Type="http://schemas.openxmlformats.org/officeDocument/2006/relationships/hyperlink" Target="https://www.planningportal.nsw.gov.au/major-projects/projects/kurri-kurri-data-centre" TargetMode="External"/><Relationship Id="rId13" Type="http://schemas.openxmlformats.org/officeDocument/2006/relationships/hyperlink" Target="https://www.realestatesource.com.au/data-centre-giant-buys-350m-melbourne-site/" TargetMode="External"/><Relationship Id="rId109" Type="http://schemas.openxmlformats.org/officeDocument/2006/relationships/hyperlink" Target="https://epbcpublicportal.environment.gov.au/_entity/sharepointdocumentlocation/5c72ac54-e89c-f111-b8db-70a8a5564bc0/2ab10dab-d681-4911-b881-cc99413f07b6?file=00-2026-10605+Referral.pdf" TargetMode="External"/><Relationship Id="rId260" Type="http://schemas.openxmlformats.org/officeDocument/2006/relationships/hyperlink" Target="https://www.realestatesource.com.au/6b-data-centre-planned-near-geelong/" TargetMode="External"/><Relationship Id="rId316" Type="http://schemas.openxmlformats.org/officeDocument/2006/relationships/hyperlink" Target="https://www.latrobe.tas.gov.au/notice-board/latest-news/proposed-ai-data-centre-wesley-vale" TargetMode="External"/><Relationship Id="rId55" Type="http://schemas.openxmlformats.org/officeDocument/2006/relationships/hyperlink" Target="https://www.planningportal.nsw.gov.au/major-projects/projects/brookhollow-avenue-data-centre-expansion-norwest" TargetMode="External"/><Relationship Id="rId97" Type="http://schemas.openxmlformats.org/officeDocument/2006/relationships/hyperlink" Target="https://investorpa.com/announcement-pdf/20260821/330767.pdf" TargetMode="External"/><Relationship Id="rId120" Type="http://schemas.openxmlformats.org/officeDocument/2006/relationships/hyperlink" Target="https://www.planningportal.nsw.gov.au/major-projects/projects/frederick-street-data-centre" TargetMode="External"/><Relationship Id="rId162" Type="http://schemas.openxmlformats.org/officeDocument/2006/relationships/hyperlink" Target="https://georgetown.tas.gov.au/volumes/documents/Shared/Council-Meetings/2026/08.-August-2026/2026-08-25-Ordinary-Council-Meeting-Confirmed-Minutes-Public-Copy.pdf" TargetMode="External"/><Relationship Id="rId218" Type="http://schemas.openxmlformats.org/officeDocument/2006/relationships/hyperlink" Target="https://www.realestatesource.com.au/mab-wins-long-battle-to-develop-tip-buffer-site/" TargetMode="External"/><Relationship Id="rId271" Type="http://schemas.openxmlformats.org/officeDocument/2006/relationships/hyperlink" Target="https://www.planning.vic.gov.au/planning-approvals/ministerial-permits-register/ministerial-permits/1113a299-b13f-f111-88b4-7c1e5262e60a" TargetMode="External"/><Relationship Id="rId24" Type="http://schemas.openxmlformats.org/officeDocument/2006/relationships/hyperlink" Target="https://www.google.com/maps/search/?api=1&amp;query=-37.947699,145.185765" TargetMode="External"/><Relationship Id="rId66" Type="http://schemas.openxmlformats.org/officeDocument/2006/relationships/hyperlink" Target="https://airtrunk.com/data-centres/mel2/" TargetMode="External"/><Relationship Id="rId131" Type="http://schemas.openxmlformats.org/officeDocument/2006/relationships/hyperlink" Target="https://www.planningportal.nsw.gov.au/major-projects/projects/51-huntingwood-drive-data-centre" TargetMode="External"/><Relationship Id="rId327" Type="http://schemas.openxmlformats.org/officeDocument/2006/relationships/hyperlink" Target="https://www.google.com/maps/search/?api=1&amp;query=-33.908056,151.201257" TargetMode="External"/><Relationship Id="rId173" Type="http://schemas.openxmlformats.org/officeDocument/2006/relationships/hyperlink" Target="https://www.planningportal.nsw.gov.au/major-projects/projects/project-apollo-data-centre-macquarie-park" TargetMode="External"/><Relationship Id="rId229" Type="http://schemas.openxmlformats.org/officeDocument/2006/relationships/hyperlink" Target="https://developmenti.wdrc.qld.gov.au/"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google.com/maps/search/?api=1&amp;query=-33.798630,150.876000" TargetMode="External"/><Relationship Id="rId21" Type="http://schemas.openxmlformats.org/officeDocument/2006/relationships/hyperlink" Target="https://www.planningportal.nsw.gov.au/major-projects/projects/digico-syd1-data-centre-expansion" TargetMode="External"/><Relationship Id="rId42" Type="http://schemas.openxmlformats.org/officeDocument/2006/relationships/hyperlink" Target="https://www.google.com/maps/search/?api=1&amp;query=-34.515334,150.369822" TargetMode="External"/><Relationship Id="rId47" Type="http://schemas.openxmlformats.org/officeDocument/2006/relationships/hyperlink" Target="https://www.planningportal.nsw.gov.au/major-projects/projects/nextdc-s7-data-centre-eastern-creek" TargetMode="External"/><Relationship Id="rId63" Type="http://schemas.openxmlformats.org/officeDocument/2006/relationships/hyperlink" Target="https://www.planningportal.nsw.gov.au/major-projects/projects/nextdc-s4-data-centre-phase-2-horsley-park" TargetMode="External"/><Relationship Id="rId68" Type="http://schemas.openxmlformats.org/officeDocument/2006/relationships/hyperlink" Target="https://www.google.com/maps/search/?api=1&amp;query=-33.786730,151.127880" TargetMode="External"/><Relationship Id="rId2" Type="http://schemas.openxmlformats.org/officeDocument/2006/relationships/hyperlink" Target="https://www.google.com/maps/search/?api=1&amp;query=-33.780730,151.127330" TargetMode="External"/><Relationship Id="rId16" Type="http://schemas.openxmlformats.org/officeDocument/2006/relationships/hyperlink" Target="https://www.google.com/maps/search/?api=1&amp;query=-33.804960,150.886070" TargetMode="External"/><Relationship Id="rId29" Type="http://schemas.openxmlformats.org/officeDocument/2006/relationships/hyperlink" Target="https://www.planningportal.nsw.gov.au/major-projects/projects/project-duke-data-centre" TargetMode="External"/><Relationship Id="rId11" Type="http://schemas.openxmlformats.org/officeDocument/2006/relationships/hyperlink" Target="https://www.planningportal.nsw.gov.au/major-projects/projects/nextdc-s4-data-centre-horsley-park" TargetMode="External"/><Relationship Id="rId24" Type="http://schemas.openxmlformats.org/officeDocument/2006/relationships/hyperlink" Target="https://www.google.com/maps/search/?api=1&amp;query=-33.819090,151.189580" TargetMode="External"/><Relationship Id="rId32" Type="http://schemas.openxmlformats.org/officeDocument/2006/relationships/hyperlink" Target="https://www.google.com/maps/search/?api=1&amp;query=-33.851130,150.955070" TargetMode="External"/><Relationship Id="rId37" Type="http://schemas.openxmlformats.org/officeDocument/2006/relationships/hyperlink" Target="https://www.planningportal.nsw.gov.au/major-projects/projects/grand-avenue-data-centre-expansion-rosehill" TargetMode="External"/><Relationship Id="rId40" Type="http://schemas.openxmlformats.org/officeDocument/2006/relationships/hyperlink" Target="https://www.google.com/maps/search/?api=1&amp;query=-35.381400,149.193500" TargetMode="External"/><Relationship Id="rId45" Type="http://schemas.openxmlformats.org/officeDocument/2006/relationships/hyperlink" Target="https://www.planningportal.nsw.gov.au/major-projects/projects/mamre-road-data-centre-campus" TargetMode="External"/><Relationship Id="rId53" Type="http://schemas.openxmlformats.org/officeDocument/2006/relationships/hyperlink" Target="https://www.planningportal.nsw.gov.au/major-projects/projects/project-atlas-data-centre-eastern-creek" TargetMode="External"/><Relationship Id="rId58" Type="http://schemas.openxmlformats.org/officeDocument/2006/relationships/hyperlink" Target="https://www.google.com/maps/search/?api=1&amp;query=-33.798462,151.143104" TargetMode="External"/><Relationship Id="rId66" Type="http://schemas.openxmlformats.org/officeDocument/2006/relationships/hyperlink" Target="https://www.google.com/maps/search/?api=1&amp;query=-33.732527,150.968022" TargetMode="External"/><Relationship Id="rId74" Type="http://schemas.openxmlformats.org/officeDocument/2006/relationships/comments" Target="../comments2.xml"/><Relationship Id="rId5" Type="http://schemas.openxmlformats.org/officeDocument/2006/relationships/hyperlink" Target="https://w.media/next-capital-agrees-to-acquire-fujitsus-australian-data-centre-business/" TargetMode="External"/><Relationship Id="rId61" Type="http://schemas.openxmlformats.org/officeDocument/2006/relationships/hyperlink" Target="https://www.planningportal.nsw.gov.au/major-projects/projects/mars-road-data-centre" TargetMode="External"/><Relationship Id="rId19" Type="http://schemas.openxmlformats.org/officeDocument/2006/relationships/hyperlink" Target="https://www.planningportal.nsw.gov.au/major-projects/projects/1-5-khartoum-road-data-centre" TargetMode="External"/><Relationship Id="rId14" Type="http://schemas.openxmlformats.org/officeDocument/2006/relationships/hyperlink" Target="https://www.google.com/maps/search/?api=1&amp;query=-33.818440,151.190040" TargetMode="External"/><Relationship Id="rId22" Type="http://schemas.openxmlformats.org/officeDocument/2006/relationships/hyperlink" Target="https://www.google.com/maps/search/?api=1&amp;query=-33.875000,151.197000" TargetMode="External"/><Relationship Id="rId27" Type="http://schemas.openxmlformats.org/officeDocument/2006/relationships/hyperlink" Target="https://www.planningportal.nsw.gov.au/major-projects/projects/project-apollo-data-centre-macquarie-park" TargetMode="External"/><Relationship Id="rId30" Type="http://schemas.openxmlformats.org/officeDocument/2006/relationships/hyperlink" Target="https://www.google.com/maps/search/?api=1&amp;query=-33.920850,151.183840" TargetMode="External"/><Relationship Id="rId35" Type="http://schemas.openxmlformats.org/officeDocument/2006/relationships/hyperlink" Target="https://www.planningportal.nsw.gov.au/major-projects/projects/road-1-data-centre" TargetMode="External"/><Relationship Id="rId43" Type="http://schemas.openxmlformats.org/officeDocument/2006/relationships/hyperlink" Target="https://www.planningportal.nsw.gov.au/major-projects/projects/ashfords-road-data-centre-gregadoo" TargetMode="External"/><Relationship Id="rId48" Type="http://schemas.openxmlformats.org/officeDocument/2006/relationships/hyperlink" Target="https://www.google.com/maps/search/?api=1&amp;query=-33.801800,150.825600" TargetMode="External"/><Relationship Id="rId56" Type="http://schemas.openxmlformats.org/officeDocument/2006/relationships/hyperlink" Target="https://www.google.com/maps/search/?api=1&amp;query=-33.844332,150.798912" TargetMode="External"/><Relationship Id="rId64" Type="http://schemas.openxmlformats.org/officeDocument/2006/relationships/hyperlink" Target="https://www.google.com/maps/search/?api=1&amp;query=-33.831380,150.826220" TargetMode="External"/><Relationship Id="rId69" Type="http://schemas.openxmlformats.org/officeDocument/2006/relationships/hyperlink" Target="https://www.planningportal.nsw.gov.au/major-projects/projects/23-25-waterloo-road-data-centre" TargetMode="External"/><Relationship Id="rId8" Type="http://schemas.openxmlformats.org/officeDocument/2006/relationships/hyperlink" Target="https://www.google.com/maps/search/?api=1&amp;query=-33.732527,150.968022" TargetMode="External"/><Relationship Id="rId51" Type="http://schemas.openxmlformats.org/officeDocument/2006/relationships/hyperlink" Target="https://www.planningportal.nsw.gov.au/major-projects/projects/stack-syd01-data-centre-erskine-park" TargetMode="External"/><Relationship Id="rId72" Type="http://schemas.openxmlformats.org/officeDocument/2006/relationships/hyperlink" Target="https://www.google.com/maps/search/?api=1&amp;query=-33.908056,151.201257" TargetMode="External"/><Relationship Id="rId3" Type="http://schemas.openxmlformats.org/officeDocument/2006/relationships/hyperlink" Target="https://www.planningportal.nsw.gov.au/major-projects/projects/southern-highlands-data-campus-power-station" TargetMode="External"/><Relationship Id="rId12" Type="http://schemas.openxmlformats.org/officeDocument/2006/relationships/hyperlink" Target="https://www.google.com/maps/search/?api=1&amp;query=-33.827840,150.824570" TargetMode="External"/><Relationship Id="rId17" Type="http://schemas.openxmlformats.org/officeDocument/2006/relationships/hyperlink" Target="https://www.planningportal.nsw.gov.au/planning-panel/data-centre" TargetMode="External"/><Relationship Id="rId25" Type="http://schemas.openxmlformats.org/officeDocument/2006/relationships/hyperlink" Target="https://www.planningportal.nsw.gov.au/major-projects/projects/51-huntingwood-drive-data-centre" TargetMode="External"/><Relationship Id="rId33" Type="http://schemas.openxmlformats.org/officeDocument/2006/relationships/hyperlink" Target="https://www.planningportal.nsw.gov.au/major-projects/projects/apollo-place-data-centre" TargetMode="External"/><Relationship Id="rId38" Type="http://schemas.openxmlformats.org/officeDocument/2006/relationships/hyperlink" Target="https://www.google.com/maps/search/?api=1&amp;query=-33.823588,151.033552" TargetMode="External"/><Relationship Id="rId46" Type="http://schemas.openxmlformats.org/officeDocument/2006/relationships/hyperlink" Target="https://www.google.com/maps/search/?api=1&amp;query=-33.833790,150.784830" TargetMode="External"/><Relationship Id="rId59" Type="http://schemas.openxmlformats.org/officeDocument/2006/relationships/hyperlink" Target="https://www.planningportal.nsw.gov.au/major-projects/projects/kc1-data-centre-kemps-creek" TargetMode="External"/><Relationship Id="rId67" Type="http://schemas.openxmlformats.org/officeDocument/2006/relationships/hyperlink" Target="https://www.planningportal.nsw.gov.au/major-projects/projects/nextdc-s5-data-centre-and-innovation-hub" TargetMode="External"/><Relationship Id="rId20" Type="http://schemas.openxmlformats.org/officeDocument/2006/relationships/hyperlink" Target="https://www.google.com/maps/search/?api=1&amp;query=-33.779230,151.124900" TargetMode="External"/><Relationship Id="rId41" Type="http://schemas.openxmlformats.org/officeDocument/2006/relationships/hyperlink" Target="https://www.planningportal.nsw.gov.au/major-projects/projects/southern-highlands-data-campus-power-station" TargetMode="External"/><Relationship Id="rId54" Type="http://schemas.openxmlformats.org/officeDocument/2006/relationships/hyperlink" Target="https://www.google.com/maps/search/?api=1&amp;query=-33.817380,150.836900" TargetMode="External"/><Relationship Id="rId62" Type="http://schemas.openxmlformats.org/officeDocument/2006/relationships/hyperlink" Target="https://www.google.com/maps/search/?api=1&amp;query=-33.808620,151.145800" TargetMode="External"/><Relationship Id="rId70" Type="http://schemas.openxmlformats.org/officeDocument/2006/relationships/hyperlink" Target="https://www.google.com/maps/search/?api=1&amp;query=-33.786750,151.131860" TargetMode="External"/><Relationship Id="rId1" Type="http://schemas.openxmlformats.org/officeDocument/2006/relationships/hyperlink" Target="https://www.planningportal.nsw.gov.au/major-projects/projects/talavera-road-data-centre-campus-expansion" TargetMode="External"/><Relationship Id="rId6" Type="http://schemas.openxmlformats.org/officeDocument/2006/relationships/hyperlink" Target="https://www.google.com/maps/search/?api=1&amp;query=-33.821900,150.923800" TargetMode="External"/><Relationship Id="rId15" Type="http://schemas.openxmlformats.org/officeDocument/2006/relationships/hyperlink" Target="https://www.planningportal.nsw.gov.au/major-projects/projects/eastern-creek-data-centre-expansion-project" TargetMode="External"/><Relationship Id="rId23" Type="http://schemas.openxmlformats.org/officeDocument/2006/relationships/hyperlink" Target="https://www.planningportal.nsw.gov.au/major-projects/projects/frederick-street-data-centre" TargetMode="External"/><Relationship Id="rId28" Type="http://schemas.openxmlformats.org/officeDocument/2006/relationships/hyperlink" Target="https://www.google.com/maps/search/?api=1&amp;query=-33.781280,151.130670" TargetMode="External"/><Relationship Id="rId36" Type="http://schemas.openxmlformats.org/officeDocument/2006/relationships/hyperlink" Target="https://www.google.com/maps/search/?api=1&amp;query=-33.781000,151.123000" TargetMode="External"/><Relationship Id="rId49" Type="http://schemas.openxmlformats.org/officeDocument/2006/relationships/hyperlink" Target="https://www.planningportal.nsw.gov.au/major-projects/projects/kurri-kurri-data-centre" TargetMode="External"/><Relationship Id="rId57" Type="http://schemas.openxmlformats.org/officeDocument/2006/relationships/hyperlink" Target="https://www.planningportal.nsw.gov.au/major-projects/projects/julius-avenue-data-centre" TargetMode="External"/><Relationship Id="rId10" Type="http://schemas.openxmlformats.org/officeDocument/2006/relationships/hyperlink" Target="https://www.google.com/maps/search/?api=1&amp;query=-33.722607,150.836328" TargetMode="External"/><Relationship Id="rId31" Type="http://schemas.openxmlformats.org/officeDocument/2006/relationships/hyperlink" Target="https://www.planningportal.nsw.gov.au/major-projects/projects/project-pluto-data-centre" TargetMode="External"/><Relationship Id="rId44" Type="http://schemas.openxmlformats.org/officeDocument/2006/relationships/hyperlink" Target="https://www.google.com/maps/search/?api=1&amp;query=-35.213070,147.388950" TargetMode="External"/><Relationship Id="rId52" Type="http://schemas.openxmlformats.org/officeDocument/2006/relationships/hyperlink" Target="https://www.google.com/maps/search/?api=1&amp;query=-33.815188,150.811826" TargetMode="External"/><Relationship Id="rId60" Type="http://schemas.openxmlformats.org/officeDocument/2006/relationships/hyperlink" Target="https://www.google.com/maps/search/?api=1&amp;query=-33.847750,150.782150" TargetMode="External"/><Relationship Id="rId65" Type="http://schemas.openxmlformats.org/officeDocument/2006/relationships/hyperlink" Target="https://www.planningportal.nsw.gov.au/major-projects/projects/brookhollow-avenue-data-centre-expansion-norwest" TargetMode="External"/><Relationship Id="rId73" Type="http://schemas.openxmlformats.org/officeDocument/2006/relationships/vmlDrawing" Target="../drawings/vmlDrawing2.vml"/><Relationship Id="rId4" Type="http://schemas.openxmlformats.org/officeDocument/2006/relationships/hyperlink" Target="https://www.google.com/maps/search/?api=1&amp;query=-34.515334,150.369822" TargetMode="External"/><Relationship Id="rId9" Type="http://schemas.openxmlformats.org/officeDocument/2006/relationships/hyperlink" Target="https://www.planningportal.nsw.gov.au/major-projects/projects/marsden-park-data-centre" TargetMode="External"/><Relationship Id="rId13" Type="http://schemas.openxmlformats.org/officeDocument/2006/relationships/hyperlink" Target="https://www.planningportal.nsw.gov.au/major-projects/projects/lanceley-place-data-centre-artarmon" TargetMode="External"/><Relationship Id="rId18" Type="http://schemas.openxmlformats.org/officeDocument/2006/relationships/hyperlink" Target="https://www.google.com/maps/search/?api=1&amp;query=-33.786673,150.827222" TargetMode="External"/><Relationship Id="rId39" Type="http://schemas.openxmlformats.org/officeDocument/2006/relationships/hyperlink" Target="https://www.planningportal.nsw.gov.au/major-projects/projects/dci-poplars-data-centre-project-0" TargetMode="External"/><Relationship Id="rId34" Type="http://schemas.openxmlformats.org/officeDocument/2006/relationships/hyperlink" Target="https://www.google.com/maps/search/?api=1&amp;query=-33.808530,151.145290" TargetMode="External"/><Relationship Id="rId50" Type="http://schemas.openxmlformats.org/officeDocument/2006/relationships/hyperlink" Target="https://www.google.com/maps/search/?api=1&amp;query=-32.790800,151.479340" TargetMode="External"/><Relationship Id="rId55" Type="http://schemas.openxmlformats.org/officeDocument/2006/relationships/hyperlink" Target="https://www.planningportal.nsw.gov.au/major-projects/projects/aldington-road-data-centre" TargetMode="External"/><Relationship Id="rId7" Type="http://schemas.openxmlformats.org/officeDocument/2006/relationships/hyperlink" Target="https://www.planningportal.nsw.gov.au/major-projects/projects/brookhollow-avenue-data-centre-expansion-norwest" TargetMode="External"/><Relationship Id="rId71" Type="http://schemas.openxmlformats.org/officeDocument/2006/relationships/hyperlink" Target="https://www.planningportal.nsw.gov.au/major-projects/projects/22-oriordan-street-alexandria-data-centre"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planning.vic.gov.au/planning-approvals/ministerial-permits-register/ministerial-permits/1ea17bd8-75be-ef11-b8e8-002248938a9c" TargetMode="External"/><Relationship Id="rId18" Type="http://schemas.openxmlformats.org/officeDocument/2006/relationships/hyperlink" Target="https://www.google.com/maps/search/?api=1&amp;query=-37.643497,145.081297" TargetMode="External"/><Relationship Id="rId26" Type="http://schemas.openxmlformats.org/officeDocument/2006/relationships/hyperlink" Target="https://www.google.com/maps/search/?api=1&amp;query=-37.834266,144.913479" TargetMode="External"/><Relationship Id="rId39" Type="http://schemas.openxmlformats.org/officeDocument/2006/relationships/hyperlink" Target="https://casey-web.t1cloud.com/T1PRDefault/WebApps/eProperty/P1/eTrack/eTrackApplicationDetails.aspx?r=P1.WEBGUEST&amp;f=%24P1.ETR.APPDET.VIW&amp;ApplicationId=PA26-0190" TargetMode="External"/><Relationship Id="rId21" Type="http://schemas.openxmlformats.org/officeDocument/2006/relationships/hyperlink" Target="https://www.planningalerts.org.au/applications/3206534" TargetMode="External"/><Relationship Id="rId34" Type="http://schemas.openxmlformats.org/officeDocument/2006/relationships/hyperlink" Target="https://www.google.com/maps/search/?api=1&amp;query=-37.681718,144.873969" TargetMode="External"/><Relationship Id="rId42" Type="http://schemas.openxmlformats.org/officeDocument/2006/relationships/hyperlink" Target="https://www.google.com/maps/search/?api=1&amp;query=-38.035045,144.291004" TargetMode="External"/><Relationship Id="rId47" Type="http://schemas.openxmlformats.org/officeDocument/2006/relationships/hyperlink" Target="https://www.planning.vic.gov.au/planning-approvals/ministerial-permits-register/ministerial-permits/e46a98dc-8d47-f111-bec6-7c1e5262e60a" TargetMode="External"/><Relationship Id="rId50" Type="http://schemas.openxmlformats.org/officeDocument/2006/relationships/hyperlink" Target="https://www.google.com/maps/search/?api=1&amp;query=-37.827974,144.889532" TargetMode="External"/><Relationship Id="rId55" Type="http://schemas.openxmlformats.org/officeDocument/2006/relationships/hyperlink" Target="https://www.planning.vic.gov.au/planning-approvals/ministerial-permits-register/ministerial-permits/fb678cb2-1784-4883-932a-4fdca25a480a" TargetMode="External"/><Relationship Id="rId7" Type="http://schemas.openxmlformats.org/officeDocument/2006/relationships/hyperlink" Target="https://planningalerts.org.au/applications/3442743" TargetMode="External"/><Relationship Id="rId2" Type="http://schemas.openxmlformats.org/officeDocument/2006/relationships/hyperlink" Target="https://www.google.com/maps/search/?api=1&amp;query=-37.816670,144.846412" TargetMode="External"/><Relationship Id="rId16" Type="http://schemas.openxmlformats.org/officeDocument/2006/relationships/hyperlink" Target="https://www.google.com/maps/search/?api=1&amp;query=-37.650911,145.082355" TargetMode="External"/><Relationship Id="rId29" Type="http://schemas.openxmlformats.org/officeDocument/2006/relationships/hyperlink" Target="https://www.planning.vic.gov.au/planning-approvals/ministerial-permits-register/ministerial-permits/62cc5b40-f5b5-f011-bbd2-7ced8d337ed8" TargetMode="External"/><Relationship Id="rId11" Type="http://schemas.openxmlformats.org/officeDocument/2006/relationships/hyperlink" Target="https://records.brimbank.vic.gov.au/ExternalLinkAPI/api/document/?docKey=UHZYRmNFYWVDaUN0clNmekJwVXhMUExwUGpQcFE0VVFXVnp1NkdSYlZpc0lsS2NCZlVOWUxOVXBncy9DSUhHZg2" TargetMode="External"/><Relationship Id="rId24" Type="http://schemas.openxmlformats.org/officeDocument/2006/relationships/hyperlink" Target="https://www.google.com/maps/search/?api=1&amp;query=-37.803512,144.865483" TargetMode="External"/><Relationship Id="rId32" Type="http://schemas.openxmlformats.org/officeDocument/2006/relationships/hyperlink" Target="https://www.google.com/maps/search/?api=1&amp;query=-37.776084,144.677731" TargetMode="External"/><Relationship Id="rId37" Type="http://schemas.openxmlformats.org/officeDocument/2006/relationships/hyperlink" Target="https://www.planning.vic.gov.au/planning-approvals/ministerial-permits-register/ministerial-permits/3445e501-ef0a-f111-8406-7ced8da0d89a" TargetMode="External"/><Relationship Id="rId40" Type="http://schemas.openxmlformats.org/officeDocument/2006/relationships/hyperlink" Target="https://www.google.com/maps/search/?api=1&amp;query=-38.092843,145.327908" TargetMode="External"/><Relationship Id="rId45" Type="http://schemas.openxmlformats.org/officeDocument/2006/relationships/hyperlink" Target="https://www.planning.vic.gov.au/planning-approvals/ministerial-permits-register/ministerial-permits/14c42f63-3f54-f111-bec6-6045bdc28ba0" TargetMode="External"/><Relationship Id="rId53" Type="http://schemas.openxmlformats.org/officeDocument/2006/relationships/hyperlink" Target="https://ehume.hume.vic.gov.au/T1PRProd/WebApps/eProperty/P1/eTrack/eTrackApplicationDetails.aspx?ApplicationId=P26624&amp;f=%24P1.ETR.APPDET.VIW&amp;r=P1.HCC.WEBGUEST" TargetMode="External"/><Relationship Id="rId58" Type="http://schemas.openxmlformats.org/officeDocument/2006/relationships/hyperlink" Target="https://www.google.com/maps/search/?api=1&amp;query=-37.803300,144.862279" TargetMode="External"/><Relationship Id="rId5" Type="http://schemas.openxmlformats.org/officeDocument/2006/relationships/hyperlink" Target="https://nextcapital.com.au/next-capital-buys-fujitsu-australian-data-centres/" TargetMode="External"/><Relationship Id="rId19" Type="http://schemas.openxmlformats.org/officeDocument/2006/relationships/hyperlink" Target="https://www.planning.vic.gov.au/planning-approvals/ministerial-permits-register/ministerial-permits/fdc8d827-6b74-f111-ab0f-7c1e522a8afb" TargetMode="External"/><Relationship Id="rId4" Type="http://schemas.openxmlformats.org/officeDocument/2006/relationships/hyperlink" Target="https://www.google.com/maps/search/?api=1&amp;query=-37.801761,144.775573" TargetMode="External"/><Relationship Id="rId9" Type="http://schemas.openxmlformats.org/officeDocument/2006/relationships/hyperlink" Target="https://www.stackinfra.com/locations/asia-pacific/melbourne/mel01/" TargetMode="External"/><Relationship Id="rId14" Type="http://schemas.openxmlformats.org/officeDocument/2006/relationships/hyperlink" Target="https://www.google.com/maps/search/?api=1&amp;query=-37.706813,144.861809" TargetMode="External"/><Relationship Id="rId22" Type="http://schemas.openxmlformats.org/officeDocument/2006/relationships/hyperlink" Target="https://www.google.com/maps/search/?api=1&amp;query=-37.841092,144.765912" TargetMode="External"/><Relationship Id="rId27" Type="http://schemas.openxmlformats.org/officeDocument/2006/relationships/hyperlink" Target="https://records.brimbank.vic.gov.au/ExternalLinkAPI/api/document/?docKey=UHZYRmNFYWVDaUN0clNmekJwVXhMUExwUGpQcFE0VVFXVnp1NkdSYlZpc0lsS2NCZlVOWUxOVXBncy9DSUhHZg2" TargetMode="External"/><Relationship Id="rId30" Type="http://schemas.openxmlformats.org/officeDocument/2006/relationships/hyperlink" Target="https://www.google.com/maps/search/?api=1&amp;query=-37.839970,144.758414" TargetMode="External"/><Relationship Id="rId35" Type="http://schemas.openxmlformats.org/officeDocument/2006/relationships/hyperlink" Target="https://www.planning.vic.gov.au/planning-approvals/ministerial-permits-register/ministerial-permits/fcb0d877-0b98-ef11-8a68-002248938a9c" TargetMode="External"/><Relationship Id="rId43" Type="http://schemas.openxmlformats.org/officeDocument/2006/relationships/hyperlink" Target="https://www.planning.vic.gov.au/planning-approvals/ministerial-permits-register/ministerial-permits/1113a299-b13f-f111-88b4-7c1e5262e60a" TargetMode="External"/><Relationship Id="rId48" Type="http://schemas.openxmlformats.org/officeDocument/2006/relationships/hyperlink" Target="https://www.google.com/maps/search/?api=1&amp;query=-37.835414,144.796396" TargetMode="External"/><Relationship Id="rId56" Type="http://schemas.openxmlformats.org/officeDocument/2006/relationships/hyperlink" Target="https://www.google.com/maps/search/?api=1&amp;query=-37.539906,144.939296" TargetMode="External"/><Relationship Id="rId8" Type="http://schemas.openxmlformats.org/officeDocument/2006/relationships/hyperlink" Target="https://www.google.com/maps/search/?api=1&amp;query=-37.817386,144.749403" TargetMode="External"/><Relationship Id="rId51" Type="http://schemas.openxmlformats.org/officeDocument/2006/relationships/hyperlink" Target="https://www.datacenterdynamics.com/en/news/centuria-plans-40mw-data-center-in-melbourne-australia/" TargetMode="External"/><Relationship Id="rId3" Type="http://schemas.openxmlformats.org/officeDocument/2006/relationships/hyperlink" Target="https://records.brimbank.vic.gov.au/ExternalLinkAPI/api/document/?docKey=UHZYRmNFYWVDaUN0clNmekJwVXhMUExwUGpQcFE0VVFXVnp1NkdSYlZpc0lsS2NCZlVOWUxOVXBncy9DSUhHZg2" TargetMode="External"/><Relationship Id="rId12" Type="http://schemas.openxmlformats.org/officeDocument/2006/relationships/hyperlink" Target="https://www.google.com/maps/search/?api=1&amp;query=-37.708180,144.871899" TargetMode="External"/><Relationship Id="rId17" Type="http://schemas.openxmlformats.org/officeDocument/2006/relationships/hyperlink" Target="https://www.planning.vic.gov.au/planning-approvals/ministerial-permits-register/ministerial-permits/4b779b5c-ef96-f111-8075-7ced8d33fb5a" TargetMode="External"/><Relationship Id="rId25" Type="http://schemas.openxmlformats.org/officeDocument/2006/relationships/hyperlink" Target="https://www.planning.vic.gov.au/planning-approvals/ministerial-permits-register/ministerial-permits/76685df6-baaf-f011-bbd2-6045bdc32df2" TargetMode="External"/><Relationship Id="rId33" Type="http://schemas.openxmlformats.org/officeDocument/2006/relationships/hyperlink" Target="https://www.planning.vic.gov.au/planning-approvals/ministerial-permits-register/ministerial-permits/6bac05e8-144c-404a-b7b2-b9e5445cb849" TargetMode="External"/><Relationship Id="rId38" Type="http://schemas.openxmlformats.org/officeDocument/2006/relationships/hyperlink" Target="https://www.google.com/maps/search/?api=1&amp;query=-37.802318,144.671661" TargetMode="External"/><Relationship Id="rId46" Type="http://schemas.openxmlformats.org/officeDocument/2006/relationships/hyperlink" Target="https://www.google.com/maps/search/?api=1&amp;query=-37.819053,144.852884" TargetMode="External"/><Relationship Id="rId59" Type="http://schemas.openxmlformats.org/officeDocument/2006/relationships/vmlDrawing" Target="../drawings/vmlDrawing3.vml"/><Relationship Id="rId20" Type="http://schemas.openxmlformats.org/officeDocument/2006/relationships/hyperlink" Target="https://www.google.com/maps/search/?api=1&amp;query=-37.771667,144.675518" TargetMode="External"/><Relationship Id="rId41" Type="http://schemas.openxmlformats.org/officeDocument/2006/relationships/hyperlink" Target="https://www.planning.vic.gov.au/planning-approvals/ministerial-permits-register/ministerial-permits/8acfef7f-1ab6-f111-aaac-000d3acbdfba" TargetMode="External"/><Relationship Id="rId54" Type="http://schemas.openxmlformats.org/officeDocument/2006/relationships/hyperlink" Target="https://www.google.com/maps/search/?api=1&amp;query=-37.578531,144.946126" TargetMode="External"/><Relationship Id="rId1" Type="http://schemas.openxmlformats.org/officeDocument/2006/relationships/hyperlink" Target="https://djsir.vic.gov.au/news-and-articles/cdcs-data-centres-fueling-jobs-and-growth-in-the-west" TargetMode="External"/><Relationship Id="rId6" Type="http://schemas.openxmlformats.org/officeDocument/2006/relationships/hyperlink" Target="https://www.google.com/maps/search/?api=1&amp;query=-37.947699,145.185765" TargetMode="External"/><Relationship Id="rId15" Type="http://schemas.openxmlformats.org/officeDocument/2006/relationships/hyperlink" Target="https://www.planning.vic.gov.au/planning-approvals/ministerial-permits-register/ministerial-permits/1b31ed89-8d2e-ef11-840a-000d3acb3ea1" TargetMode="External"/><Relationship Id="rId23" Type="http://schemas.openxmlformats.org/officeDocument/2006/relationships/hyperlink" Target="https://www.planning.vic.gov.au/planning-approvals/ministerial-permits-register/ministerial-permits/ef7039bf-cd0b-f111-8407-7c1e5262e60a" TargetMode="External"/><Relationship Id="rId28" Type="http://schemas.openxmlformats.org/officeDocument/2006/relationships/hyperlink" Target="https://www.google.com/maps/search/?api=1&amp;query=-37.708865,144.875452" TargetMode="External"/><Relationship Id="rId36" Type="http://schemas.openxmlformats.org/officeDocument/2006/relationships/hyperlink" Target="https://www.google.com/maps/search/?api=1&amp;query=-37.801296,144.869798" TargetMode="External"/><Relationship Id="rId49" Type="http://schemas.openxmlformats.org/officeDocument/2006/relationships/hyperlink" Target="https://www.planning.vic.gov.au/planning-approvals/ministerial-permits-register/ministerial-permits/aae82a26-d98b-f111-ab0f-6045bde5e09b" TargetMode="External"/><Relationship Id="rId57" Type="http://schemas.openxmlformats.org/officeDocument/2006/relationships/hyperlink" Target="https://www.planning.vic.gov.au/planning-approvals/ministerial-permits-register/ministerial-permits/ef7039bf-cd0b-f111-8407-7c1e5262e60a" TargetMode="External"/><Relationship Id="rId10" Type="http://schemas.openxmlformats.org/officeDocument/2006/relationships/hyperlink" Target="https://www.google.com/maps/search/?api=1&amp;query=-37.819933,144.747642" TargetMode="External"/><Relationship Id="rId31" Type="http://schemas.openxmlformats.org/officeDocument/2006/relationships/hyperlink" Target="https://www.planning.vic.gov.au/planning-approvals/ministerial-permits-register/ministerial-permits/5615befd-9bb3-f011-bbd2-7ced8d337ed8" TargetMode="External"/><Relationship Id="rId44" Type="http://schemas.openxmlformats.org/officeDocument/2006/relationships/hyperlink" Target="https://www.google.com/maps/search/?api=1&amp;query=-37.663162,144.950978" TargetMode="External"/><Relationship Id="rId52" Type="http://schemas.openxmlformats.org/officeDocument/2006/relationships/hyperlink" Target="https://www.google.com/maps/search/?api=1&amp;query=-37.920755,145.131939" TargetMode="External"/><Relationship Id="rId60" Type="http://schemas.openxmlformats.org/officeDocument/2006/relationships/comments" Target="../comments3.xml"/></Relationships>
</file>

<file path=xl/worksheets/_rels/sheet6.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https://developmenti.wdrc.qld.gov.au/" TargetMode="External"/><Relationship Id="rId7" Type="http://schemas.openxmlformats.org/officeDocument/2006/relationships/vmlDrawing" Target="../drawings/vmlDrawing4.vml"/><Relationship Id="rId2" Type="http://schemas.openxmlformats.org/officeDocument/2006/relationships/hyperlink" Target="https://www.google.com/maps/search/?api=1&amp;query=-27.318286,152.992563" TargetMode="External"/><Relationship Id="rId1" Type="http://schemas.openxmlformats.org/officeDocument/2006/relationships/hyperlink" Target="https://statements.qld.gov.au/statements/95682" TargetMode="External"/><Relationship Id="rId6" Type="http://schemas.openxmlformats.org/officeDocument/2006/relationships/hyperlink" Target="https://www.google.com/maps/search/?api=1&amp;query=-27.661274,152.824122" TargetMode="External"/><Relationship Id="rId5" Type="http://schemas.openxmlformats.org/officeDocument/2006/relationships/hyperlink" Target="https://www.theurbandeveloper.com/articles/swanbank-data-centre-proposal-ipswich-tallest-building-qld" TargetMode="External"/><Relationship Id="rId4" Type="http://schemas.openxmlformats.org/officeDocument/2006/relationships/hyperlink" Target="https://www.google.com/maps/search/?api=1&amp;query=-27.080833,150.923741"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planning.wa.gov.au/docs/default-source/daps-docs-other/current-applications.pdf" TargetMode="External"/><Relationship Id="rId2" Type="http://schemas.openxmlformats.org/officeDocument/2006/relationships/hyperlink" Target="https://www.google.com/maps/search/?api=1&amp;query=-32.030017,115.999526" TargetMode="External"/><Relationship Id="rId1" Type="http://schemas.openxmlformats.org/officeDocument/2006/relationships/hyperlink" Target="https://announcements.asx.com.au/asxpdf/20260916/pdf/074490wlf78g7n.pdf" TargetMode="External"/><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hyperlink" Target="https://www.google.com/maps/search/?api=1&amp;query=-31.901389,115.993605" TargetMode="External"/></Relationships>
</file>

<file path=xl/worksheets/_rels/sheet8.xml.rels><?xml version="1.0" encoding="UTF-8" standalone="yes"?>
<Relationships xmlns="http://schemas.openxmlformats.org/package/2006/relationships"><Relationship Id="rId8" Type="http://schemas.openxmlformats.org/officeDocument/2006/relationships/comments" Target="../comments6.xml"/><Relationship Id="rId3" Type="http://schemas.openxmlformats.org/officeDocument/2006/relationships/hyperlink" Target="https://epbcpublicportal.environment.gov.au/_entity/sharepointdocumentlocation/5c72ac54-e89c-f111-b8db-70a8a5564bc0/2ab10dab-d681-4911-b881-cc99413f07b6?file=00-2026-10605+Referral.pdf" TargetMode="External"/><Relationship Id="rId7" Type="http://schemas.openxmlformats.org/officeDocument/2006/relationships/vmlDrawing" Target="../drawings/vmlDrawing6.vml"/><Relationship Id="rId2" Type="http://schemas.openxmlformats.org/officeDocument/2006/relationships/hyperlink" Target="https://www.google.com/maps/search/?api=1&amp;query=-34.740409,138.644023" TargetMode="External"/><Relationship Id="rId1" Type="http://schemas.openxmlformats.org/officeDocument/2006/relationships/hyperlink" Target="https://www.defencesa.com/industry/industry-directory/yourdc-pty-ltd" TargetMode="External"/><Relationship Id="rId6" Type="http://schemas.openxmlformats.org/officeDocument/2006/relationships/hyperlink" Target="https://www.google.com/maps/search/?api=1&amp;query=-34.810480,138.611179" TargetMode="External"/><Relationship Id="rId5" Type="http://schemas.openxmlformats.org/officeDocument/2006/relationships/hyperlink" Target="https://dcidatacenters.com/locations/" TargetMode="External"/><Relationship Id="rId4" Type="http://schemas.openxmlformats.org/officeDocument/2006/relationships/hyperlink" Target="https://www.google.com/maps/search/?api=1&amp;query=-33.894037,139.233044"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planning.act.gov.au/applications-and-assessments/development-applications/browse-das/development-application-details?da-number=202645149" TargetMode="External"/><Relationship Id="rId2" Type="http://schemas.openxmlformats.org/officeDocument/2006/relationships/hyperlink" Target="https://www.google.com/maps/search/?api=1&amp;query=-35.397070,149.163930" TargetMode="External"/><Relationship Id="rId1" Type="http://schemas.openxmlformats.org/officeDocument/2006/relationships/hyperlink" Target="https://www.planning.act.gov.au/applications-and-assessments/development-applications/browse-das/development-application-details?da-number=202443633&amp;amendment-version=" TargetMode="External"/><Relationship Id="rId6" Type="http://schemas.openxmlformats.org/officeDocument/2006/relationships/comments" Target="../comments7.xml"/><Relationship Id="rId5" Type="http://schemas.openxmlformats.org/officeDocument/2006/relationships/vmlDrawing" Target="../drawings/vmlDrawing7.vml"/><Relationship Id="rId4" Type="http://schemas.openxmlformats.org/officeDocument/2006/relationships/hyperlink" Target="https://www.google.com/maps/search/?api=1&amp;query=-35.340385,149.209168" TargetMode="External"/></Relationships>
</file>

<file path=xl/worksheets/_rels/sheet10.xml.rels><?xml version="1.0" encoding="UTF-8" standalone="yes"?>
<Relationships xmlns="http://schemas.openxmlformats.org/package/2006/relationships"><Relationship Id="rId8" Type="http://schemas.openxmlformats.org/officeDocument/2006/relationships/comments" Target="../comments8.xml"/><Relationship Id="rId3" Type="http://schemas.openxmlformats.org/officeDocument/2006/relationships/hyperlink" Target="https://georgetown.tas.gov.au/volumes/documents/Shared/Council-Meetings/2026/08.-August-2026/2026-08-25-Ordinary-Council-Meeting-Confirmed-Minutes-Public-Copy.pdf" TargetMode="External"/><Relationship Id="rId7" Type="http://schemas.openxmlformats.org/officeDocument/2006/relationships/vmlDrawing" Target="../drawings/vmlDrawing8.vml"/><Relationship Id="rId2" Type="http://schemas.openxmlformats.org/officeDocument/2006/relationships/hyperlink" Target="https://www.google.com/maps/search/?api=1&amp;query=-41.441718,147.176717" TargetMode="External"/><Relationship Id="rId1" Type="http://schemas.openxmlformats.org/officeDocument/2006/relationships/hyperlink" Target="https://parliament.tas.gov.au/__data/assets/pdf_file/0012/110730/2026-08-13-ProfRazay.pdf" TargetMode="External"/><Relationship Id="rId6" Type="http://schemas.openxmlformats.org/officeDocument/2006/relationships/hyperlink" Target="https://www.google.com/maps/search/?api=1&amp;query=-41.176859,146.449264" TargetMode="External"/><Relationship Id="rId5" Type="http://schemas.openxmlformats.org/officeDocument/2006/relationships/hyperlink" Target="https://www.latrobe.tas.gov.au/notice-board/latest-news/proposed-ai-data-centre-wesley-vale" TargetMode="External"/><Relationship Id="rId4" Type="http://schemas.openxmlformats.org/officeDocument/2006/relationships/hyperlink" Target="https://www.google.com/maps/search/?api=1&amp;query=-41.156064,146.926586" TargetMode="Externa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hyperlink" Target="https://www.google.com/maps/search/?api=1&amp;query=-17.561217,133.557187" TargetMode="External"/><Relationship Id="rId1" Type="http://schemas.openxmlformats.org/officeDocument/2006/relationships/hyperlink" Target="https://epbcpublicportal.environment.gov.au/all-referrals/project-referral-summary/?id=f4f8aae0-956b-f111-ab0b-000d3aca9bcb" TargetMode="External"/><Relationship Id="rId4"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26" Type="http://schemas.openxmlformats.org/officeDocument/2006/relationships/hyperlink" Target="https://www.planning.wa.gov.au/docs/default-source/daps-docs-other/current-applications.pdf" TargetMode="External"/><Relationship Id="rId21" Type="http://schemas.openxmlformats.org/officeDocument/2006/relationships/hyperlink" Target="https://www.planningportal.nsw.gov.au/major-projects/projects/digico-syd1-data-centre-expansion" TargetMode="External"/><Relationship Id="rId42" Type="http://schemas.openxmlformats.org/officeDocument/2006/relationships/hyperlink" Target="https://www.planningportal.nsw.gov.au/major-projects/projects/project-pluto-data-centre" TargetMode="External"/><Relationship Id="rId47" Type="http://schemas.openxmlformats.org/officeDocument/2006/relationships/hyperlink" Target="https://dcidatacenters.com/locations/" TargetMode="External"/><Relationship Id="rId63" Type="http://schemas.openxmlformats.org/officeDocument/2006/relationships/hyperlink" Target="https://www.planning.vic.gov.au/planning-approvals/ministerial-permits-register/ministerial-permits/e46a98dc-8d47-f111-bec6-7c1e5262e60a" TargetMode="External"/><Relationship Id="rId68" Type="http://schemas.openxmlformats.org/officeDocument/2006/relationships/hyperlink" Target="https://www.planningportal.nsw.gov.au/major-projects/projects/nextdc-s4-data-centre-phase-2-horsley-park" TargetMode="External"/><Relationship Id="rId84" Type="http://schemas.openxmlformats.org/officeDocument/2006/relationships/hyperlink" Target="https://djsir.vic.gov.au/news-and-articles/cdcs-data-centres-fueling-jobs-and-growth-in-the-west" TargetMode="External"/><Relationship Id="rId89" Type="http://schemas.openxmlformats.org/officeDocument/2006/relationships/hyperlink" Target="https://epbcpublicportal.environment.gov.au/all-referrals/project-referral-summary/?id=f4f8aae0-956b-f111-ab0b-000d3aca9bcb" TargetMode="External"/><Relationship Id="rId16" Type="http://schemas.openxmlformats.org/officeDocument/2006/relationships/hyperlink" Target="https://www.planningportal.nsw.gov.au/major-projects/projects/lanceley-place-data-centre-artarmon" TargetMode="External"/><Relationship Id="rId11" Type="http://schemas.openxmlformats.org/officeDocument/2006/relationships/hyperlink" Target="https://records.brimbank.vic.gov.au/ExternalLinkAPI/api/document/?docKey=UHZYRmNFYWVDaUN0clNmekJwVXhMUExwUGpQcFE0VVFXVnp1NkdSYlZpc0lsS2NCZlVOWUxOVXBncy9DSUhHZg2" TargetMode="External"/><Relationship Id="rId32" Type="http://schemas.openxmlformats.org/officeDocument/2006/relationships/hyperlink" Target="https://www.planning.vic.gov.au/planning-approvals/ministerial-permits-register/ministerial-permits/76685df6-baaf-f011-bbd2-6045bdc32df2" TargetMode="External"/><Relationship Id="rId37" Type="http://schemas.openxmlformats.org/officeDocument/2006/relationships/hyperlink" Target="https://www.planning.vic.gov.au/planning-approvals/ministerial-permits-register/ministerial-permits/62cc5b40-f5b5-f011-bbd2-7ced8d337ed8" TargetMode="External"/><Relationship Id="rId53" Type="http://schemas.openxmlformats.org/officeDocument/2006/relationships/hyperlink" Target="https://www.planningportal.nsw.gov.au/major-projects/projects/mamre-road-data-centre-campus" TargetMode="External"/><Relationship Id="rId58" Type="http://schemas.openxmlformats.org/officeDocument/2006/relationships/hyperlink" Target="https://www.planning.vic.gov.au/planning-approvals/ministerial-permits-register/ministerial-permits/8acfef7f-1ab6-f111-aaac-000d3acbdfba" TargetMode="External"/><Relationship Id="rId74" Type="http://schemas.openxmlformats.org/officeDocument/2006/relationships/hyperlink" Target="https://www.planningportal.nsw.gov.au/major-projects/projects/22-oriordan-street-alexandria-data-centre" TargetMode="External"/><Relationship Id="rId79" Type="http://schemas.openxmlformats.org/officeDocument/2006/relationships/hyperlink" Target="https://w.media/next-capital-agrees-to-acquire-fujitsus-australian-data-centre-business/" TargetMode="External"/><Relationship Id="rId102" Type="http://schemas.openxmlformats.org/officeDocument/2006/relationships/hyperlink" Target="https://www.planning.vic.gov.au/planning-approvals/ministerial-permits-register/ministerial-permits/fb678cb2-1784-4883-932a-4fdca25a480a" TargetMode="External"/><Relationship Id="rId5" Type="http://schemas.openxmlformats.org/officeDocument/2006/relationships/hyperlink" Target="https://nextcapital.com.au/next-capital-buys-fujitsu-australian-data-centres/" TargetMode="External"/><Relationship Id="rId90" Type="http://schemas.openxmlformats.org/officeDocument/2006/relationships/hyperlink" Target="https://epbcpublicportal.environment.gov.au/_entity/sharepointdocumentlocation/5c72ac54-e89c-f111-b8db-70a8a5564bc0/2ab10dab-d681-4911-b881-cc99413f07b6?file=00-2026-10605+Referral.pdf" TargetMode="External"/><Relationship Id="rId95" Type="http://schemas.openxmlformats.org/officeDocument/2006/relationships/hyperlink" Target="https://www.planning.vic.gov.au/planning-approvals/ministerial-permits-register/ministerial-permits/fcb0d877-0b98-ef11-8a68-002248938a9c" TargetMode="External"/><Relationship Id="rId22" Type="http://schemas.openxmlformats.org/officeDocument/2006/relationships/hyperlink" Target="https://www.defencesa.com/industry/industry-directory/yourdc-pty-ltd" TargetMode="External"/><Relationship Id="rId27" Type="http://schemas.openxmlformats.org/officeDocument/2006/relationships/hyperlink" Target="https://www.planningportal.nsw.gov.au/major-projects/projects/frederick-street-data-centre" TargetMode="External"/><Relationship Id="rId43" Type="http://schemas.openxmlformats.org/officeDocument/2006/relationships/hyperlink" Target="https://www.planningportal.nsw.gov.au/major-projects/projects/apollo-place-data-centre" TargetMode="External"/><Relationship Id="rId48" Type="http://schemas.openxmlformats.org/officeDocument/2006/relationships/hyperlink" Target="https://www.planningportal.nsw.gov.au/major-projects/projects/southern-highlands-data-campus-power-station" TargetMode="External"/><Relationship Id="rId64" Type="http://schemas.openxmlformats.org/officeDocument/2006/relationships/hyperlink" Target="https://www.planning.vic.gov.au/planning-approvals/ministerial-permits-register/ministerial-permits/aae82a26-d98b-f111-ab0f-6045bde5e09b" TargetMode="External"/><Relationship Id="rId69" Type="http://schemas.openxmlformats.org/officeDocument/2006/relationships/hyperlink" Target="https://www.planningportal.nsw.gov.au/major-projects/projects/brookhollow-avenue-data-centre-expansion-norwest" TargetMode="External"/><Relationship Id="rId80" Type="http://schemas.openxmlformats.org/officeDocument/2006/relationships/hyperlink" Target="https://dcidatacenters.com/locations/" TargetMode="External"/><Relationship Id="rId85" Type="http://schemas.openxmlformats.org/officeDocument/2006/relationships/hyperlink" Target="https://records.brimbank.vic.gov.au/ExternalLinkAPI/api/document/?docKey=UHZYRmNFYWVDaUN0clNmekJwVXhMUExwUGpQcFE0VVFXVnp1NkdSYlZpc0lsS2NCZlVOWUxOVXBncy9DSUhHZg2" TargetMode="External"/><Relationship Id="rId12" Type="http://schemas.openxmlformats.org/officeDocument/2006/relationships/hyperlink" Target="https://www.planningportal.nsw.gov.au/major-projects/projects/brookhollow-avenue-data-centre-expansion-norwest" TargetMode="External"/><Relationship Id="rId17" Type="http://schemas.openxmlformats.org/officeDocument/2006/relationships/hyperlink" Target="https://www.planningportal.nsw.gov.au/major-projects/projects/eastern-creek-data-centre-expansion-project" TargetMode="External"/><Relationship Id="rId25" Type="http://schemas.openxmlformats.org/officeDocument/2006/relationships/hyperlink" Target="https://www.planning.vic.gov.au/planning-approvals/ministerial-permits-register/ministerial-permits/4b779b5c-ef96-f111-8075-7ced8d33fb5a" TargetMode="External"/><Relationship Id="rId33" Type="http://schemas.openxmlformats.org/officeDocument/2006/relationships/hyperlink" Target="https://records.brimbank.vic.gov.au/ExternalLinkAPI/api/document/?docKey=UHZYRmNFYWVDaUN0clNmekJwVXhMUExwUGpQcFE0VVFXVnp1NkdSYlZpc0lsS2NCZlVOWUxOVXBncy9DSUhHZg2" TargetMode="External"/><Relationship Id="rId38" Type="http://schemas.openxmlformats.org/officeDocument/2006/relationships/hyperlink" Target="https://www.planningportal.nsw.gov.au/major-projects/projects/project-apollo-data-centre-macquarie-park" TargetMode="External"/><Relationship Id="rId46" Type="http://schemas.openxmlformats.org/officeDocument/2006/relationships/hyperlink" Target="https://www.planningportal.nsw.gov.au/major-projects/projects/dci-poplars-data-centre-project-0" TargetMode="External"/><Relationship Id="rId59" Type="http://schemas.openxmlformats.org/officeDocument/2006/relationships/hyperlink" Target="https://www.planningportal.nsw.gov.au/major-projects/projects/project-atlas-data-centre-eastern-creek" TargetMode="External"/><Relationship Id="rId67" Type="http://schemas.openxmlformats.org/officeDocument/2006/relationships/hyperlink" Target="https://www.planningportal.nsw.gov.au/major-projects/projects/mars-road-data-centre" TargetMode="External"/><Relationship Id="rId20" Type="http://schemas.openxmlformats.org/officeDocument/2006/relationships/hyperlink" Target="https://www.planningportal.nsw.gov.au/major-projects/projects/1-5-khartoum-road-data-centre" TargetMode="External"/><Relationship Id="rId41" Type="http://schemas.openxmlformats.org/officeDocument/2006/relationships/hyperlink" Target="https://www.planning.vic.gov.au/planning-approvals/ministerial-permits-register/ministerial-permits/5615befd-9bb3-f011-bbd2-7ced8d337ed8" TargetMode="External"/><Relationship Id="rId54" Type="http://schemas.openxmlformats.org/officeDocument/2006/relationships/hyperlink" Target="https://www.planningportal.nsw.gov.au/major-projects/projects/nextdc-s7-data-centre-eastern-creek" TargetMode="External"/><Relationship Id="rId62" Type="http://schemas.openxmlformats.org/officeDocument/2006/relationships/hyperlink" Target="https://www.planning.vic.gov.au/planning-approvals/ministerial-permits-register/ministerial-permits/14c42f63-3f54-f111-bec6-6045bdc28ba0" TargetMode="External"/><Relationship Id="rId70" Type="http://schemas.openxmlformats.org/officeDocument/2006/relationships/hyperlink" Target="https://www.planningportal.nsw.gov.au/major-projects/projects/nextdc-s5-data-centre-and-innovation-hub" TargetMode="External"/><Relationship Id="rId75" Type="http://schemas.openxmlformats.org/officeDocument/2006/relationships/hyperlink" Target="https://www.theurbandeveloper.com/articles/swanbank-data-centre-proposal-ipswich-tallest-building-qld" TargetMode="External"/><Relationship Id="rId83" Type="http://schemas.openxmlformats.org/officeDocument/2006/relationships/hyperlink" Target="https://ehume.hume.vic.gov.au/T1PRProd/WebApps/eProperty/P1/eTrack/eTrackApplicationDetails.aspx?ApplicationId=P26624&amp;f=%24P1.ETR.APPDET.VIW&amp;r=P1.HCC.WEBGUEST" TargetMode="External"/><Relationship Id="rId88" Type="http://schemas.openxmlformats.org/officeDocument/2006/relationships/hyperlink" Target="https://www.defencesa.com/industry/industry-directory/yourdc-pty-ltd" TargetMode="External"/><Relationship Id="rId91" Type="http://schemas.openxmlformats.org/officeDocument/2006/relationships/hyperlink" Target="https://georgetown.tas.gov.au/volumes/documents/Shared/Council-Meetings/2026/08.-August-2026/2026-08-25-Ordinary-Council-Meeting-Confirmed-Minutes-Public-Copy.pdf" TargetMode="External"/><Relationship Id="rId96" Type="http://schemas.openxmlformats.org/officeDocument/2006/relationships/hyperlink" Target="https://www.planning.vic.gov.au/planning-approvals/ministerial-permits-register/ministerial-permits/3445e501-ef0a-f111-8406-7ced8da0d89a" TargetMode="External"/><Relationship Id="rId1" Type="http://schemas.openxmlformats.org/officeDocument/2006/relationships/hyperlink" Target="https://djsir.vic.gov.au/news-and-articles/cdcs-data-centres-fueling-jobs-and-growth-in-the-west" TargetMode="External"/><Relationship Id="rId6" Type="http://schemas.openxmlformats.org/officeDocument/2006/relationships/hyperlink" Target="https://w.media/next-capital-agrees-to-acquire-fujitsus-australian-data-centre-business/" TargetMode="External"/><Relationship Id="rId15" Type="http://schemas.openxmlformats.org/officeDocument/2006/relationships/hyperlink" Target="https://www.planning.vic.gov.au/planning-approvals/ministerial-permits-register/ministerial-permits/1ea17bd8-75be-ef11-b8e8-002248938a9c" TargetMode="External"/><Relationship Id="rId23" Type="http://schemas.openxmlformats.org/officeDocument/2006/relationships/hyperlink" Target="https://epbcpublicportal.environment.gov.au/all-referrals/project-referral-summary/?id=f4f8aae0-956b-f111-ab0b-000d3aca9bcb" TargetMode="External"/><Relationship Id="rId28" Type="http://schemas.openxmlformats.org/officeDocument/2006/relationships/hyperlink" Target="https://www.planning.vic.gov.au/planning-approvals/ministerial-permits-register/ministerial-permits/fdc8d827-6b74-f111-ab0f-7c1e522a8afb" TargetMode="External"/><Relationship Id="rId36" Type="http://schemas.openxmlformats.org/officeDocument/2006/relationships/hyperlink" Target="https://georgetown.tas.gov.au/volumes/documents/Shared/Council-Meetings/2026/08.-August-2026/2026-08-25-Ordinary-Council-Meeting-Confirmed-Minutes-Public-Copy.pdf" TargetMode="External"/><Relationship Id="rId49" Type="http://schemas.openxmlformats.org/officeDocument/2006/relationships/hyperlink" Target="https://www.planning.vic.gov.au/planning-approvals/ministerial-permits-register/ministerial-permits/fcb0d877-0b98-ef11-8a68-002248938a9c" TargetMode="External"/><Relationship Id="rId57" Type="http://schemas.openxmlformats.org/officeDocument/2006/relationships/hyperlink" Target="https://www.planningportal.nsw.gov.au/major-projects/projects/stack-syd01-data-centre-erskine-park" TargetMode="External"/><Relationship Id="rId10" Type="http://schemas.openxmlformats.org/officeDocument/2006/relationships/hyperlink" Target="https://parliament.tas.gov.au/__data/assets/pdf_file/0012/110730/2026-08-13-ProfRazay.pdf" TargetMode="External"/><Relationship Id="rId31" Type="http://schemas.openxmlformats.org/officeDocument/2006/relationships/hyperlink" Target="https://www.planning.vic.gov.au/planning-approvals/ministerial-permits-register/ministerial-permits/ef7039bf-cd0b-f111-8407-7c1e5262e60a" TargetMode="External"/><Relationship Id="rId44" Type="http://schemas.openxmlformats.org/officeDocument/2006/relationships/hyperlink" Target="https://www.planningportal.nsw.gov.au/major-projects/projects/road-1-data-centre" TargetMode="External"/><Relationship Id="rId52" Type="http://schemas.openxmlformats.org/officeDocument/2006/relationships/hyperlink" Target="https://www.planningportal.nsw.gov.au/major-projects/projects/ashfords-road-data-centre-gregadoo" TargetMode="External"/><Relationship Id="rId60" Type="http://schemas.openxmlformats.org/officeDocument/2006/relationships/hyperlink" Target="https://www.planningportal.nsw.gov.au/major-projects/projects/aldington-road-data-centre" TargetMode="External"/><Relationship Id="rId65" Type="http://schemas.openxmlformats.org/officeDocument/2006/relationships/hyperlink" Target="https://www.planningportal.nsw.gov.au/major-projects/projects/julius-avenue-data-centre" TargetMode="External"/><Relationship Id="rId73" Type="http://schemas.openxmlformats.org/officeDocument/2006/relationships/hyperlink" Target="https://www.datacenterdynamics.com/en/news/centuria-plans-40mw-data-center-in-melbourne-australia/" TargetMode="External"/><Relationship Id="rId78" Type="http://schemas.openxmlformats.org/officeDocument/2006/relationships/hyperlink" Target="https://nextcapital.com.au/next-capital-buys-fujitsu-australian-data-centres/" TargetMode="External"/><Relationship Id="rId81" Type="http://schemas.openxmlformats.org/officeDocument/2006/relationships/hyperlink" Target="https://www.planning.vic.gov.au/planning-approvals/ministerial-permits-register/ministerial-permits/6bac05e8-144c-404a-b7b2-b9e5445cb849" TargetMode="External"/><Relationship Id="rId86" Type="http://schemas.openxmlformats.org/officeDocument/2006/relationships/hyperlink" Target="https://nextcapital.com.au/next-capital-buys-fujitsu-australian-data-centres/" TargetMode="External"/><Relationship Id="rId94" Type="http://schemas.openxmlformats.org/officeDocument/2006/relationships/hyperlink" Target="https://www.planning.vic.gov.au/planning-approvals/ministerial-permits-register/ministerial-permits/6bac05e8-144c-404a-b7b2-b9e5445cb849" TargetMode="External"/><Relationship Id="rId99" Type="http://schemas.openxmlformats.org/officeDocument/2006/relationships/hyperlink" Target="https://www.planningportal.nsw.gov.au/major-projects/projects/22-oriordan-street-alexandria-data-centre" TargetMode="External"/><Relationship Id="rId101" Type="http://schemas.openxmlformats.org/officeDocument/2006/relationships/hyperlink" Target="https://ehume.hume.vic.gov.au/T1PRProd/WebApps/eProperty/P1/eTrack/eTrackApplicationDetails.aspx?ApplicationId=P26624&amp;f=%24P1.ETR.APPDET.VIW&amp;r=P1.HCC.WEBGUEST" TargetMode="External"/><Relationship Id="rId4" Type="http://schemas.openxmlformats.org/officeDocument/2006/relationships/hyperlink" Target="https://www.planningportal.nsw.gov.au/major-projects/projects/southern-highlands-data-campus-power-station" TargetMode="External"/><Relationship Id="rId9" Type="http://schemas.openxmlformats.org/officeDocument/2006/relationships/hyperlink" Target="https://www.stackinfra.com/locations/asia-pacific/melbourne/mel01/" TargetMode="External"/><Relationship Id="rId13" Type="http://schemas.openxmlformats.org/officeDocument/2006/relationships/hyperlink" Target="https://www.planningportal.nsw.gov.au/major-projects/projects/marsden-park-data-centre" TargetMode="External"/><Relationship Id="rId18" Type="http://schemas.openxmlformats.org/officeDocument/2006/relationships/hyperlink" Target="https://www.planning.vic.gov.au/planning-approvals/ministerial-permits-register/ministerial-permits/1b31ed89-8d2e-ef11-840a-000d3acb3ea1" TargetMode="External"/><Relationship Id="rId39" Type="http://schemas.openxmlformats.org/officeDocument/2006/relationships/hyperlink" Target="https://www.planningportal.nsw.gov.au/major-projects/projects/project-duke-data-centre" TargetMode="External"/><Relationship Id="rId34" Type="http://schemas.openxmlformats.org/officeDocument/2006/relationships/hyperlink" Target="https://www.planning.act.gov.au/applications-and-assessments/development-applications/browse-das/development-application-details?da-number=202443633&amp;amendment-version=" TargetMode="External"/><Relationship Id="rId50" Type="http://schemas.openxmlformats.org/officeDocument/2006/relationships/hyperlink" Target="https://www.planning.vic.gov.au/planning-approvals/ministerial-permits-register/ministerial-permits/3445e501-ef0a-f111-8406-7ced8da0d89a" TargetMode="External"/><Relationship Id="rId55" Type="http://schemas.openxmlformats.org/officeDocument/2006/relationships/hyperlink" Target="https://www.planningportal.nsw.gov.au/major-projects/projects/kurri-kurri-data-centre" TargetMode="External"/><Relationship Id="rId76" Type="http://schemas.openxmlformats.org/officeDocument/2006/relationships/hyperlink" Target="https://ehume.hume.vic.gov.au/T1PRProd/WebApps/eProperty/P1/eTrack/eTrackApplicationDetails.aspx?ApplicationId=P26624&amp;f=%24P1.ETR.APPDET.VIW&amp;r=P1.HCC.WEBGUEST" TargetMode="External"/><Relationship Id="rId97" Type="http://schemas.openxmlformats.org/officeDocument/2006/relationships/hyperlink" Target="https://www.planningportal.nsw.gov.au/major-projects/projects/mars-road-data-centre" TargetMode="External"/><Relationship Id="rId7" Type="http://schemas.openxmlformats.org/officeDocument/2006/relationships/hyperlink" Target="https://planningalerts.org.au/applications/3442743" TargetMode="External"/><Relationship Id="rId71" Type="http://schemas.openxmlformats.org/officeDocument/2006/relationships/hyperlink" Target="https://www.planningportal.nsw.gov.au/major-projects/projects/23-25-waterloo-road-data-centre" TargetMode="External"/><Relationship Id="rId92" Type="http://schemas.openxmlformats.org/officeDocument/2006/relationships/hyperlink" Target="https://www.planningportal.nsw.gov.au/major-projects/projects/grand-avenue-data-centre-expansion-rosehill" TargetMode="External"/><Relationship Id="rId2" Type="http://schemas.openxmlformats.org/officeDocument/2006/relationships/hyperlink" Target="https://www.planningportal.nsw.gov.au/major-projects/projects/talavera-road-data-centre-campus-expansion" TargetMode="External"/><Relationship Id="rId29" Type="http://schemas.openxmlformats.org/officeDocument/2006/relationships/hyperlink" Target="https://www.planningportal.nsw.gov.au/major-projects/projects/51-huntingwood-drive-data-centre" TargetMode="External"/><Relationship Id="rId24" Type="http://schemas.openxmlformats.org/officeDocument/2006/relationships/hyperlink" Target="https://epbcpublicportal.environment.gov.au/_entity/sharepointdocumentlocation/5c72ac54-e89c-f111-b8db-70a8a5564bc0/2ab10dab-d681-4911-b881-cc99413f07b6?file=00-2026-10605+Referral.pdf" TargetMode="External"/><Relationship Id="rId40" Type="http://schemas.openxmlformats.org/officeDocument/2006/relationships/hyperlink" Target="https://www.planning.act.gov.au/applications-and-assessments/development-applications/browse-das/development-application-details?da-number=202645149" TargetMode="External"/><Relationship Id="rId45" Type="http://schemas.openxmlformats.org/officeDocument/2006/relationships/hyperlink" Target="https://www.planningportal.nsw.gov.au/major-projects/projects/grand-avenue-data-centre-expansion-rosehill" TargetMode="External"/><Relationship Id="rId66" Type="http://schemas.openxmlformats.org/officeDocument/2006/relationships/hyperlink" Target="https://www.planningportal.nsw.gov.au/major-projects/projects/kc1-data-centre-kemps-creek" TargetMode="External"/><Relationship Id="rId87" Type="http://schemas.openxmlformats.org/officeDocument/2006/relationships/hyperlink" Target="https://parliament.tas.gov.au/__data/assets/pdf_file/0012/110730/2026-08-13-ProfRazay.pdf" TargetMode="External"/><Relationship Id="rId61" Type="http://schemas.openxmlformats.org/officeDocument/2006/relationships/hyperlink" Target="https://www.planning.vic.gov.au/planning-approvals/ministerial-permits-register/ministerial-permits/1113a299-b13f-f111-88b4-7c1e5262e60a" TargetMode="External"/><Relationship Id="rId82" Type="http://schemas.openxmlformats.org/officeDocument/2006/relationships/hyperlink" Target="https://www.planning.vic.gov.au/planning-approvals/ministerial-permits-register/ministerial-permits/3445e501-ef0a-f111-8406-7ced8da0d89a" TargetMode="External"/><Relationship Id="rId19" Type="http://schemas.openxmlformats.org/officeDocument/2006/relationships/hyperlink" Target="https://www.planningportal.nsw.gov.au/planning-panel/data-centre" TargetMode="External"/><Relationship Id="rId14" Type="http://schemas.openxmlformats.org/officeDocument/2006/relationships/hyperlink" Target="https://www.planningportal.nsw.gov.au/major-projects/projects/nextdc-s4-data-centre-horsley-park" TargetMode="External"/><Relationship Id="rId30" Type="http://schemas.openxmlformats.org/officeDocument/2006/relationships/hyperlink" Target="https://www.planningalerts.org.au/applications/3206534" TargetMode="External"/><Relationship Id="rId35" Type="http://schemas.openxmlformats.org/officeDocument/2006/relationships/hyperlink" Target="https://statements.qld.gov.au/statements/95682" TargetMode="External"/><Relationship Id="rId56" Type="http://schemas.openxmlformats.org/officeDocument/2006/relationships/hyperlink" Target="https://casey-web.t1cloud.com/T1PRDefault/WebApps/eProperty/P1/eTrack/eTrackApplicationDetails.aspx?r=P1.WEBGUEST&amp;f=%24P1.ETR.APPDET.VIW&amp;ApplicationId=PA26-0190" TargetMode="External"/><Relationship Id="rId77" Type="http://schemas.openxmlformats.org/officeDocument/2006/relationships/hyperlink" Target="https://www.planning.vic.gov.au/planning-approvals/ministerial-permits-register/ministerial-permits/fb678cb2-1784-4883-932a-4fdca25a480a" TargetMode="External"/><Relationship Id="rId100" Type="http://schemas.openxmlformats.org/officeDocument/2006/relationships/hyperlink" Target="https://www.theurbandeveloper.com/articles/swanbank-data-centre-proposal-ipswich-tallest-building-qld" TargetMode="External"/><Relationship Id="rId8" Type="http://schemas.openxmlformats.org/officeDocument/2006/relationships/hyperlink" Target="https://announcements.asx.com.au/asxpdf/20260916/pdf/074490wlf78g7n.pdf" TargetMode="External"/><Relationship Id="rId51" Type="http://schemas.openxmlformats.org/officeDocument/2006/relationships/hyperlink" Target="https://developmenti.wdrc.qld.gov.au/" TargetMode="External"/><Relationship Id="rId72" Type="http://schemas.openxmlformats.org/officeDocument/2006/relationships/hyperlink" Target="https://www.latrobe.tas.gov.au/notice-board/latest-news/proposed-ai-data-centre-wesley-vale" TargetMode="External"/><Relationship Id="rId93" Type="http://schemas.openxmlformats.org/officeDocument/2006/relationships/hyperlink" Target="https://dcidatacenters.com/locations/" TargetMode="External"/><Relationship Id="rId98" Type="http://schemas.openxmlformats.org/officeDocument/2006/relationships/hyperlink" Target="https://www.latrobe.tas.gov.au/notice-board/latest-news/proposed-ai-data-centre-wesley-vale" TargetMode="External"/><Relationship Id="rId3" Type="http://schemas.openxmlformats.org/officeDocument/2006/relationships/hyperlink" Target="https://records.brimbank.vic.gov.au/ExternalLinkAPI/api/document/?docKey=UHZYRmNFYWVDaUN0clNmekJwVXhMUExwUGpQcFE0VVFXVnp1NkdSYlZpc0lsS2NCZlVOWUxOVXBncy9DSUhHZg2"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baxtel.com/data-center/south-australia" TargetMode="External"/><Relationship Id="rId21" Type="http://schemas.openxmlformats.org/officeDocument/2006/relationships/hyperlink" Target="https://www.planningportal.nsw.gov.au/major-projects/projects/roberts-road-data-centre" TargetMode="External"/><Relationship Id="rId42" Type="http://schemas.openxmlformats.org/officeDocument/2006/relationships/hyperlink" Target="https://www.datacentermap.com/australia/bendigo/" TargetMode="External"/><Relationship Id="rId63" Type="http://schemas.openxmlformats.org/officeDocument/2006/relationships/hyperlink" Target="https://datacentremoratorium.net/index.php/Resources:Data_Centres_in_Greater_Melbourne" TargetMode="External"/><Relationship Id="rId84" Type="http://schemas.openxmlformats.org/officeDocument/2006/relationships/hyperlink" Target="https://w.media/centuria-adds-aud-60-2m-in-dc-assets-lodges-plans-for-40mw-melbourne-site/" TargetMode="External"/><Relationship Id="rId138" Type="http://schemas.openxmlformats.org/officeDocument/2006/relationships/hyperlink" Target="https://www.planning.act.gov.au/applications-and-assessments/development-applications/browse-das/development-application-details?da-number=202443172" TargetMode="External"/><Relationship Id="rId159" Type="http://schemas.openxmlformats.org/officeDocument/2006/relationships/hyperlink" Target="https://w.media/stack-infrastructure-partners-with-hickory-for-australian-data-centre-platform/" TargetMode="External"/><Relationship Id="rId170" Type="http://schemas.openxmlformats.org/officeDocument/2006/relationships/hyperlink" Target="https://www.parliament.tas.gov.au/__data/assets/pdf_file/0012/112260/152.-Hydro-Tasmania-Submission.pdf" TargetMode="External"/><Relationship Id="rId107" Type="http://schemas.openxmlformats.org/officeDocument/2006/relationships/hyperlink" Target="https://www.abc.net.au/news/2026-04-20/plans-emerge-gigawatt-scale-ai-data-centre-kimberley/106567332" TargetMode="External"/><Relationship Id="rId11" Type="http://schemas.openxmlformats.org/officeDocument/2006/relationships/hyperlink" Target="https://w.media/viridis-secures-sydney-site-for-zone-4-data-centre/" TargetMode="External"/><Relationship Id="rId32" Type="http://schemas.openxmlformats.org/officeDocument/2006/relationships/hyperlink" Target="https://www.planningportal.nsw.gov.au/major-projects/projects/macquarie-park-data-centre" TargetMode="External"/><Relationship Id="rId53" Type="http://schemas.openxmlformats.org/officeDocument/2006/relationships/hyperlink" Target="https://www.datacenterdynamics.com/en/news/centuria-eyes-250mw-of-data-center-capacity-in-australia/" TargetMode="External"/><Relationship Id="rId74" Type="http://schemas.openxmlformats.org/officeDocument/2006/relationships/hyperlink" Target="https://www.datacenterdynamics.com/en/news/aussie-iot-firm-x2m-partners-with-real-estate-firm-for-data-center-development-in-victoria/" TargetMode="External"/><Relationship Id="rId128" Type="http://schemas.openxmlformats.org/officeDocument/2006/relationships/hyperlink" Target="https://www.nextdc.com/data-centres/a1-adelaide-data-centre" TargetMode="External"/><Relationship Id="rId149" Type="http://schemas.openxmlformats.org/officeDocument/2006/relationships/hyperlink" Target="https://cdc.com/au/canberra" TargetMode="External"/><Relationship Id="rId5" Type="http://schemas.openxmlformats.org/officeDocument/2006/relationships/hyperlink" Target="https://www.planningportal.nsw.gov.au/major-projects/projects/davis-road-data-centre-cundall" TargetMode="External"/><Relationship Id="rId95" Type="http://schemas.openxmlformats.org/officeDocument/2006/relationships/hyperlink" Target="https://www.planning.wa.gov.au/docs/default-source/daps/20240508---minutes---no-11---city-of-cockburn---city-of-wanneroo---city-of-swan.pdf?sfvrsn=b5437042_1" TargetMode="External"/><Relationship Id="rId160" Type="http://schemas.openxmlformats.org/officeDocument/2006/relationships/hyperlink" Target="https://www.planning.act.gov.au/applications-and-assessments/development-applications/browse-das/development-application-details?da-number=202544243" TargetMode="External"/><Relationship Id="rId181" Type="http://schemas.openxmlformats.org/officeDocument/2006/relationships/hyperlink" Target="https://baxtel.com/data-center/secure-data-centre-darwin" TargetMode="External"/><Relationship Id="rId22" Type="http://schemas.openxmlformats.org/officeDocument/2006/relationships/hyperlink" Target="https://www.planningportal.nsw.gov.au/major-projects/projects/dexus-estate-mod-7-data-centre-site-layout" TargetMode="External"/><Relationship Id="rId43" Type="http://schemas.openxmlformats.org/officeDocument/2006/relationships/hyperlink" Target="https://www.arnnet.com.au/article/691219/edge-centres-establish-first-victorian-facility/" TargetMode="External"/><Relationship Id="rId64" Type="http://schemas.openxmlformats.org/officeDocument/2006/relationships/hyperlink" Target="https://datacentremoratorium.net/index.php/Resources:Data_Centres_in_Regional_Victoria" TargetMode="External"/><Relationship Id="rId118" Type="http://schemas.openxmlformats.org/officeDocument/2006/relationships/hyperlink" Target="https://www.dcidatacenters.com/news/adl02-launch/" TargetMode="External"/><Relationship Id="rId139" Type="http://schemas.openxmlformats.org/officeDocument/2006/relationships/hyperlink" Target="https://www.planning.act.gov.au/applications-and-assessments/development-applications/browse-das/development-application-details?da-number=202544243&amp;amendment-version=" TargetMode="External"/><Relationship Id="rId85" Type="http://schemas.openxmlformats.org/officeDocument/2006/relationships/hyperlink" Target="https://baxtel.com/data-center/digico-bne3" TargetMode="External"/><Relationship Id="rId150" Type="http://schemas.openxmlformats.org/officeDocument/2006/relationships/hyperlink" Target="https://cdc.com/locations/canberra" TargetMode="External"/><Relationship Id="rId171" Type="http://schemas.openxmlformats.org/officeDocument/2006/relationships/hyperlink" Target="https://www.abc.net.au/news/2026-09-09/six-new-confidential-data-centre-proposals-tasmania-revealed/107131974" TargetMode="External"/><Relationship Id="rId12" Type="http://schemas.openxmlformats.org/officeDocument/2006/relationships/hyperlink" Target="https://www.planningportal.nsw.gov.au/major-projects/projects/52-turner-road-data-centre" TargetMode="External"/><Relationship Id="rId33" Type="http://schemas.openxmlformats.org/officeDocument/2006/relationships/hyperlink" Target="https://www.planning.vic.gov.au/planning-approvals/ministerial-permits-register/ministerial-permits/2b5ec06b-0b35-ef11-8e4e-002248969b00" TargetMode="External"/><Relationship Id="rId108" Type="http://schemas.openxmlformats.org/officeDocument/2006/relationships/hyperlink" Target="https://www.perthnow.com.au/wa/perth/central/southern/state-planners-approve-plans-for-600-million-data-centre-on-abernethy-road-in-belmont-c-8568277" TargetMode="External"/><Relationship Id="rId129" Type="http://schemas.openxmlformats.org/officeDocument/2006/relationships/hyperlink" Target="https://renewmap.com.au/resources/projects/sa/datacentre/" TargetMode="External"/><Relationship Id="rId54" Type="http://schemas.openxmlformats.org/officeDocument/2006/relationships/hyperlink" Target="https://datacentremoratorium.net/index.php/Resources:Centuria_Thomastown" TargetMode="External"/><Relationship Id="rId75" Type="http://schemas.openxmlformats.org/officeDocument/2006/relationships/hyperlink" Target="https://www.ballarat.vic.gov.au/news/statement-regarding-miners-rest-data-centre-proposal" TargetMode="External"/><Relationship Id="rId96" Type="http://schemas.openxmlformats.org/officeDocument/2006/relationships/hyperlink" Target="https://announcements.asx.com.au/asxpdf/20260827/pdf/073c08w3kby6d5.pdf" TargetMode="External"/><Relationship Id="rId140" Type="http://schemas.openxmlformats.org/officeDocument/2006/relationships/hyperlink" Target="https://baxtel.com/data-center/adc-fyshwick" TargetMode="External"/><Relationship Id="rId161" Type="http://schemas.openxmlformats.org/officeDocument/2006/relationships/hyperlink" Target="https://www.hostingcertification.gov.au/certified-service-providers" TargetMode="External"/><Relationship Id="rId182" Type="http://schemas.openxmlformats.org/officeDocument/2006/relationships/hyperlink" Target="https://www.datacenterdynamics.com/en/news/australian-gas-firm-plots-gigawatt-scale-gas-powered-data-center-campus/" TargetMode="External"/><Relationship Id="rId6" Type="http://schemas.openxmlformats.org/officeDocument/2006/relationships/hyperlink" Target="https://www.planningportal.nsw.gov.au/major-projects/projects/kemps-creek-data-centre-mod-1-data-hall-fit-out" TargetMode="External"/><Relationship Id="rId23" Type="http://schemas.openxmlformats.org/officeDocument/2006/relationships/hyperlink" Target="https://baxtel.com/data-center/digital-realty-erskine-park-sydney" TargetMode="External"/><Relationship Id="rId119" Type="http://schemas.openxmlformats.org/officeDocument/2006/relationships/hyperlink" Target="https://baxtel.com/data-center/digico-adelaide-adl2" TargetMode="External"/><Relationship Id="rId44" Type="http://schemas.openxmlformats.org/officeDocument/2006/relationships/hyperlink" Target="https://w.media/australias-edge-centres-to-develop-second-data-centre-in-victoria/" TargetMode="External"/><Relationship Id="rId65" Type="http://schemas.openxmlformats.org/officeDocument/2006/relationships/hyperlink" Target="https://www.ausnetservices.com.au/projects-and-innovation/major-projects/laverton-north-transmission-works" TargetMode="External"/><Relationship Id="rId86" Type="http://schemas.openxmlformats.org/officeDocument/2006/relationships/hyperlink" Target="https://baxtel.com/data-center/ec2-toowoomba" TargetMode="External"/><Relationship Id="rId130" Type="http://schemas.openxmlformats.org/officeDocument/2006/relationships/hyperlink" Target="https://renewmap.com.au/resources/projects/sa/datacentre/" TargetMode="External"/><Relationship Id="rId151" Type="http://schemas.openxmlformats.org/officeDocument/2006/relationships/hyperlink" Target="https://w.media/proposal-for-new-data-centre-in-canberra-founded-on-morrison-government-policy-under-scrutiny/" TargetMode="External"/><Relationship Id="rId172" Type="http://schemas.openxmlformats.org/officeDocument/2006/relationships/hyperlink" Target="https://pulsetasmania.com.au/news/document-reveals-six-secret-ai-data-centre-proposals-for-tasmania/" TargetMode="External"/><Relationship Id="rId13" Type="http://schemas.openxmlformats.org/officeDocument/2006/relationships/hyperlink" Target="https://www.planningportal.nsw.gov.au/major-projects/projects/augusta-street-data-centre" TargetMode="External"/><Relationship Id="rId18" Type="http://schemas.openxmlformats.org/officeDocument/2006/relationships/hyperlink" Target="https://www.planningportal.nsw.gov.au/planning-panel/data-centre" TargetMode="External"/><Relationship Id="rId39" Type="http://schemas.openxmlformats.org/officeDocument/2006/relationships/hyperlink" Target="https://datacentremoratorium.net/index.php/Resources:Data_Centres_in_Greater_Melbourne" TargetMode="External"/><Relationship Id="rId109" Type="http://schemas.openxmlformats.org/officeDocument/2006/relationships/hyperlink" Target="https://www.planning.wa.gov.au/docs/default-source/daps/20221017-minutes-no-114-city-of-belmont-city-of-melville.pdf?sfvrsn=97c6e09e_5" TargetMode="External"/><Relationship Id="rId34" Type="http://schemas.openxmlformats.org/officeDocument/2006/relationships/hyperlink" Target="https://datacentremoratorium.net/index.php/Resources:Data_Centres_in_Greater_Melbourne" TargetMode="External"/><Relationship Id="rId50" Type="http://schemas.openxmlformats.org/officeDocument/2006/relationships/hyperlink" Target="https://datacentremoratorium.net/index.php/Resources:Data_Centres_in_Greater_Melbourne" TargetMode="External"/><Relationship Id="rId55" Type="http://schemas.openxmlformats.org/officeDocument/2006/relationships/hyperlink" Target="https://datacentremoratorium.net/index.php/Resources:Data_Centres_in_Greater_Melbourne" TargetMode="External"/><Relationship Id="rId76" Type="http://schemas.openxmlformats.org/officeDocument/2006/relationships/hyperlink" Target="https://baxtel.com/data-center/brisbane" TargetMode="External"/><Relationship Id="rId97" Type="http://schemas.openxmlformats.org/officeDocument/2006/relationships/hyperlink" Target="https://announcements.asx.com.au/asxpdf/20260827/pdf/073c08w3kby6d5.pdf" TargetMode="External"/><Relationship Id="rId104" Type="http://schemas.openxmlformats.org/officeDocument/2006/relationships/hyperlink" Target="https://thewest.com.au/business/infrastructure/cdc-data-centres-unveils-plans-for-415m-maddington-data-centre-c-19636890" TargetMode="External"/><Relationship Id="rId120" Type="http://schemas.openxmlformats.org/officeDocument/2006/relationships/hyperlink" Target="https://baxtel.com/data-center/equinix-adelaide-ae1" TargetMode="External"/><Relationship Id="rId125" Type="http://schemas.openxmlformats.org/officeDocument/2006/relationships/hyperlink" Target="https://dcidatacenters.com/locations/adelaide-02/" TargetMode="External"/><Relationship Id="rId141" Type="http://schemas.openxmlformats.org/officeDocument/2006/relationships/hyperlink" Target="https://baxtel.com/data-center/adc-mitchell" TargetMode="External"/><Relationship Id="rId146" Type="http://schemas.openxmlformats.org/officeDocument/2006/relationships/hyperlink" Target="https://cdc.com/locations/canberra" TargetMode="External"/><Relationship Id="rId167" Type="http://schemas.openxmlformats.org/officeDocument/2006/relationships/hyperlink" Target="https://www.datacentermap.com/australia/hobart/" TargetMode="External"/><Relationship Id="rId188" Type="http://schemas.openxmlformats.org/officeDocument/2006/relationships/hyperlink" Target="https://www.nextdc.com/data-centres/darwin-data-centres/d1-darwin" TargetMode="External"/><Relationship Id="rId7" Type="http://schemas.openxmlformats.org/officeDocument/2006/relationships/hyperlink" Target="https://www.planningportal.nsw.gov.au/major-projects/projects/kemps-creek-data-centre" TargetMode="External"/><Relationship Id="rId71" Type="http://schemas.openxmlformats.org/officeDocument/2006/relationships/hyperlink" Target="https://baxtel.com/data-center/vantage-melbourne-mel-c" TargetMode="External"/><Relationship Id="rId92" Type="http://schemas.openxmlformats.org/officeDocument/2006/relationships/hyperlink" Target="https://baxtel.com/data-center/3218" TargetMode="External"/><Relationship Id="rId162" Type="http://schemas.openxmlformats.org/officeDocument/2006/relationships/hyperlink" Target="https://baxtel.com/data-center/dxn-tas01" TargetMode="External"/><Relationship Id="rId183" Type="http://schemas.openxmlformats.org/officeDocument/2006/relationships/hyperlink" Target="https://territorycoordinator.nt.gov.au/news-and-insights/beetaloo-digital-advances-plans-for-weddell-data-centre" TargetMode="External"/><Relationship Id="rId2" Type="http://schemas.openxmlformats.org/officeDocument/2006/relationships/hyperlink" Target="https://www.planningportal.nsw.gov.au/major-projects/projects/43-61-turner-road-data-centre" TargetMode="External"/><Relationship Id="rId29" Type="http://schemas.openxmlformats.org/officeDocument/2006/relationships/hyperlink" Target="https://itwire.com/guest-articles/company-news/proposed-development-of-new-macquarie-engineering-and-technology-campus-in-macquarie-park" TargetMode="External"/><Relationship Id="rId24" Type="http://schemas.openxmlformats.org/officeDocument/2006/relationships/hyperlink" Target="https://www.planningportal.nsw.gov.au/planning-panel/data-centre-4" TargetMode="External"/><Relationship Id="rId40" Type="http://schemas.openxmlformats.org/officeDocument/2006/relationships/hyperlink" Target="https://datacentremoratorium.net/index.php/Resources:Data_Centres_in_Greater_Melbourne" TargetMode="External"/><Relationship Id="rId45" Type="http://schemas.openxmlformats.org/officeDocument/2006/relationships/hyperlink" Target="https://www.datacentermap.com/australia/ballarat/eureka-dc-alfredton/" TargetMode="External"/><Relationship Id="rId66" Type="http://schemas.openxmlformats.org/officeDocument/2006/relationships/hyperlink" Target="https://www.datacenterdynamics.com/en/news/stack-tops-out-swiss-data-center-completes-construction-in-melbourne/" TargetMode="External"/><Relationship Id="rId87" Type="http://schemas.openxmlformats.org/officeDocument/2006/relationships/hyperlink" Target="https://www.nextdc.com/hubfs/Financial%20Reports/FY26/NEXTDC%20FY26%20Results%20Presentation.pdf" TargetMode="External"/><Relationship Id="rId110" Type="http://schemas.openxmlformats.org/officeDocument/2006/relationships/hyperlink" Target="https://www.nextdc.com/hubfs/NXT_Tech_Specs_Perth_Region_240323.pdf" TargetMode="External"/><Relationship Id="rId115" Type="http://schemas.openxmlformats.org/officeDocument/2006/relationships/hyperlink" Target="https://baxtel.com/data-center/adelaide" TargetMode="External"/><Relationship Id="rId131" Type="http://schemas.openxmlformats.org/officeDocument/2006/relationships/hyperlink" Target="https://www.murraybridge.news/whats-the-deal-with-the-two-data-centres-proposed-near-tailem-bend/" TargetMode="External"/><Relationship Id="rId136" Type="http://schemas.openxmlformats.org/officeDocument/2006/relationships/hyperlink" Target="https://www.planning.act.gov.au/applications-and-assessments/development-applications/browse-das/development-application-details?da-number=202544671&amp;amendment-version=" TargetMode="External"/><Relationship Id="rId157" Type="http://schemas.openxmlformats.org/officeDocument/2006/relationships/hyperlink" Target="https://baxtel.com/data-center/macquarie-ic5-bunker" TargetMode="External"/><Relationship Id="rId178" Type="http://schemas.openxmlformats.org/officeDocument/2006/relationships/hyperlink" Target="https://baxtel.com/data-center/secure-data-centre-darwin" TargetMode="External"/><Relationship Id="rId61" Type="http://schemas.openxmlformats.org/officeDocument/2006/relationships/hyperlink" Target="https://www.latrobe.vic.gov.au/Property/Development/Proposed_Developments_in_Our_Region" TargetMode="External"/><Relationship Id="rId82" Type="http://schemas.openxmlformats.org/officeDocument/2006/relationships/hyperlink" Target="https://www.nextdc.com/data-centres/brisbane-data-centres" TargetMode="External"/><Relationship Id="rId152" Type="http://schemas.openxmlformats.org/officeDocument/2006/relationships/hyperlink" Target="https://dcidatacenters.com/locations/" TargetMode="External"/><Relationship Id="rId173" Type="http://schemas.openxmlformats.org/officeDocument/2006/relationships/hyperlink" Target="https://www.abc.net.au/news/2026-09-09/six-new-confidential-data-centre-proposals-tasmania-revealed/107131974" TargetMode="External"/><Relationship Id="rId19" Type="http://schemas.openxmlformats.org/officeDocument/2006/relationships/hyperlink" Target="https://www.nsw.gov.au/ministerial-releases/data-centre-investment-sustainable-development" TargetMode="External"/><Relationship Id="rId14" Type="http://schemas.openxmlformats.org/officeDocument/2006/relationships/hyperlink" Target="https://www.planningportal.nsw.gov.au/major-projects/projects/augusta-street-data-centre" TargetMode="External"/><Relationship Id="rId30" Type="http://schemas.openxmlformats.org/officeDocument/2006/relationships/hyperlink" Target="https://announcements.asx.com.au/asxpdf/20260826/pdf/0738k7f9vrp2mb.pdf" TargetMode="External"/><Relationship Id="rId35" Type="http://schemas.openxmlformats.org/officeDocument/2006/relationships/hyperlink" Target="https://datacentremoratorium.net/index.php/Resources:Data_Centres_in_Greater_Melbourne" TargetMode="External"/><Relationship Id="rId56" Type="http://schemas.openxmlformats.org/officeDocument/2006/relationships/hyperlink" Target="https://datacentremoratorium.net/index.php/Resources:Digital_Realty_MEL10" TargetMode="External"/><Relationship Id="rId77" Type="http://schemas.openxmlformats.org/officeDocument/2006/relationships/hyperlink" Target="https://www.bne.com.au/property/our-airport-city/property-portfolio/iseek-data-centre" TargetMode="External"/><Relationship Id="rId100" Type="http://schemas.openxmlformats.org/officeDocument/2006/relationships/hyperlink" Target="https://www.datacenterdynamics.com/en/news/vocus-occupied-data-center-outside-perth-australia-sold/" TargetMode="External"/><Relationship Id="rId105" Type="http://schemas.openxmlformats.org/officeDocument/2006/relationships/hyperlink" Target="https://www.businessnews.com.au/article/DUG-pulls-plug-on-Geraldton-data-centre" TargetMode="External"/><Relationship Id="rId126" Type="http://schemas.openxmlformats.org/officeDocument/2006/relationships/hyperlink" Target="https://firmus.co/ourcommitments/sa-community" TargetMode="External"/><Relationship Id="rId147" Type="http://schemas.openxmlformats.org/officeDocument/2006/relationships/hyperlink" Target="https://cdc.com/au/canberra" TargetMode="External"/><Relationship Id="rId168" Type="http://schemas.openxmlformats.org/officeDocument/2006/relationships/hyperlink" Target="https://www.datacenterdynamics.com/en/news/firmus-gets-go-ahead-for-ai-data-center-project-in-launceston-tasmania/" TargetMode="External"/><Relationship Id="rId8" Type="http://schemas.openxmlformats.org/officeDocument/2006/relationships/hyperlink" Target="https://www.planningportal.nsw.gov.au/major-projects/projects/honeman-close-data-centre" TargetMode="External"/><Relationship Id="rId51" Type="http://schemas.openxmlformats.org/officeDocument/2006/relationships/hyperlink" Target="https://www.realcommercial.com.au/news/45bn-beveridge-industrial-and-data-centre-powerhouse-revealed-lendlease-c-capital" TargetMode="External"/><Relationship Id="rId72" Type="http://schemas.openxmlformats.org/officeDocument/2006/relationships/hyperlink" Target="https://baxtel.com/data-center/aliwkv" TargetMode="External"/><Relationship Id="rId93" Type="http://schemas.openxmlformats.org/officeDocument/2006/relationships/hyperlink" Target="https://www.equinix.com/data-centers/asia-pacific-colocation/australia-colocation/perth-data-centers/pe3" TargetMode="External"/><Relationship Id="rId98" Type="http://schemas.openxmlformats.org/officeDocument/2006/relationships/hyperlink" Target="https://www.nextdc.com/news/nextdc-to-partner-with-bhp-vocus-and-microsoft-with-launch-of-first-pilbara-data-centre" TargetMode="External"/><Relationship Id="rId121" Type="http://schemas.openxmlformats.org/officeDocument/2006/relationships/hyperlink" Target="https://www.nextdc.com/data-centres/a1-adelaide-data-centre" TargetMode="External"/><Relationship Id="rId142" Type="http://schemas.openxmlformats.org/officeDocument/2006/relationships/hyperlink" Target="https://baxtel.com/data-center/adc-mitchell" TargetMode="External"/><Relationship Id="rId163" Type="http://schemas.openxmlformats.org/officeDocument/2006/relationships/hyperlink" Target="https://www.arnnet.com.au/article/4191379/dxn-exits-tasmania-data-centre-business-in-520k-divestment.html" TargetMode="External"/><Relationship Id="rId184" Type="http://schemas.openxmlformats.org/officeDocument/2006/relationships/hyperlink" Target="https://www.datacenterdynamics.com/en/news/dci-data-centers-to-build-10mw-facility-in-darwin-australia" TargetMode="External"/><Relationship Id="rId189" Type="http://schemas.openxmlformats.org/officeDocument/2006/relationships/hyperlink" Target="https://www.datacenterdynamics.com/en/news/nextdc-details-plans-for-data-center-in-darwin-australia" TargetMode="External"/><Relationship Id="rId3" Type="http://schemas.openxmlformats.org/officeDocument/2006/relationships/hyperlink" Target="https://www.planningportal.nsw.gov.au/major-projects/projects/glendenning-road-data-centre" TargetMode="External"/><Relationship Id="rId25" Type="http://schemas.openxmlformats.org/officeDocument/2006/relationships/hyperlink" Target="https://bebeez.eu/2026/07/20/fujitsu-sells-australian-data-center-business-to-next-capital/" TargetMode="External"/><Relationship Id="rId46" Type="http://schemas.openxmlformats.org/officeDocument/2006/relationships/hyperlink" Target="https://www.datacentermap.com/australia/ballarat/lateral-plains-data-centre/" TargetMode="External"/><Relationship Id="rId67" Type="http://schemas.openxmlformats.org/officeDocument/2006/relationships/hyperlink" Target="https://datacentremoratorium.net/index.php/Resources:Stockland_Truganina" TargetMode="External"/><Relationship Id="rId116" Type="http://schemas.openxmlformats.org/officeDocument/2006/relationships/hyperlink" Target="https://baxtel.com/data-center/colocity-adelaide-dc1" TargetMode="External"/><Relationship Id="rId137" Type="http://schemas.openxmlformats.org/officeDocument/2006/relationships/hyperlink" Target="https://www.planning.act.gov.au/applications-and-assessments/development-applications/browse-das/development-application-details?da-number=202443172&amp;amendment-version=" TargetMode="External"/><Relationship Id="rId158" Type="http://schemas.openxmlformats.org/officeDocument/2006/relationships/hyperlink" Target="https://baxtel.com/data-center/stack-canberra" TargetMode="External"/><Relationship Id="rId20" Type="http://schemas.openxmlformats.org/officeDocument/2006/relationships/hyperlink" Target="https://w.media/cdc-wins-approval-for-au203-5m-beard-2-data-centre-in-canberra/" TargetMode="External"/><Relationship Id="rId41" Type="http://schemas.openxmlformats.org/officeDocument/2006/relationships/hyperlink" Target="https://datacentremoratorium.net/index.php/Resources:Data_Centres_in_Greater_Melbourne" TargetMode="External"/><Relationship Id="rId62" Type="http://schemas.openxmlformats.org/officeDocument/2006/relationships/hyperlink" Target="https://www.planningalerts.org.au/applications/3540469" TargetMode="External"/><Relationship Id="rId83" Type="http://schemas.openxmlformats.org/officeDocument/2006/relationships/hyperlink" Target="https://w.media/centuria-adds-aud-60-2m-in-dc-assets-lodges-plans-for-40mw-melbourne-site/" TargetMode="External"/><Relationship Id="rId88" Type="http://schemas.openxmlformats.org/officeDocument/2006/relationships/hyperlink" Target="https://www.i-q.net.au/main/backing-for-townsville-data-centre" TargetMode="External"/><Relationship Id="rId111" Type="http://schemas.openxmlformats.org/officeDocument/2006/relationships/hyperlink" Target="https://greenstreetnews.com/article/perth-industrial-site-with-data-centre-potential-hits-the-market/" TargetMode="External"/><Relationship Id="rId132" Type="http://schemas.openxmlformats.org/officeDocument/2006/relationships/hyperlink" Target="https://renewmap.com.au/resources/projects/sa/datacentre/" TargetMode="External"/><Relationship Id="rId153" Type="http://schemas.openxmlformats.org/officeDocument/2006/relationships/hyperlink" Target="https://baxtel.com/data-center/dci-canberra-cbr01" TargetMode="External"/><Relationship Id="rId174" Type="http://schemas.openxmlformats.org/officeDocument/2006/relationships/hyperlink" Target="https://pulsetasmania.com.au/news/document-reveals-six-secret-ai-data-centre-proposals-for-tasmania/" TargetMode="External"/><Relationship Id="rId179" Type="http://schemas.openxmlformats.org/officeDocument/2006/relationships/hyperlink" Target="https://www.nextdc.com/data-centres/darwin-data-centres/d2-darwin" TargetMode="External"/><Relationship Id="rId15" Type="http://schemas.openxmlformats.org/officeDocument/2006/relationships/hyperlink" Target="https://www.planningportal.nsw.gov.au/major-projects/projects/mowbray-road-data-centre" TargetMode="External"/><Relationship Id="rId36" Type="http://schemas.openxmlformats.org/officeDocument/2006/relationships/hyperlink" Target="https://datacentremoratorium.net/index.php/Resources:Data_Centres_in_Greater_Melbourne" TargetMode="External"/><Relationship Id="rId57" Type="http://schemas.openxmlformats.org/officeDocument/2006/relationships/hyperlink" Target="https://datacentremoratorium.net/index.php/Resources:Data_Centres_in_Greater_Melbourne" TargetMode="External"/><Relationship Id="rId106" Type="http://schemas.openxmlformats.org/officeDocument/2006/relationships/hyperlink" Target="https://www.datacenterdynamics.com/en/news/australias-centuria-reit-acquires-fujitsu-occupied-data-center-in-perth-from-gdcg/" TargetMode="External"/><Relationship Id="rId127" Type="http://schemas.openxmlformats.org/officeDocument/2006/relationships/hyperlink" Target="https://firmus.co/ourcommitments/sa-community" TargetMode="External"/><Relationship Id="rId10" Type="http://schemas.openxmlformats.org/officeDocument/2006/relationships/hyperlink" Target="https://baxtel.com/data-center/stockland-macquarie-park-stage-1" TargetMode="External"/><Relationship Id="rId31" Type="http://schemas.openxmlformats.org/officeDocument/2006/relationships/hyperlink" Target="https://cdn-api.markitdigital.com/apiman-gateway/ASX/asx-research/1.0/file/2924-03118730-2A1688138" TargetMode="External"/><Relationship Id="rId52" Type="http://schemas.openxmlformats.org/officeDocument/2006/relationships/hyperlink" Target="https://datacentremoratorium.net/index.php/Resources:Data_Centres_in_Greater_Melbourne" TargetMode="External"/><Relationship Id="rId73" Type="http://schemas.openxmlformats.org/officeDocument/2006/relationships/hyperlink" Target="https://www.datacentermap.com/australia/melbourne/victorian-ai-centre/" TargetMode="External"/><Relationship Id="rId78" Type="http://schemas.openxmlformats.org/officeDocument/2006/relationships/hyperlink" Target="https://baxtel.com/data-center/queensland" TargetMode="External"/><Relationship Id="rId94" Type="http://schemas.openxmlformats.org/officeDocument/2006/relationships/hyperlink" Target="https://announcements.asx.com.au/asxpdf/20260827/pdf/073c08w3kby6d5.pdf" TargetMode="External"/><Relationship Id="rId99" Type="http://schemas.openxmlformats.org/officeDocument/2006/relationships/hyperlink" Target="https://w.media/asiaphos-to-acquire-perth-data-centre-in-pivot-to-digital-infrastructure/" TargetMode="External"/><Relationship Id="rId101" Type="http://schemas.openxmlformats.org/officeDocument/2006/relationships/hyperlink" Target="https://www.datacenterdynamics.com/en/news/swiss-backed-greensquaredc-withdraws-application-for-120mw-data-center-in-perth-australia/" TargetMode="External"/><Relationship Id="rId122" Type="http://schemas.openxmlformats.org/officeDocument/2006/relationships/hyperlink" Target="https://baxtel.com/data-center/adelaide" TargetMode="External"/><Relationship Id="rId143" Type="http://schemas.openxmlformats.org/officeDocument/2006/relationships/hyperlink" Target="https://dafinder.blob.core.windows.net/dadocuments/DOCs/TRAFFICREPORT-202645149-01.pdf" TargetMode="External"/><Relationship Id="rId148" Type="http://schemas.openxmlformats.org/officeDocument/2006/relationships/hyperlink" Target="https://cdc.com/locations/canberra" TargetMode="External"/><Relationship Id="rId164" Type="http://schemas.openxmlformats.org/officeDocument/2006/relationships/hyperlink" Target="https://tasmanet.com.au/products/data-centre/dc3-data-centre" TargetMode="External"/><Relationship Id="rId169" Type="http://schemas.openxmlformats.org/officeDocument/2006/relationships/hyperlink" Target="https://www.datacentermap.com/australia/hobart/" TargetMode="External"/><Relationship Id="rId185" Type="http://schemas.openxmlformats.org/officeDocument/2006/relationships/hyperlink" Target="https://www.datacenterdynamics.com/en/news/dci-data-centers-to-build-10mw-facility-in-darwin-australia" TargetMode="External"/><Relationship Id="rId4" Type="http://schemas.openxmlformats.org/officeDocument/2006/relationships/hyperlink" Target="https://www.planningportal.nsw.gov.au/major-projects/projects/project-echidna-data-centre-eastern-creek" TargetMode="External"/><Relationship Id="rId9" Type="http://schemas.openxmlformats.org/officeDocument/2006/relationships/hyperlink" Target="https://www.planningportal.nsw.gov.au/major-projects/projects/station-road-data-centre-expansion" TargetMode="External"/><Relationship Id="rId180" Type="http://schemas.openxmlformats.org/officeDocument/2006/relationships/hyperlink" Target="https://www.nextdc.com/hubfs/Financial%20Reports/FY26/NEXTDC%20FY26%20Results%20Presentation.pdf" TargetMode="External"/><Relationship Id="rId26" Type="http://schemas.openxmlformats.org/officeDocument/2006/relationships/hyperlink" Target="https://nextcapital.com.au/next-capital-buys-fujitsu-australian-data-centres/" TargetMode="External"/><Relationship Id="rId47" Type="http://schemas.openxmlformats.org/officeDocument/2006/relationships/hyperlink" Target="https://datacentremoratorium.net/index.php/Resources:Data_Centres_in_Regional_Victoria" TargetMode="External"/><Relationship Id="rId68" Type="http://schemas.openxmlformats.org/officeDocument/2006/relationships/hyperlink" Target="https://datacentremoratorium.net/index.php/Resources:Data_Centres_in_Greater_Melbourne" TargetMode="External"/><Relationship Id="rId89" Type="http://schemas.openxmlformats.org/officeDocument/2006/relationships/hyperlink" Target="https://baxtel.com/data-center/polaris-brisbane" TargetMode="External"/><Relationship Id="rId112" Type="http://schemas.openxmlformats.org/officeDocument/2006/relationships/hyperlink" Target="https://www.businessnews.com.au/article/Canva-backer-Google-Maps-founder-invest-in-Perth-data-play-Sovereign-Green-Compute" TargetMode="External"/><Relationship Id="rId133" Type="http://schemas.openxmlformats.org/officeDocument/2006/relationships/hyperlink" Target="https://nextdc.com/data-centres/canberra-data-centres/c1-canberra" TargetMode="External"/><Relationship Id="rId154" Type="http://schemas.openxmlformats.org/officeDocument/2006/relationships/hyperlink" Target="https://baxtel.com/data-center/equinix-canberra-ca1" TargetMode="External"/><Relationship Id="rId175" Type="http://schemas.openxmlformats.org/officeDocument/2006/relationships/hyperlink" Target="https://www.abc.net.au/news/2026-09-09/six-new-confidential-data-centre-proposals-tasmania-revealed/107131974" TargetMode="External"/><Relationship Id="rId16" Type="http://schemas.openxmlformats.org/officeDocument/2006/relationships/hyperlink" Target="https://www.planningportal.nsw.gov.au/major-projects/projects/project-mars-data-centre" TargetMode="External"/><Relationship Id="rId37" Type="http://schemas.openxmlformats.org/officeDocument/2006/relationships/hyperlink" Target="https://datacentremoratorium.net/index.php/Resources:Data_Centres_in_Greater_Melbourne" TargetMode="External"/><Relationship Id="rId58" Type="http://schemas.openxmlformats.org/officeDocument/2006/relationships/hyperlink" Target="https://datacentremoratorium.net/index.php/Resources:Data_Centres_in_Greater_Melbourne" TargetMode="External"/><Relationship Id="rId79" Type="http://schemas.openxmlformats.org/officeDocument/2006/relationships/hyperlink" Target="https://baxtel.com/data-center/fujitsu-eight-mile-plains" TargetMode="External"/><Relationship Id="rId102" Type="http://schemas.openxmlformats.org/officeDocument/2006/relationships/hyperlink" Target="https://www.theurbandeveloper.com/articles/greensquaredc-data-centre-hazelmere-perth-wa-public-comment" TargetMode="External"/><Relationship Id="rId123" Type="http://schemas.openxmlformats.org/officeDocument/2006/relationships/hyperlink" Target="https://w.media/south-australia-energy-precinct-bets-on-staged-ai-data-centre-deployment/" TargetMode="External"/><Relationship Id="rId144" Type="http://schemas.openxmlformats.org/officeDocument/2006/relationships/hyperlink" Target="https://announcements.asx.com.au/asxpdf/20260326/pdf/06xtcw1cnqqc5p.pdf" TargetMode="External"/><Relationship Id="rId90" Type="http://schemas.openxmlformats.org/officeDocument/2006/relationships/hyperlink" Target="https://www.quinbrook.com/portfolio-companies/supernode/" TargetMode="External"/><Relationship Id="rId165" Type="http://schemas.openxmlformats.org/officeDocument/2006/relationships/hyperlink" Target="https://www.datacenterdynamics.com/en/news/australias-viridis-gets-approval-for-1mw-tasmania-data-center/" TargetMode="External"/><Relationship Id="rId186" Type="http://schemas.openxmlformats.org/officeDocument/2006/relationships/hyperlink" Target="https://baxtel.com/data-center/inligo-networks-darwin-cls" TargetMode="External"/><Relationship Id="rId27" Type="http://schemas.openxmlformats.org/officeDocument/2006/relationships/hyperlink" Target="https://www.planningportal.nsw.gov.au/major-projects/projects/lane-cove-west-data-centre-mod-4-apdc-inclusion" TargetMode="External"/><Relationship Id="rId48" Type="http://schemas.openxmlformats.org/officeDocument/2006/relationships/hyperlink" Target="https://www.realestatesource.com.au/centuria-data-centre-expansion-hits-hurdle/" TargetMode="External"/><Relationship Id="rId69" Type="http://schemas.openxmlformats.org/officeDocument/2006/relationships/hyperlink" Target="https://www.theguardian.com/australia-news/2026/jul/26/mega-datacentre-planned-for-outer-melbourne-will-be-almost-six-times-the-size-of-chadstone-shopping-centre" TargetMode="External"/><Relationship Id="rId113" Type="http://schemas.openxmlformats.org/officeDocument/2006/relationships/hyperlink" Target="https://baxtel.com/data-center/stack-perth-per01" TargetMode="External"/><Relationship Id="rId134" Type="http://schemas.openxmlformats.org/officeDocument/2006/relationships/hyperlink" Target="https://www.nextdc.com/data-centres/c1-canberra-data-centre" TargetMode="External"/><Relationship Id="rId80" Type="http://schemas.openxmlformats.org/officeDocument/2006/relationships/hyperlink" Target="https://www.nextdc.com/data-centres/brisbane-data-centres" TargetMode="External"/><Relationship Id="rId155" Type="http://schemas.openxmlformats.org/officeDocument/2006/relationships/hyperlink" Target="https://www.equinix.com/data-centers/asia-pacific-colocation/australia-colocation/canberra-data-centers" TargetMode="External"/><Relationship Id="rId176" Type="http://schemas.openxmlformats.org/officeDocument/2006/relationships/hyperlink" Target="https://environment.nt.gov.au/media/docs/boards-and-committees/development-consent-authority/dca-minutes/2021/darwin/mindcadar374-21-5-21.PDF" TargetMode="External"/><Relationship Id="rId17" Type="http://schemas.openxmlformats.org/officeDocument/2006/relationships/hyperlink" Target="https://www.planningportal.nsw.gov.au/major-projects/projects/waterloo-road-data-centre-esr-developments" TargetMode="External"/><Relationship Id="rId38" Type="http://schemas.openxmlformats.org/officeDocument/2006/relationships/hyperlink" Target="https://datacentremoratorium.net/index.php/Resources:Microsoft_MEL04" TargetMode="External"/><Relationship Id="rId59" Type="http://schemas.openxmlformats.org/officeDocument/2006/relationships/hyperlink" Target="https://www.planning.vic.gov.au/planning-approvals/ministerial-permits-register/ministerial-permits/77e22ec2-b89b-e811-a867-000d3ad0ed15" TargetMode="External"/><Relationship Id="rId103" Type="http://schemas.openxmlformats.org/officeDocument/2006/relationships/hyperlink" Target="https://thewest.com.au/business/commercial-property/sqm-42-million-end-of-an-era-for-bgc-facility-and-other-major-sales-in-perths-commercial-property-market-c-22906257" TargetMode="External"/><Relationship Id="rId124" Type="http://schemas.openxmlformats.org/officeDocument/2006/relationships/hyperlink" Target="https://esdnews.com.au/1414-degrees-inks-major-data-centre-deal-in-south-australia/" TargetMode="External"/><Relationship Id="rId70" Type="http://schemas.openxmlformats.org/officeDocument/2006/relationships/hyperlink" Target="https://baxtel.com/data-center/vantage-melbourne-mel-c" TargetMode="External"/><Relationship Id="rId91" Type="http://schemas.openxmlformats.org/officeDocument/2006/relationships/hyperlink" Target="https://www.planningalerts.org.au/applications/3532795" TargetMode="External"/><Relationship Id="rId145" Type="http://schemas.openxmlformats.org/officeDocument/2006/relationships/hyperlink" Target="https://cdc.com/au/canberra" TargetMode="External"/><Relationship Id="rId166" Type="http://schemas.openxmlformats.org/officeDocument/2006/relationships/hyperlink" Target="https://w.media/viridis-secures-approval-for-tasmania-edge-data-centre/" TargetMode="External"/><Relationship Id="rId187" Type="http://schemas.openxmlformats.org/officeDocument/2006/relationships/hyperlink" Target="https://baxtel.com/data-center/nextdc-d2-darwin" TargetMode="External"/><Relationship Id="rId1" Type="http://schemas.openxmlformats.org/officeDocument/2006/relationships/hyperlink" Target="https://www.planningportal.nsw.gov.au/major-projects/projects/43-61-turner-road-data-centre" TargetMode="External"/><Relationship Id="rId28" Type="http://schemas.openxmlformats.org/officeDocument/2006/relationships/hyperlink" Target="https://w.media/ledcs-craparotta-bets-on-regional-ai-as-demand-outstrips-capacity/" TargetMode="External"/><Relationship Id="rId49" Type="http://schemas.openxmlformats.org/officeDocument/2006/relationships/hyperlink" Target="https://baxtel.com/data-center/adc-melbourne-campus" TargetMode="External"/><Relationship Id="rId114" Type="http://schemas.openxmlformats.org/officeDocument/2006/relationships/hyperlink" Target="https://w.media/firmus-confirms-south-australian-ai-factory-sites-renewable-energy-plans-due-within-weeks/" TargetMode="External"/><Relationship Id="rId60" Type="http://schemas.openxmlformats.org/officeDocument/2006/relationships/hyperlink" Target="https://datacentremoratorium.net/index.php/Resources:HiQ_Eco-Hub" TargetMode="External"/><Relationship Id="rId81" Type="http://schemas.openxmlformats.org/officeDocument/2006/relationships/hyperlink" Target="https://www.nextdc.com/hubfs/Financial%20Reports/FY26/NEXTDC%20FY26%20Results%20Presentation.pdf" TargetMode="External"/><Relationship Id="rId135" Type="http://schemas.openxmlformats.org/officeDocument/2006/relationships/hyperlink" Target="https://baxtel.com/data-center/telstra-deakin-canberra" TargetMode="External"/><Relationship Id="rId156" Type="http://schemas.openxmlformats.org/officeDocument/2006/relationships/hyperlink" Target="https://www.macquariedatacentres.com/data-centres/canberra/" TargetMode="External"/><Relationship Id="rId177" Type="http://schemas.openxmlformats.org/officeDocument/2006/relationships/hyperlink" Target="https://baxtel.com/data-center/area9-darwin"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www.planning.vic.gov.au/planning-approvals/ministerial-permits-register/ministerial-permits/4b779b5c-ef96-f111-8075-7ced8d33fb5a" TargetMode="External"/><Relationship Id="rId21" Type="http://schemas.openxmlformats.org/officeDocument/2006/relationships/hyperlink" Target="https://dafinder.blob.core.windows.net/dadocuments/DOCs/TRAFFICREPORT-202645149-01.pdf" TargetMode="External"/><Relationship Id="rId324" Type="http://schemas.openxmlformats.org/officeDocument/2006/relationships/hyperlink" Target="https://www.climatecouncil.org.au/resources/six-reasons-proposed-project-ares-data-centre-big-alarm-bells/" TargetMode="External"/><Relationship Id="rId531" Type="http://schemas.openxmlformats.org/officeDocument/2006/relationships/hyperlink" Target="https://baxtel.com/data-center/starwood-doma-minchinbury" TargetMode="External"/><Relationship Id="rId170" Type="http://schemas.openxmlformats.org/officeDocument/2006/relationships/hyperlink" Target="https://www.planningportal.nsw.gov.au/major-projects/projects/project-atlas-data-centre-eastern-creek" TargetMode="External"/><Relationship Id="rId268" Type="http://schemas.openxmlformats.org/officeDocument/2006/relationships/hyperlink" Target="https://investorpa.com/announcement-pdf/20260821/330767.pdf" TargetMode="External"/><Relationship Id="rId475" Type="http://schemas.openxmlformats.org/officeDocument/2006/relationships/hyperlink" Target="https://w.media/quinbrook-infrastructure-partners-wins-approval-for-hyperscale-data-centres-in-australia/" TargetMode="External"/><Relationship Id="rId32" Type="http://schemas.openxmlformats.org/officeDocument/2006/relationships/hyperlink" Target="https://www.invest.vic.gov.au/news-and-events/news/2026/march/cdc-data-centres-officially-opens-its-first-melbourne-campus-expanding-its-ability-to-deliver-secure-and-sustainable-solutions" TargetMode="External"/><Relationship Id="rId128" Type="http://schemas.openxmlformats.org/officeDocument/2006/relationships/hyperlink" Target="https://www.planning.vic.gov.au/planning-approvals/ministerial-permits-register/ministerial-permits/ef7039bf-cd0b-f111-8407-7c1e5262e60a" TargetMode="External"/><Relationship Id="rId335" Type="http://schemas.openxmlformats.org/officeDocument/2006/relationships/hyperlink" Target="https://www.datacenterdynamics.com/en/news/australias-cdc-plans-200mw-data-center-campus-outside-perth/" TargetMode="External"/><Relationship Id="rId542" Type="http://schemas.openxmlformats.org/officeDocument/2006/relationships/hyperlink" Target="https://baxtel.com/news/hyperdc-files-plans-for-400mw-data-center-campus-west-of-melbourne" TargetMode="External"/><Relationship Id="rId181" Type="http://schemas.openxmlformats.org/officeDocument/2006/relationships/hyperlink" Target="https://www.planningportal.nsw.gov.au/planning-panel/data-centre" TargetMode="External"/><Relationship Id="rId402" Type="http://schemas.openxmlformats.org/officeDocument/2006/relationships/hyperlink" Target="https://ntindependent.com.au/opinion-behind-the-meter-the-unanswered-questions-behind-the-barklys-ai-data-centre/" TargetMode="External"/><Relationship Id="rId279" Type="http://schemas.openxmlformats.org/officeDocument/2006/relationships/hyperlink" Target="https://www.nextdc.com/news/its-all-systems-go-victoria-nextdc-unveils-plans-150mw-hyperscale-campus-melbournes-west" TargetMode="External"/><Relationship Id="rId486" Type="http://schemas.openxmlformats.org/officeDocument/2006/relationships/hyperlink" Target="https://asx.api.markitdigital.com/asx-research/1.0/companies/dgt/announcements" TargetMode="External"/><Relationship Id="rId43" Type="http://schemas.openxmlformats.org/officeDocument/2006/relationships/hyperlink" Target="https://majorprojects.planningportal.nsw.gov.au/prweb/PRRestService/mp/01/getContent?AttachRef=PDA-137556738%2120260806T061124.974+GMT" TargetMode="External"/><Relationship Id="rId139" Type="http://schemas.openxmlformats.org/officeDocument/2006/relationships/hyperlink" Target="https://www.planningportal.nsw.gov.au/major-projects/projects/1-5-khartoum-road-data-centre" TargetMode="External"/><Relationship Id="rId346" Type="http://schemas.openxmlformats.org/officeDocument/2006/relationships/hyperlink" Target="https://www.datacenterdynamics.com/en/news/goodman-files-to-build-90mw-data-center-on-eaton-warehouse-site-in-sydney-australia/" TargetMode="External"/><Relationship Id="rId553" Type="http://schemas.openxmlformats.org/officeDocument/2006/relationships/hyperlink" Target="https://www.datacentermap.com/australia/canberra/cdc-beard-be1/" TargetMode="External"/><Relationship Id="rId192" Type="http://schemas.openxmlformats.org/officeDocument/2006/relationships/hyperlink" Target="https://sftpbspomppprod01.blob.core.windows.net/applicationfiles/5615befd-9bb3-f011-bbd2-7ced8d337ed8_PA2504032-1%20Oroya%20Drive%20Truganina%20-%20Form%204.pdf" TargetMode="External"/><Relationship Id="rId206" Type="http://schemas.openxmlformats.org/officeDocument/2006/relationships/hyperlink" Target="https://airtrunk.com/location/mel2-melbourne/" TargetMode="External"/><Relationship Id="rId413" Type="http://schemas.openxmlformats.org/officeDocument/2006/relationships/hyperlink" Target="https://www.realestatesource.com.au/6b-data-centre-planned-near-geelong/" TargetMode="External"/><Relationship Id="rId497" Type="http://schemas.openxmlformats.org/officeDocument/2006/relationships/hyperlink" Target="https://baxtel.com/data-center/dci-adelaide/news" TargetMode="External"/><Relationship Id="rId357" Type="http://schemas.openxmlformats.org/officeDocument/2006/relationships/hyperlink" Target="https://datacentremoratorium.net/index.php/Resources:ACS_Truganina" TargetMode="External"/><Relationship Id="rId54" Type="http://schemas.openxmlformats.org/officeDocument/2006/relationships/hyperlink" Target="https://majorprojects.planningportal.nsw.gov.au/prweb/PRRestService/mp/01/getContent?AttachRef=SSD-112059740%2120260820T022208.882+GMT" TargetMode="External"/><Relationship Id="rId217" Type="http://schemas.openxmlformats.org/officeDocument/2006/relationships/hyperlink" Target="https://cdc.com/locations/canberra" TargetMode="External"/><Relationship Id="rId564" Type="http://schemas.openxmlformats.org/officeDocument/2006/relationships/hyperlink" Target="https://www.datacentermap.com/australia/melbourne/dover-sm1b/" TargetMode="External"/><Relationship Id="rId424" Type="http://schemas.openxmlformats.org/officeDocument/2006/relationships/hyperlink" Target="https://tasgreensmps.org/parliament/questions/firmus-technologies-launceston-ai-data-centre/" TargetMode="External"/><Relationship Id="rId270" Type="http://schemas.openxmlformats.org/officeDocument/2006/relationships/hyperlink" Target="https://iren.com/data-centers/bundey" TargetMode="External"/><Relationship Id="rId65" Type="http://schemas.openxmlformats.org/officeDocument/2006/relationships/hyperlink" Target="https://majorprojects.planningportal.nsw.gov.au/prweb/PRRestService/mp/01/getContent?AttachRef=SSD-41589232-MOD-2%2120260828T070329.740+GMT" TargetMode="External"/><Relationship Id="rId130" Type="http://schemas.openxmlformats.org/officeDocument/2006/relationships/hyperlink" Target="https://www.planning.vic.gov.au/planning-approvals/ministerial-permits-register/ministerial-permits/fcb0d877-0b98-ef11-8a68-002248938a9c" TargetMode="External"/><Relationship Id="rId368" Type="http://schemas.openxmlformats.org/officeDocument/2006/relationships/hyperlink" Target="https://datacentremoratorium.net/index.php/Resources:NEXTDC_M3" TargetMode="External"/><Relationship Id="rId575" Type="http://schemas.openxmlformats.org/officeDocument/2006/relationships/hyperlink" Target="https://ecosistemastartup.com/?p=93254" TargetMode="External"/><Relationship Id="rId228" Type="http://schemas.openxmlformats.org/officeDocument/2006/relationships/hyperlink" Target="https://www.cdc.com/maddington" TargetMode="External"/><Relationship Id="rId435" Type="http://schemas.openxmlformats.org/officeDocument/2006/relationships/hyperlink" Target="https://www.theurbandeveloper.com/articles/nextdc-m4-digital-campus-fishermans-bend-approval" TargetMode="External"/><Relationship Id="rId281" Type="http://schemas.openxmlformats.org/officeDocument/2006/relationships/hyperlink" Target="https://www.nextdc.com/news/nextdc-announces-2-billion-ai-factory-and-technology-campus-at-fishermans-bend" TargetMode="External"/><Relationship Id="rId502" Type="http://schemas.openxmlformats.org/officeDocument/2006/relationships/hyperlink" Target="https://baxtel.com/data-center/edgeconnex-syd1-mpark" TargetMode="External"/><Relationship Id="rId76" Type="http://schemas.openxmlformats.org/officeDocument/2006/relationships/hyperlink" Target="https://majorprojects.planningportal.nsw.gov.au/prweb/PRRestService/mp/01/getContent?AttachRef=SSD-69223466%2120260724T063200.298+GMT" TargetMode="External"/><Relationship Id="rId141" Type="http://schemas.openxmlformats.org/officeDocument/2006/relationships/hyperlink" Target="https://www.planningportal.nsw.gov.au/major-projects/projects/23-25-waterloo-road-data-centre" TargetMode="External"/><Relationship Id="rId379" Type="http://schemas.openxmlformats.org/officeDocument/2006/relationships/hyperlink" Target="https://echonewspaper.com.au/news/swan-backs-data-centre-policy-push/" TargetMode="External"/><Relationship Id="rId586" Type="http://schemas.openxmlformats.org/officeDocument/2006/relationships/hyperlink" Target="https://nominatim.openstreetmap.org/search?q=433+Mount+Atkinson+Road+Truganina+VIC" TargetMode="External"/><Relationship Id="rId7" Type="http://schemas.openxmlformats.org/officeDocument/2006/relationships/hyperlink" Target="https://www.cmtedd.act.gov.au/open_government/inform/act_government_media_releases/barr/2026/providing-a-clear-framework-for-data-centres-in-the-act" TargetMode="External"/><Relationship Id="rId239" Type="http://schemas.openxmlformats.org/officeDocument/2006/relationships/hyperlink" Target="https://dcidatacenters.com/" TargetMode="External"/><Relationship Id="rId446" Type="http://schemas.openxmlformats.org/officeDocument/2006/relationships/hyperlink" Target="https://w.media/airtrunk-to-add-345-mw-facility-in-aud-5bn-melbourne-investment/" TargetMode="External"/><Relationship Id="rId292" Type="http://schemas.openxmlformats.org/officeDocument/2006/relationships/hyperlink" Target="https://supernode.com.au/project/sunshine-dc/" TargetMode="External"/><Relationship Id="rId306" Type="http://schemas.openxmlformats.org/officeDocument/2006/relationships/hyperlink" Target="https://www.abc.net.au/news/2026-09-09/six-new-confidential-data-centre-proposals-tasmania-revealed/107131974" TargetMode="External"/><Relationship Id="rId87" Type="http://schemas.openxmlformats.org/officeDocument/2006/relationships/hyperlink" Target="https://majorprojects.planningportal.nsw.gov.au/prweb/PRRestService/mp/01/getContent?AttachRef=SSD-82211208%2120251111T070105.391+GMT" TargetMode="External"/><Relationship Id="rId513" Type="http://schemas.openxmlformats.org/officeDocument/2006/relationships/hyperlink" Target="https://baxtel.com/data-center/goodman-project-apollo" TargetMode="External"/><Relationship Id="rId597" Type="http://schemas.openxmlformats.org/officeDocument/2006/relationships/hyperlink" Target="https://www.planningalerts.org.au/applications/3442743" TargetMode="External"/><Relationship Id="rId152" Type="http://schemas.openxmlformats.org/officeDocument/2006/relationships/hyperlink" Target="https://www.planningportal.nsw.gov.au/major-projects/projects/eastern-creek-data-centre-mod-2-power-consumption-increase" TargetMode="External"/><Relationship Id="rId457" Type="http://schemas.openxmlformats.org/officeDocument/2006/relationships/hyperlink" Target="https://w.media/dcis-sumit-mukhija-why-certainty-matters-more-than-megawatts/" TargetMode="External"/><Relationship Id="rId14" Type="http://schemas.openxmlformats.org/officeDocument/2006/relationships/hyperlink" Target="https://dafinder.blob.core.windows.net/dadocuments/DOCs/NOISEREPORT-202645149-01.pdf" TargetMode="External"/><Relationship Id="rId317" Type="http://schemas.openxmlformats.org/officeDocument/2006/relationships/hyperlink" Target="https://bebeez.eu/2026/09/30/australias-cdc-plans-gigawatt-scale-data-center-campus-in-wagga-wagga/" TargetMode="External"/><Relationship Id="rId524" Type="http://schemas.openxmlformats.org/officeDocument/2006/relationships/hyperlink" Target="https://baxtel.com/data-center/nextdc-s7-sydney" TargetMode="External"/><Relationship Id="rId98" Type="http://schemas.openxmlformats.org/officeDocument/2006/relationships/hyperlink" Target="https://parliament.tas.gov.au/__data/assets/pdf_file/0012/110730/2026-08-13-ProfRazay.pdf" TargetMode="External"/><Relationship Id="rId121" Type="http://schemas.openxmlformats.org/officeDocument/2006/relationships/hyperlink" Target="https://www.planning.vic.gov.au/planning-approvals/ministerial-permits-register/ministerial-permits/739c637a-54d6-42c8-a673-5c590bae387a" TargetMode="External"/><Relationship Id="rId163" Type="http://schemas.openxmlformats.org/officeDocument/2006/relationships/hyperlink" Target="https://www.planningportal.nsw.gov.au/major-projects/projects/nextdc-s4-data-centre-horsley-park" TargetMode="External"/><Relationship Id="rId219" Type="http://schemas.openxmlformats.org/officeDocument/2006/relationships/hyperlink" Target="https://cdc.com/locations/perth/" TargetMode="External"/><Relationship Id="rId370" Type="http://schemas.openxmlformats.org/officeDocument/2006/relationships/hyperlink" Target="https://datacentremoratorium.net/index.php/Resources:Perri_Melbourne_Data_Centre_(PMDC)" TargetMode="External"/><Relationship Id="rId426" Type="http://schemas.openxmlformats.org/officeDocument/2006/relationships/hyperlink" Target="https://telconews.com.au/story/quinbrook-launches-2-5-billion-supernode-800mw-data-storage-project" TargetMode="External"/><Relationship Id="rId230" Type="http://schemas.openxmlformats.org/officeDocument/2006/relationships/hyperlink" Target="https://www.cdc.com.au/locations/sydney-and-regional-nsw/marsden-park/" TargetMode="External"/><Relationship Id="rId468" Type="http://schemas.openxmlformats.org/officeDocument/2006/relationships/hyperlink" Target="https://w.media/iseek-acquires-yourdc-expands-australian-footprint/" TargetMode="External"/><Relationship Id="rId25" Type="http://schemas.openxmlformats.org/officeDocument/2006/relationships/hyperlink" Target="https://ehume.hume.vic.gov.au/T1PRProd/WebApps/eProperty/P1/eTrack/eTrackApplicationDetails.aspx?ApplicationId=P26624&amp;f=%24P1.ETR.APPDET.VIW&amp;r=P1.HCC.WEBGUEST" TargetMode="External"/><Relationship Id="rId67" Type="http://schemas.openxmlformats.org/officeDocument/2006/relationships/hyperlink" Target="https://majorprojects.planningportal.nsw.gov.au/prweb/PRRestService/mp/01/getContent?AttachRef=SSD-53338465%2120241216T034941.727+GMT" TargetMode="External"/><Relationship Id="rId272" Type="http://schemas.openxmlformats.org/officeDocument/2006/relationships/hyperlink" Target="https://www.kapitol.com/insights/project-news/project-update-m3-stage-2-and-4" TargetMode="External"/><Relationship Id="rId328" Type="http://schemas.openxmlformats.org/officeDocument/2006/relationships/hyperlink" Target="https://datacenterdynamics.com/en/news/45mw-data-center-proposed-next-to-airtrunk-syd2-site" TargetMode="External"/><Relationship Id="rId535" Type="http://schemas.openxmlformats.org/officeDocument/2006/relationships/hyperlink" Target="https://baxtel.com/data-center/vantage-melbourne-mel1" TargetMode="External"/><Relationship Id="rId577" Type="http://schemas.openxmlformats.org/officeDocument/2006/relationships/hyperlink" Target="https://en.wikipedia.org/wiki/Moorabool,_Victoria" TargetMode="External"/><Relationship Id="rId132" Type="http://schemas.openxmlformats.org/officeDocument/2006/relationships/hyperlink" Target="https://www.planning.wa.gov.au/development-assessment-panels/current-development-assessment-panels-applications-and-information" TargetMode="External"/><Relationship Id="rId174" Type="http://schemas.openxmlformats.org/officeDocument/2006/relationships/hyperlink" Target="https://www.planningportal.nsw.gov.au/major-projects/projects/southern-highlands-data-campus-power-station" TargetMode="External"/><Relationship Id="rId381" Type="http://schemas.openxmlformats.org/officeDocument/2006/relationships/hyperlink" Target="https://esdnews.com.au/northern-territory-commits-land-to-gas-backed-data-centre/" TargetMode="External"/><Relationship Id="rId602" Type="http://schemas.openxmlformats.org/officeDocument/2006/relationships/hyperlink" Target="https://renewmap.com.au/resources/projects/wa/datacentre/" TargetMode="External"/><Relationship Id="rId241" Type="http://schemas.openxmlformats.org/officeDocument/2006/relationships/hyperlink" Target="https://dcidatacenters.com/news/adelaide-new-digital-infrastructure/" TargetMode="External"/><Relationship Id="rId437" Type="http://schemas.openxmlformats.org/officeDocument/2006/relationships/hyperlink" Target="https://www.theurbandeveloper.com/articles/swanbank-data-centre-proposal-ipswich-tallest-building-qld" TargetMode="External"/><Relationship Id="rId479" Type="http://schemas.openxmlformats.org/officeDocument/2006/relationships/hyperlink" Target="https://w.media/victorias-data-centre-pipeline-grows-with-four-new-melbourne-proposals/" TargetMode="External"/><Relationship Id="rId36" Type="http://schemas.openxmlformats.org/officeDocument/2006/relationships/hyperlink" Target="https://majorprojects.planningportal.nsw.gov.au/prweb/PRRestService/mp/01/getContent?AttachRef=PDA-100709964%2120260329T220047.132+GMT" TargetMode="External"/><Relationship Id="rId283" Type="http://schemas.openxmlformats.org/officeDocument/2006/relationships/hyperlink" Target="https://www.quinbrook.com/?p=1283" TargetMode="External"/><Relationship Id="rId339" Type="http://schemas.openxmlformats.org/officeDocument/2006/relationships/hyperlink" Target="https://www.datacenterdynamics.com/en/news/centuria-plans-40mw-data-center-in-melbourne-australia/" TargetMode="External"/><Relationship Id="rId490" Type="http://schemas.openxmlformats.org/officeDocument/2006/relationships/hyperlink" Target="https://baxtel.com/data-center/cdc-hume-5" TargetMode="External"/><Relationship Id="rId504" Type="http://schemas.openxmlformats.org/officeDocument/2006/relationships/hyperlink" Target="https://baxtel.com/data-center/equinix-sy10x" TargetMode="External"/><Relationship Id="rId546" Type="http://schemas.openxmlformats.org/officeDocument/2006/relationships/hyperlink" Target="https://cloudcarrier.com/about-us/" TargetMode="External"/><Relationship Id="rId78" Type="http://schemas.openxmlformats.org/officeDocument/2006/relationships/hyperlink" Target="https://majorprojects.planningportal.nsw.gov.au/prweb/PRRestService/mp/01/getContent?AttachRef=SSD-69637456-PA-4%2120260908T051808.581+GMT" TargetMode="External"/><Relationship Id="rId101" Type="http://schemas.openxmlformats.org/officeDocument/2006/relationships/hyperlink" Target="https://www.parliament.tas.gov.au/__data/assets/pdf_file/0010/112231/120.-Firmus-combined.pdf" TargetMode="External"/><Relationship Id="rId143" Type="http://schemas.openxmlformats.org/officeDocument/2006/relationships/hyperlink" Target="https://www.planningportal.nsw.gov.au/major-projects/projects/51-huntingwood-drive-data-centre-mod-2-design-updates" TargetMode="External"/><Relationship Id="rId185" Type="http://schemas.openxmlformats.org/officeDocument/2006/relationships/hyperlink" Target="https://services1.arcgis.com/E5n4f1VY84i0xSjy/arcgis/rest/services/ACTGOV_DAFINDER_LIST_VIEW/FeatureServer/0/query" TargetMode="External"/><Relationship Id="rId350" Type="http://schemas.openxmlformats.org/officeDocument/2006/relationships/hyperlink" Target="https://www.datacenterdynamics.com/en/news/quinbrook-to-build-17-billion-data-center-2gwh-battery-storage-in-queensland-australia/" TargetMode="External"/><Relationship Id="rId406" Type="http://schemas.openxmlformats.org/officeDocument/2006/relationships/hyperlink" Target="https://pulsetasmania.com.au/news/council-calls-for-state-to-step-in-on-proposed-ai-data-centre/" TargetMode="External"/><Relationship Id="rId588" Type="http://schemas.openxmlformats.org/officeDocument/2006/relationships/hyperlink" Target="https://nominatim.openstreetmap.org/search?q=45+Donnybrook+Road+Mickleham+VIC" TargetMode="External"/><Relationship Id="rId9" Type="http://schemas.openxmlformats.org/officeDocument/2006/relationships/hyperlink" Target="https://dafinder.blob.core.windows.net/dadocuments/DOCs/DEVOUTCOMEREP-202443633-01.pdf" TargetMode="External"/><Relationship Id="rId210" Type="http://schemas.openxmlformats.org/officeDocument/2006/relationships/hyperlink" Target="https://announcements.asx.com.au/asxpdf/20260526/pdf/06zymgqsx9p9y5.pdf" TargetMode="External"/><Relationship Id="rId392" Type="http://schemas.openxmlformats.org/officeDocument/2006/relationships/hyperlink" Target="https://itwire.com/it-industry-news/deals/firmus-signs-multi-year-agreement-with-global-hyperscale-customer-202603020801.html" TargetMode="External"/><Relationship Id="rId448" Type="http://schemas.openxmlformats.org/officeDocument/2006/relationships/hyperlink" Target="https://w.media/as-australian-data-centres-demand-more-power-what-might-be-the-future-role-of-batteries/" TargetMode="External"/><Relationship Id="rId252" Type="http://schemas.openxmlformats.org/officeDocument/2006/relationships/hyperlink" Target="https://firmus.co/newsroom/firmus-signs-multi-year-agreement-with-global-hyperscale-customer-at-project-southgate" TargetMode="External"/><Relationship Id="rId294" Type="http://schemas.openxmlformats.org/officeDocument/2006/relationships/hyperlink" Target="https://vantage-dc.com/data-centers/melbourne/" TargetMode="External"/><Relationship Id="rId308" Type="http://schemas.openxmlformats.org/officeDocument/2006/relationships/hyperlink" Target="https://www.abc.net.au/news/2026-09-15/firmus-technologies-lodge-tascat-appeal-for-generator-use/107144572" TargetMode="External"/><Relationship Id="rId515" Type="http://schemas.openxmlformats.org/officeDocument/2006/relationships/hyperlink" Target="https://baxtel.com/data-center/goodman-project-duke" TargetMode="External"/><Relationship Id="rId47" Type="http://schemas.openxmlformats.org/officeDocument/2006/relationships/hyperlink" Target="https://majorprojects.planningportal.nsw.gov.au/prweb/PRRestService/mp/01/getContent?AttachRef=PDA-88817956%2120250728T071939.077+GMT" TargetMode="External"/><Relationship Id="rId89" Type="http://schemas.openxmlformats.org/officeDocument/2006/relationships/hyperlink" Target="https://www.nsw.gov.au/ministerial-releases/data-centre-investment-sustainable-development" TargetMode="External"/><Relationship Id="rId112" Type="http://schemas.openxmlformats.org/officeDocument/2006/relationships/hyperlink" Target="https://www.planning.vic.gov.au/planning-approvals/ministerial-permits-register/ministerial-permits/14c42f63-3f54-f111-bec6-6045bdc28ba0" TargetMode="External"/><Relationship Id="rId154" Type="http://schemas.openxmlformats.org/officeDocument/2006/relationships/hyperlink" Target="https://www.planningportal.nsw.gov.au/major-projects/projects/grand-avenue-data-centre-expansion-rosehill" TargetMode="External"/><Relationship Id="rId361" Type="http://schemas.openxmlformats.org/officeDocument/2006/relationships/hyperlink" Target="https://datacentremoratorium.net/index.php/Resources:CDC_Laverton_Campus" TargetMode="External"/><Relationship Id="rId557" Type="http://schemas.openxmlformats.org/officeDocument/2006/relationships/hyperlink" Target="https://www.datacentermap.com/australia/launceston/project-southgate/" TargetMode="External"/><Relationship Id="rId599" Type="http://schemas.openxmlformats.org/officeDocument/2006/relationships/hyperlink" Target="https://www.planningalerts.org.au/applications/3532795" TargetMode="External"/><Relationship Id="rId196" Type="http://schemas.openxmlformats.org/officeDocument/2006/relationships/hyperlink" Target="https://sftpbspomppprod01.blob.core.windows.net/applicationfiles/fcb0d877-0b98-ef11-8a68-002248938a9c_Planning%20Permit%20-%20PA2403320%20-%2063%20Sunshine%20Road%20West%20Footscray.pdf" TargetMode="External"/><Relationship Id="rId417" Type="http://schemas.openxmlformats.org/officeDocument/2006/relationships/hyperlink" Target="https://www.realestatesource.com.au/epa-lodges-first-data-centre-objection/" TargetMode="External"/><Relationship Id="rId459" Type="http://schemas.openxmlformats.org/officeDocument/2006/relationships/hyperlink" Target="https://w.media/firmus-raises-aud-330-million-for-tasmania-ai-factory/" TargetMode="External"/><Relationship Id="rId16" Type="http://schemas.openxmlformats.org/officeDocument/2006/relationships/hyperlink" Target="https://dafinder.blob.core.windows.net/dadocuments/DOCs/NOTICEOFDECISION-202443633-S205E-SIGNED.pdf" TargetMode="External"/><Relationship Id="rId221" Type="http://schemas.openxmlformats.org/officeDocument/2006/relationships/hyperlink" Target="https://cdc.com/locations/perth/maddington/" TargetMode="External"/><Relationship Id="rId263" Type="http://schemas.openxmlformats.org/officeDocument/2006/relationships/hyperlink" Target="https://www.hmccapital.com.au/investment-strategies/digital-infrastructure/digico-infrastructure-reit/financial-reports-presentations/dgt-fy25-results-presentation/" TargetMode="External"/><Relationship Id="rId319" Type="http://schemas.openxmlformats.org/officeDocument/2006/relationships/hyperlink" Target="https://brisbanedevelopment.com.au/anthropic-zerra-dc-western-downs-digital-park-32-billion-data-centre-dalby/" TargetMode="External"/><Relationship Id="rId470" Type="http://schemas.openxmlformats.org/officeDocument/2006/relationships/hyperlink" Target="https://w.media/next-capital-agrees-to-acquire-fujitsus-australian-data-centre-business/" TargetMode="External"/><Relationship Id="rId526" Type="http://schemas.openxmlformats.org/officeDocument/2006/relationships/hyperlink" Target="https://baxtel.com/data-center/stack-mel01b" TargetMode="External"/><Relationship Id="rId58" Type="http://schemas.openxmlformats.org/officeDocument/2006/relationships/hyperlink" Target="https://majorprojects.planningportal.nsw.gov.au/prweb/PRRestService/mp/01/getContent?AttachRef=SSD-133677993%2120260831T070108.748+GMT" TargetMode="External"/><Relationship Id="rId123" Type="http://schemas.openxmlformats.org/officeDocument/2006/relationships/hyperlink" Target="https://www.planning.vic.gov.au/planning-approvals/ministerial-permits-register/ministerial-permits/8acfef7f-1ab6-f111-aaac-000d3acbdfba" TargetMode="External"/><Relationship Id="rId330" Type="http://schemas.openxmlformats.org/officeDocument/2006/relationships/hyperlink" Target="https://datacenterdynamics.com/en/news/plans-filed-for-400mw-data-center-campus-outside-melbourne-australia" TargetMode="External"/><Relationship Id="rId568" Type="http://schemas.openxmlformats.org/officeDocument/2006/relationships/hyperlink" Target="https://www.datacenters.com/dci-adelaide-03" TargetMode="External"/><Relationship Id="rId165" Type="http://schemas.openxmlformats.org/officeDocument/2006/relationships/hyperlink" Target="https://www.planningportal.nsw.gov.au/major-projects/projects/nextdc-s4-horsley-park-mod-2-acoustic-barrier-amendments" TargetMode="External"/><Relationship Id="rId372" Type="http://schemas.openxmlformats.org/officeDocument/2006/relationships/hyperlink" Target="https://datacentremoratorium.net/index.php/Resources:STACK_MEL02_Campus" TargetMode="External"/><Relationship Id="rId428" Type="http://schemas.openxmlformats.org/officeDocument/2006/relationships/hyperlink" Target="https://www.theage.com.au/national/victoria/west-footscray-data-centre-bids-to-double-in-size-amid-nightmare-construction-20260324-p5uags.html" TargetMode="External"/><Relationship Id="rId232" Type="http://schemas.openxmlformats.org/officeDocument/2006/relationships/hyperlink" Target="https://cdn-api.markitdigital.com/apiman-gateway/ASX/asx-research/1.0/file/2924-03126655-2A1692379" TargetMode="External"/><Relationship Id="rId274" Type="http://schemas.openxmlformats.org/officeDocument/2006/relationships/hyperlink" Target="https://www.linesight.com/projects/supporting-delivery-of-dcis-64mw-syd02-hyperscale-data-centre-in-sydney/" TargetMode="External"/><Relationship Id="rId481" Type="http://schemas.openxmlformats.org/officeDocument/2006/relationships/hyperlink" Target="https://w.media/zerra-plans-1-44gw-aud-14-5bn-data-centre-campus-in-queensland/" TargetMode="External"/><Relationship Id="rId27" Type="http://schemas.openxmlformats.org/officeDocument/2006/relationships/hyperlink" Target="https://epbcpublicportal.environment.gov.au/all-referrals/project-referral-summary/?id=f4f8aae0-956b-f111-ab0b-000d3aca9bcb" TargetMode="External"/><Relationship Id="rId69" Type="http://schemas.openxmlformats.org/officeDocument/2006/relationships/hyperlink" Target="https://majorprojects.planningportal.nsw.gov.au/prweb/PRRestService/mp/01/getContent?AttachRef=SSD-63235720%2120260611T061649.742+GMT" TargetMode="External"/><Relationship Id="rId134" Type="http://schemas.openxmlformats.org/officeDocument/2006/relationships/hyperlink" Target="https://www.planning.wa.gov.au/docs/default-source/daps-docs-other/current-applications.pdf" TargetMode="External"/><Relationship Id="rId537" Type="http://schemas.openxmlformats.org/officeDocument/2006/relationships/hyperlink" Target="https://baxtel.com/data-centers/digico-infrastructure-reit" TargetMode="External"/><Relationship Id="rId579" Type="http://schemas.openxmlformats.org/officeDocument/2006/relationships/hyperlink" Target="https://www.hmccapital.com.au/investment-strategies/digital-infrastructure/digico-infrastructure-reit/financial-reports-presentations/dgt-annual-report-2025/" TargetMode="External"/><Relationship Id="rId80" Type="http://schemas.openxmlformats.org/officeDocument/2006/relationships/hyperlink" Target="https://majorprojects.planningportal.nsw.gov.au/prweb/PRRestService/mp/01/getContent?AttachRef=SSD-70889211-PA-21%2120260612T050533.584+GMT" TargetMode="External"/><Relationship Id="rId176" Type="http://schemas.openxmlformats.org/officeDocument/2006/relationships/hyperlink" Target="https://www.planningportal.nsw.gov.au/major-projects/projects/talavera-road-data-centre-campus-expansion" TargetMode="External"/><Relationship Id="rId341" Type="http://schemas.openxmlformats.org/officeDocument/2006/relationships/hyperlink" Target="https://www.datacenterdynamics.com/en/news/dci-acquires-land-for-third-adelaide-data-center/" TargetMode="External"/><Relationship Id="rId383" Type="http://schemas.openxmlformats.org/officeDocument/2006/relationships/hyperlink" Target="https://www.geoffbrock.com.au/2026/08/iren-community-drop-in-sessions-bundey-data-centre/" TargetMode="External"/><Relationship Id="rId439" Type="http://schemas.openxmlformats.org/officeDocument/2006/relationships/hyperlink" Target="https://thewest.com.au/business/cdc-courts-hazelmere-residents-with-192mw-data-centre-after-greensquares-11b-plan-collapsed-c-22889611" TargetMode="External"/><Relationship Id="rId590" Type="http://schemas.openxmlformats.org/officeDocument/2006/relationships/hyperlink" Target="https://nominatim.openstreetmap.org/search?q=715+Ballan+Road+Moorabool+VIC" TargetMode="External"/><Relationship Id="rId604" Type="http://schemas.openxmlformats.org/officeDocument/2006/relationships/hyperlink" Target="https://supernode.com.au/" TargetMode="External"/><Relationship Id="rId201" Type="http://schemas.openxmlformats.org/officeDocument/2006/relationships/hyperlink" Target="https://www.aap.com.au/aapreleases/cision20251112ae20247" TargetMode="External"/><Relationship Id="rId243" Type="http://schemas.openxmlformats.org/officeDocument/2006/relationships/hyperlink" Target="https://www.dcidatacenters.com/news/adelaide-new-digital-infrastructure/" TargetMode="External"/><Relationship Id="rId285" Type="http://schemas.openxmlformats.org/officeDocument/2006/relationships/hyperlink" Target="https://www.quinbrook.com/?p=2719" TargetMode="External"/><Relationship Id="rId450" Type="http://schemas.openxmlformats.org/officeDocument/2006/relationships/hyperlink" Target="https://w.media/cdc-data-centres-plans-was-largest-ai-and-advanced-technology-campus/" TargetMode="External"/><Relationship Id="rId506" Type="http://schemas.openxmlformats.org/officeDocument/2006/relationships/hyperlink" Target="https://baxtel.com/data-center/firmus-launceston-campus" TargetMode="External"/><Relationship Id="rId38" Type="http://schemas.openxmlformats.org/officeDocument/2006/relationships/hyperlink" Target="https://majorprojects.planningportal.nsw.gov.au/prweb/PRRestService/mp/01/getContent?AttachRef=PDA-105602456%2120260306T053125.861+GMT" TargetMode="External"/><Relationship Id="rId103" Type="http://schemas.openxmlformats.org/officeDocument/2006/relationships/hyperlink" Target="https://www.parliament.tas.gov.au/__data/assets/pdf_file/0012/112260/152.-Hydro-Tasmania-Submission.pdf" TargetMode="External"/><Relationship Id="rId310" Type="http://schemas.openxmlformats.org/officeDocument/2006/relationships/hyperlink" Target="https://www.abc.net.au/news/2026-09-26/firmus-starts-development-work-without-permit-wesley-vale/107198264" TargetMode="External"/><Relationship Id="rId492" Type="http://schemas.openxmlformats.org/officeDocument/2006/relationships/hyperlink" Target="https://baxtel.com/data-center/cdc-laverton-campus" TargetMode="External"/><Relationship Id="rId548" Type="http://schemas.openxmlformats.org/officeDocument/2006/relationships/hyperlink" Target="https://dafinder.blob.core.windows.net/dadocuments/DOCs/SUPP-202443633-S205D-LETTER-01.pdf" TargetMode="External"/><Relationship Id="rId91" Type="http://schemas.openxmlformats.org/officeDocument/2006/relationships/hyperlink" Target="https://ntepa.nt.gov.au/__data/assets/pdf_file/0014/1622102/referral-form.pdf" TargetMode="External"/><Relationship Id="rId145" Type="http://schemas.openxmlformats.org/officeDocument/2006/relationships/hyperlink" Target="https://www.planningportal.nsw.gov.au/major-projects/projects/apollo-place-data-centre" TargetMode="External"/><Relationship Id="rId187" Type="http://schemas.openxmlformats.org/officeDocument/2006/relationships/hyperlink" Target="https://sftpbspomppprod01.blob.core.windows.net/applicationfiles/14c42f63-3f54-f111-bec6-6045bdc28ba0_ADV%204%20-%20PA2604419-413%20Francis%20Street%20Brooklyn-Cover%20Letter-200526.pdf" TargetMode="External"/><Relationship Id="rId352" Type="http://schemas.openxmlformats.org/officeDocument/2006/relationships/hyperlink" Target="https://www.datacenterdynamics.com/en/news/starwood-doma-and-telstra-plan-62mw-data-center-in-sydney/" TargetMode="External"/><Relationship Id="rId394" Type="http://schemas.openxmlformats.org/officeDocument/2006/relationships/hyperlink" Target="https://maribyrnonghobsonsbay.starweekly.com.au/news/data-centre-bosss-application-intervention-rejection/" TargetMode="External"/><Relationship Id="rId408" Type="http://schemas.openxmlformats.org/officeDocument/2006/relationships/hyperlink" Target="https://pulsetasmania.com.au/news/george-town-planners-recommend-approval-of-288mw-ai-data-centre/" TargetMode="External"/><Relationship Id="rId212" Type="http://schemas.openxmlformats.org/officeDocument/2006/relationships/hyperlink" Target="https://announcements.asx.com.au/asxpdf/20260821/pdf/07313ph24n944h.pdf" TargetMode="External"/><Relationship Id="rId254" Type="http://schemas.openxmlformats.org/officeDocument/2006/relationships/hyperlink" Target="https://firmus.co/newsroom/tasmanian-world-first-ai-factory-zone-clears-path-for-firmus-project-southgate" TargetMode="External"/><Relationship Id="rId49" Type="http://schemas.openxmlformats.org/officeDocument/2006/relationships/hyperlink" Target="https://majorprojects.planningportal.nsw.gov.au/prweb/PRRestService/mp/01/getContent?AttachRef=PDA-95012491%2120250926T033914.129+GMT" TargetMode="External"/><Relationship Id="rId114" Type="http://schemas.openxmlformats.org/officeDocument/2006/relationships/hyperlink" Target="https://www.planning.vic.gov.au/planning-approvals/ministerial-permits-register/ministerial-permits/1ea17bd8-75be-ef11-b8e8-002248938a9c" TargetMode="External"/><Relationship Id="rId296" Type="http://schemas.openxmlformats.org/officeDocument/2006/relationships/hyperlink" Target="https://www.abc.net.au/news/2026-06-09/firefighter-concern-over-data-centres-in-melbourne-west/106762858" TargetMode="External"/><Relationship Id="rId461" Type="http://schemas.openxmlformats.org/officeDocument/2006/relationships/hyperlink" Target="https://w.media/firmus-wins-approval-to-build-2-1bn-ai-factory-in-launceston/" TargetMode="External"/><Relationship Id="rId517" Type="http://schemas.openxmlformats.org/officeDocument/2006/relationships/hyperlink" Target="https://baxtel.com/data-center/greensquaredc-syd1-bldg2" TargetMode="External"/><Relationship Id="rId559" Type="http://schemas.openxmlformats.org/officeDocument/2006/relationships/hyperlink" Target="https://www.datacentermap.com/australia/melbourne/413-francis-street/" TargetMode="External"/><Relationship Id="rId60" Type="http://schemas.openxmlformats.org/officeDocument/2006/relationships/hyperlink" Target="https://majorprojects.planningportal.nsw.gov.au/prweb/PRRestService/mp/01/getContent?AttachRef=SSD-21342738-MOD-2%2120260812T003248.610+GMT" TargetMode="External"/><Relationship Id="rId156" Type="http://schemas.openxmlformats.org/officeDocument/2006/relationships/hyperlink" Target="https://www.planningportal.nsw.gov.au/major-projects/projects/kc1-data-centre-kemps-creek" TargetMode="External"/><Relationship Id="rId198" Type="http://schemas.openxmlformats.org/officeDocument/2006/relationships/hyperlink" Target="https://statements.qld.gov.au/statements/100095" TargetMode="External"/><Relationship Id="rId321" Type="http://schemas.openxmlformats.org/officeDocument/2006/relationships/hyperlink" Target="https://www.canberratimes.com.au/story/9344073/cdc-data-centres-unveil-jerrabomberra-stage-2-ahead-of-new-rules/" TargetMode="External"/><Relationship Id="rId363" Type="http://schemas.openxmlformats.org/officeDocument/2006/relationships/hyperlink" Target="https://datacentremoratorium.net/index.php/Resources:Centuria_Clayton" TargetMode="External"/><Relationship Id="rId419" Type="http://schemas.openxmlformats.org/officeDocument/2006/relationships/hyperlink" Target="https://www.realestatesource.com.au/mab-wins-long-battle-to-develop-tip-buffer-site/" TargetMode="External"/><Relationship Id="rId570" Type="http://schemas.openxmlformats.org/officeDocument/2006/relationships/hyperlink" Target="https://datacentremoratorium.net/index.php/Resources:AirTrunk_MEL1" TargetMode="External"/><Relationship Id="rId223" Type="http://schemas.openxmlformats.org/officeDocument/2006/relationships/hyperlink" Target="https://cdc.com/media/v2detpiy/cdc-hazelmere-community-update_sep-2026.pdf" TargetMode="External"/><Relationship Id="rId430" Type="http://schemas.openxmlformats.org/officeDocument/2006/relationships/hyperlink" Target="https://thetechcapital.com/brookfields-dci-invests-in-further-australian-data-centre-expansions/" TargetMode="External"/><Relationship Id="rId18" Type="http://schemas.openxmlformats.org/officeDocument/2006/relationships/hyperlink" Target="https://dafinder.blob.core.windows.net/dadocuments/DOCs/NOTICEOFDECISION-202645149-SIGNED.pdf" TargetMode="External"/><Relationship Id="rId265" Type="http://schemas.openxmlformats.org/officeDocument/2006/relationships/hyperlink" Target="https://www.hmccapital.com.au/investment-strategies/digital-infrastructure/digico-infrastructure-reit/financial-reports-presentations/digico-platform-update/" TargetMode="External"/><Relationship Id="rId472" Type="http://schemas.openxmlformats.org/officeDocument/2006/relationships/hyperlink" Target="https://w.media/nsw-moves-15-data-centres-worth-aud-51-9bn-into-ida-pipeline/" TargetMode="External"/><Relationship Id="rId528" Type="http://schemas.openxmlformats.org/officeDocument/2006/relationships/hyperlink" Target="https://baxtel.com/data-center/stack-mel02b" TargetMode="External"/><Relationship Id="rId125" Type="http://schemas.openxmlformats.org/officeDocument/2006/relationships/hyperlink" Target="https://www.planning.vic.gov.au/planning-approvals/ministerial-permits-register/ministerial-permits/aae82a26-d98b-f111-ab0f-6045bde5e09b" TargetMode="External"/><Relationship Id="rId167" Type="http://schemas.openxmlformats.org/officeDocument/2006/relationships/hyperlink" Target="https://www.planningportal.nsw.gov.au/major-projects/projects/nextdc-s5-data-centre-and-innovation-hub" TargetMode="External"/><Relationship Id="rId332" Type="http://schemas.openxmlformats.org/officeDocument/2006/relationships/hyperlink" Target="https://www.datacenterdynamics.com/en/news/application-filed-for-200mw-data-center-in-melbourne-australia/" TargetMode="External"/><Relationship Id="rId374" Type="http://schemas.openxmlformats.org/officeDocument/2006/relationships/hyperlink" Target="https://datacentremoratorium.net/index.php/Resources:Stockland_Brooklyn" TargetMode="External"/><Relationship Id="rId581" Type="http://schemas.openxmlformats.org/officeDocument/2006/relationships/hyperlink" Target="https://nominatim.openstreetmap.org/reverse?lat=-34.7404086&amp;lon=138.6440232&amp;format=json" TargetMode="External"/><Relationship Id="rId71" Type="http://schemas.openxmlformats.org/officeDocument/2006/relationships/hyperlink" Target="https://majorprojects.planningportal.nsw.gov.au/prweb/PRRestService/mp/01/getContent?AttachRef=SSD-66777221%2120250411T063539.397+GMT" TargetMode="External"/><Relationship Id="rId234" Type="http://schemas.openxmlformats.org/officeDocument/2006/relationships/hyperlink" Target="https://cdn.sanity.io/files/q43wife6/production/f83cc940db9392a3e22304614085d6091ac71bcb.pdf" TargetMode="External"/><Relationship Id="rId2" Type="http://schemas.openxmlformats.org/officeDocument/2006/relationships/hyperlink" Target="https://www.ausnetservices.com.au/projects-and-innovation/major-projects/laverton-north-transmission-works" TargetMode="External"/><Relationship Id="rId29" Type="http://schemas.openxmlformats.org/officeDocument/2006/relationships/hyperlink" Target="https://georgetown.tas.gov.au/volumes/documents/Shared/Council-Meetings/2026/08.-August-2026/2026-08-25-Ordinary-Council-Meeting-Agenda.pdf" TargetMode="External"/><Relationship Id="rId276" Type="http://schemas.openxmlformats.org/officeDocument/2006/relationships/hyperlink" Target="https://nextcapital.com.au/next-capital-buys-fujitsu-australian-data-centres/" TargetMode="External"/><Relationship Id="rId441" Type="http://schemas.openxmlformats.org/officeDocument/2006/relationships/hyperlink" Target="https://thewest.com.au/business/infrastructure/cdc-data-centres-unveils-plans-for-415m-maddington-data-centre-c-19636890" TargetMode="External"/><Relationship Id="rId483" Type="http://schemas.openxmlformats.org/officeDocument/2006/relationships/hyperlink" Target="https://yourneighbourhood.com.au/2-5-billion-data-supernode-brendale-moreton-bay/" TargetMode="External"/><Relationship Id="rId539" Type="http://schemas.openxmlformats.org/officeDocument/2006/relationships/hyperlink" Target="https://baxtel.com/news/a-70mw-facility-is-set-to-replace-the-former-exodus-data-center-in-sydney-australia" TargetMode="External"/><Relationship Id="rId40" Type="http://schemas.openxmlformats.org/officeDocument/2006/relationships/hyperlink" Target="https://majorprojects.planningportal.nsw.gov.au/prweb/PRRestService/mp/01/getContent?AttachRef=PDA-126361990%2120260713T012616.739+GMT" TargetMode="External"/><Relationship Id="rId136" Type="http://schemas.openxmlformats.org/officeDocument/2006/relationships/hyperlink" Target="https://www.planning.wa.gov.au/docs/default-source/daps/agenda---no-102---city-of-gosnells.pdf?sfvrsn=36d5cb68_1" TargetMode="External"/><Relationship Id="rId178" Type="http://schemas.openxmlformats.org/officeDocument/2006/relationships/hyperlink" Target="https://www.planningportal.nsw.gov.au/planning-panel/1-5-khartoum-road-concept-da" TargetMode="External"/><Relationship Id="rId301" Type="http://schemas.openxmlformats.org/officeDocument/2006/relationships/hyperlink" Target="https://www.abc.net.au/news/2026-08-13/councils-grapple-with-data-centre-applications/107029724" TargetMode="External"/><Relationship Id="rId343" Type="http://schemas.openxmlformats.org/officeDocument/2006/relationships/hyperlink" Target="https://www.datacenterdynamics.com/en/news/firmus-targets-288mw-data-campus-in-tasmania/" TargetMode="External"/><Relationship Id="rId550" Type="http://schemas.openxmlformats.org/officeDocument/2006/relationships/hyperlink" Target="https://www.datacentermap.com/australia/adelaide/yourdc-edinburgh/" TargetMode="External"/><Relationship Id="rId82" Type="http://schemas.openxmlformats.org/officeDocument/2006/relationships/hyperlink" Target="https://majorprojects.planningportal.nsw.gov.au/prweb/PRRestService/mp/01/getContent?AttachRef=SSD-71368959%2120251222T223948.276+GMT" TargetMode="External"/><Relationship Id="rId203" Type="http://schemas.openxmlformats.org/officeDocument/2006/relationships/hyperlink" Target="https://airtrunk.com/data-centres/mel1/" TargetMode="External"/><Relationship Id="rId385" Type="http://schemas.openxmlformats.org/officeDocument/2006/relationships/hyperlink" Target="https://greenstreetnews.com/article/motorsports-champion-joins-the-data-centre-race-in-ipswich/" TargetMode="External"/><Relationship Id="rId592" Type="http://schemas.openxmlformats.org/officeDocument/2006/relationships/hyperlink" Target="https://planningalerts.org.au/applications/3442743" TargetMode="External"/><Relationship Id="rId245" Type="http://schemas.openxmlformats.org/officeDocument/2006/relationships/hyperlink" Target="https://www.digi-co.com.au/location/adelaide-adl1/" TargetMode="External"/><Relationship Id="rId287" Type="http://schemas.openxmlformats.org/officeDocument/2006/relationships/hyperlink" Target="https://www.quinbrook.com/portfolio/supernode/" TargetMode="External"/><Relationship Id="rId410" Type="http://schemas.openxmlformats.org/officeDocument/2006/relationships/hyperlink" Target="https://realassets.ipe.com/news/macquarie-partners-with-zerra-and-adc-to-build-australias-largest-data-centre-campus-for-anthropic/10138513.article" TargetMode="External"/><Relationship Id="rId452" Type="http://schemas.openxmlformats.org/officeDocument/2006/relationships/hyperlink" Target="https://w.media/cdc-wins-approval-for-au203-5m-beard-2-data-centre-in-canberra/" TargetMode="External"/><Relationship Id="rId494" Type="http://schemas.openxmlformats.org/officeDocument/2006/relationships/hyperlink" Target="https://baxtel.com/data-center/cdc-marsden-park-campus" TargetMode="External"/><Relationship Id="rId508" Type="http://schemas.openxmlformats.org/officeDocument/2006/relationships/hyperlink" Target="https://baxtel.com/data-center/fujitsu-noble-park" TargetMode="External"/><Relationship Id="rId105" Type="http://schemas.openxmlformats.org/officeDocument/2006/relationships/hyperlink" Target="https://www.planning.act.gov.au/applications-and-assessments/development-applications/browse-das/development-application-details?da-number=202443633" TargetMode="External"/><Relationship Id="rId147" Type="http://schemas.openxmlformats.org/officeDocument/2006/relationships/hyperlink" Target="https://www.planningportal.nsw.gov.au/major-projects/projects/brookhollow-avenue-data-centre-expansion-norwest" TargetMode="External"/><Relationship Id="rId312" Type="http://schemas.openxmlformats.org/officeDocument/2006/relationships/hyperlink" Target="https://www.afr.com/companies/financial-services/iren-plans-10-billion-south-australian-ai-data-centre-20260603-p603o9" TargetMode="External"/><Relationship Id="rId354" Type="http://schemas.openxmlformats.org/officeDocument/2006/relationships/hyperlink" Target="https://www.datacenterdynamics.com/en/news/stockland-files-to-develop-another-data-center-in-melbourne-australia/" TargetMode="External"/><Relationship Id="rId51" Type="http://schemas.openxmlformats.org/officeDocument/2006/relationships/hyperlink" Target="https://majorprojects.planningportal.nsw.gov.au/prweb/PRRestService/mp/01/getContent?AttachRef=SSD-102795459%2120251222T014859.011+GMT" TargetMode="External"/><Relationship Id="rId93" Type="http://schemas.openxmlformats.org/officeDocument/2006/relationships/hyperlink" Target="https://ntepa.nt.gov.au/__data/assets/pdf_file/0019/1622107/project-ares-draft-sor.pdf" TargetMode="External"/><Relationship Id="rId189" Type="http://schemas.openxmlformats.org/officeDocument/2006/relationships/hyperlink" Target="https://sftpbspomppprod01.blob.core.windows.net/applicationfiles/1b31ed89-8d2e-ef11-840a-000d3acb3ea1_PA2402997-525%20MCDONALDS%20ROAD%20SOUTH%20MORANG%20-%20Officer%20Report%20-%20FINAL.pdf" TargetMode="External"/><Relationship Id="rId396" Type="http://schemas.openxmlformats.org/officeDocument/2006/relationships/hyperlink" Target="https://www.mingtiandi.com/real-estate/data-centres/goodman-group-wins-government-approval-for-1b-data-centre-in-sydneys-north/" TargetMode="External"/><Relationship Id="rId561" Type="http://schemas.openxmlformats.org/officeDocument/2006/relationships/hyperlink" Target="https://www.datacentermap.com/australia/melbourne/72-76-cherry-lane/" TargetMode="External"/><Relationship Id="rId214" Type="http://schemas.openxmlformats.org/officeDocument/2006/relationships/hyperlink" Target="https://announcements.asx.com.au/asxpdf/20260916/pdf/074490wlf78g7n.pdf" TargetMode="External"/><Relationship Id="rId256" Type="http://schemas.openxmlformats.org/officeDocument/2006/relationships/hyperlink" Target="https://firmus.co/project-southgate-faqs" TargetMode="External"/><Relationship Id="rId298" Type="http://schemas.openxmlformats.org/officeDocument/2006/relationships/hyperlink" Target="https://www.abc.net.au/news/2026-06-19/proposed-data-centre-in-south-australia-dividing-locals/106810776" TargetMode="External"/><Relationship Id="rId421" Type="http://schemas.openxmlformats.org/officeDocument/2006/relationships/hyperlink" Target="https://region.com.au/new-200-million-data-centre-proposed-for-beard-fits-territory-standards-on-power-and-water/996833/" TargetMode="External"/><Relationship Id="rId463" Type="http://schemas.openxmlformats.org/officeDocument/2006/relationships/hyperlink" Target="https://w.media/goodman-files-plans-for-500-mw-sydney-campus-as-expansion-continues/" TargetMode="External"/><Relationship Id="rId519" Type="http://schemas.openxmlformats.org/officeDocument/2006/relationships/hyperlink" Target="https://baxtel.com/data-center/ispt-sydney" TargetMode="External"/><Relationship Id="rId116" Type="http://schemas.openxmlformats.org/officeDocument/2006/relationships/hyperlink" Target="https://www.planning.vic.gov.au/planning-approvals/ministerial-permits-register/ministerial-permits/3445e501-ef0a-f111-8406-7ced8da0d89a" TargetMode="External"/><Relationship Id="rId158" Type="http://schemas.openxmlformats.org/officeDocument/2006/relationships/hyperlink" Target="https://www.planningportal.nsw.gov.au/major-projects/projects/lanceley-place-data-centre-artarmon" TargetMode="External"/><Relationship Id="rId323" Type="http://schemas.openxmlformats.org/officeDocument/2006/relationships/hyperlink" Target="https://www.charterhall.com.au/tarneit" TargetMode="External"/><Relationship Id="rId530" Type="http://schemas.openxmlformats.org/officeDocument/2006/relationships/hyperlink" Target="https://baxtel.com/data-center/stack-syd01b" TargetMode="External"/><Relationship Id="rId20" Type="http://schemas.openxmlformats.org/officeDocument/2006/relationships/hyperlink" Target="https://dafinder.blob.core.windows.net/dadocuments/DOCs/SUPP-202443633-STATEMENT-01.pdf" TargetMode="External"/><Relationship Id="rId62" Type="http://schemas.openxmlformats.org/officeDocument/2006/relationships/hyperlink" Target="https://majorprojects.planningportal.nsw.gov.au/prweb/PRRestService/mp/01/getContent?AttachRef=SSD-24299707-MOD-1%2120241219T224421.352+GMT" TargetMode="External"/><Relationship Id="rId365" Type="http://schemas.openxmlformats.org/officeDocument/2006/relationships/hyperlink" Target="https://datacentremoratorium.net/index.php/Resources:Goodman_Truganina" TargetMode="External"/><Relationship Id="rId572" Type="http://schemas.openxmlformats.org/officeDocument/2006/relationships/hyperlink" Target="https://datacentremoratorium.net/index.php/Resources:Dover_SM2" TargetMode="External"/><Relationship Id="rId225" Type="http://schemas.openxmlformats.org/officeDocument/2006/relationships/hyperlink" Target="https://cdc.com/resources/news/cdc-brings-27bn-groundbreaking-opportunity-to-melbournes-south-west/" TargetMode="External"/><Relationship Id="rId267" Type="http://schemas.openxmlformats.org/officeDocument/2006/relationships/hyperlink" Target="https://infratil.com/for-investors/financial-reports/annual-report-2026/" TargetMode="External"/><Relationship Id="rId432" Type="http://schemas.openxmlformats.org/officeDocument/2006/relationships/hyperlink" Target="https://www.theurbandeveloper.com/articles/anthropic-claude-ai-western-downs-digital-park-deal-qld" TargetMode="External"/><Relationship Id="rId474" Type="http://schemas.openxmlformats.org/officeDocument/2006/relationships/hyperlink" Target="https://w.media/queensland-council-questions-height-impacts-of-swanbank-data-centre/" TargetMode="External"/><Relationship Id="rId127" Type="http://schemas.openxmlformats.org/officeDocument/2006/relationships/hyperlink" Target="https://www.planning.vic.gov.au/planning-approvals/ministerial-permits-register/ministerial-permits/e46a98dc-8d47-f111-bec6-7c1e5262e60a" TargetMode="External"/><Relationship Id="rId31" Type="http://schemas.openxmlformats.org/officeDocument/2006/relationships/hyperlink" Target="https://www.industry.gov.au/sites/default/files/aip/2026-09/mel02-building-a-aipp-summary.pdf" TargetMode="External"/><Relationship Id="rId73" Type="http://schemas.openxmlformats.org/officeDocument/2006/relationships/hyperlink" Target="https://majorprojects.planningportal.nsw.gov.au/prweb/PRRestService/mp/01/getContent?AttachRef=SSD-66777221-PA-5%2120250529T050113.400+GMT" TargetMode="External"/><Relationship Id="rId169" Type="http://schemas.openxmlformats.org/officeDocument/2006/relationships/hyperlink" Target="https://www.planningportal.nsw.gov.au/major-projects/projects/project-apollo-data-centre-macquarie-park" TargetMode="External"/><Relationship Id="rId334" Type="http://schemas.openxmlformats.org/officeDocument/2006/relationships/hyperlink" Target="https://www.datacenterdynamics.com/en/news/australias-cdc-opens-data-center-campus-in-melbourne/" TargetMode="External"/><Relationship Id="rId376" Type="http://schemas.openxmlformats.org/officeDocument/2006/relationships/hyperlink" Target="https://datacentremoratorium.net/index.php/Resources:Unknown_Clyde_North" TargetMode="External"/><Relationship Id="rId541" Type="http://schemas.openxmlformats.org/officeDocument/2006/relationships/hyperlink" Target="https://baxtel.com/news/digico-infrastructure-reit-signs-14mw-of-data-center-deals" TargetMode="External"/><Relationship Id="rId583" Type="http://schemas.openxmlformats.org/officeDocument/2006/relationships/hyperlink" Target="https://nominatim.openstreetmap.org/search?q=1822+Dandenong+Road+Clayton+VIC" TargetMode="External"/><Relationship Id="rId4" Type="http://schemas.openxmlformats.org/officeDocument/2006/relationships/hyperlink" Target="https://casey-web.t1cloud.com/T1PRDefault/WebApps/eProperty/P1/eTrack/eTrackApplicationDetails.aspx?r=P1.WEBGUEST&amp;f=%24P1.ETR.APPDET.VIW&amp;ApplicationId=PA26-0190" TargetMode="External"/><Relationship Id="rId180" Type="http://schemas.openxmlformats.org/officeDocument/2006/relationships/hyperlink" Target="https://www.planningportal.nsw.gov.au/planning-panel/canberra-data-centre" TargetMode="External"/><Relationship Id="rId236" Type="http://schemas.openxmlformats.org/officeDocument/2006/relationships/hyperlink" Target="https://cloudcarrier.com/campus/" TargetMode="External"/><Relationship Id="rId278" Type="http://schemas.openxmlformats.org/officeDocument/2006/relationships/hyperlink" Target="https://www.nextdc.com/news/asx-release-1h26-record-results" TargetMode="External"/><Relationship Id="rId401" Type="http://schemas.openxmlformats.org/officeDocument/2006/relationships/hyperlink" Target="https://ntindependent.com.au/nt-government-backs-proposed-2gw-data-centre-at-weddell/" TargetMode="External"/><Relationship Id="rId443" Type="http://schemas.openxmlformats.org/officeDocument/2006/relationships/hyperlink" Target="https://w.media/?p=42806" TargetMode="External"/><Relationship Id="rId303" Type="http://schemas.openxmlformats.org/officeDocument/2006/relationships/hyperlink" Target="https://www.abc.net.au/news/2026-08-26/proposal-to-turn-former-ford-factory-into-giant-data-centre/107075906" TargetMode="External"/><Relationship Id="rId485" Type="http://schemas.openxmlformats.org/officeDocument/2006/relationships/hyperlink" Target="https://yourneighbourhood.com.au/large-data-centre-swanbank-ipswich/" TargetMode="External"/><Relationship Id="rId42" Type="http://schemas.openxmlformats.org/officeDocument/2006/relationships/hyperlink" Target="https://majorprojects.planningportal.nsw.gov.au/prweb/PRRestService/mp/01/getContent?AttachRef=PDA-132889488%2120260916T080733.975+GMT" TargetMode="External"/><Relationship Id="rId84" Type="http://schemas.openxmlformats.org/officeDocument/2006/relationships/hyperlink" Target="https://majorprojects.planningportal.nsw.gov.au/prweb/PRRestService/mp/01/getContent?AttachRef=SSD-80018208%2120250624T053649.263+GMT" TargetMode="External"/><Relationship Id="rId138" Type="http://schemas.openxmlformats.org/officeDocument/2006/relationships/hyperlink" Target="https://www.planning.wa.gov.au/docs/default-source/daps/related-information---no-102---part-b---city-of-gosnells.pdf?sfvrsn=f47a3ead_1" TargetMode="External"/><Relationship Id="rId345" Type="http://schemas.openxmlformats.org/officeDocument/2006/relationships/hyperlink" Target="https://www.datacenterdynamics.com/en/news/gigawatt-scale-behind-the-meter-data-center-campus-proposed-in-australias-northern-territories/" TargetMode="External"/><Relationship Id="rId387" Type="http://schemas.openxmlformats.org/officeDocument/2006/relationships/hyperlink" Target="https://irei.com/news/stockland-swaps-warehouses-for-2b-melbourne-data-center/" TargetMode="External"/><Relationship Id="rId510" Type="http://schemas.openxmlformats.org/officeDocument/2006/relationships/hyperlink" Target="https://baxtel.com/data-center/galileo-group-melbourne-campus" TargetMode="External"/><Relationship Id="rId552" Type="http://schemas.openxmlformats.org/officeDocument/2006/relationships/hyperlink" Target="https://www.datacentermap.com/australia/brisbane/northern-concept-swanb-pty-ltd/" TargetMode="External"/><Relationship Id="rId594" Type="http://schemas.openxmlformats.org/officeDocument/2006/relationships/hyperlink" Target="https://www.planningalerts.org.au/applications/3288804" TargetMode="External"/><Relationship Id="rId191" Type="http://schemas.openxmlformats.org/officeDocument/2006/relationships/hyperlink" Target="https://sftpbspomppprod01.blob.core.windows.net/applicationfiles/5615befd-9bb3-f011-bbd2-7ced8d337ed8_PA2504032-1%20Oroya%20Drive%20Truganina%20-%20DTP%20Planning%20Assessment-Officer%20Report.pdf" TargetMode="External"/><Relationship Id="rId205" Type="http://schemas.openxmlformats.org/officeDocument/2006/relationships/hyperlink" Target="https://airtrunk.com/location/mel1-melbourne/" TargetMode="External"/><Relationship Id="rId247" Type="http://schemas.openxmlformats.org/officeDocument/2006/relationships/hyperlink" Target="https://energy-north.com/project-ares-your-questions-answered/" TargetMode="External"/><Relationship Id="rId412" Type="http://schemas.openxmlformats.org/officeDocument/2006/relationships/hyperlink" Target="https://www.realestate.com.au/news/west-footscray-data-centre-deters-homebuyers/" TargetMode="External"/><Relationship Id="rId107" Type="http://schemas.openxmlformats.org/officeDocument/2006/relationships/hyperlink" Target="https://www.planning.act.gov.au/applications-and-assessments/development-applications/browse-das/development-application-details?da-number=202645149" TargetMode="External"/><Relationship Id="rId289" Type="http://schemas.openxmlformats.org/officeDocument/2006/relationships/hyperlink" Target="https://www.stackinfra.com/locations/asia-pacific/melbourne/mel01/" TargetMode="External"/><Relationship Id="rId454" Type="http://schemas.openxmlformats.org/officeDocument/2006/relationships/hyperlink" Target="https://w.media/data-center-growth-lifts-infratil-earnings-guidance-for-fy-2027/" TargetMode="External"/><Relationship Id="rId496" Type="http://schemas.openxmlformats.org/officeDocument/2006/relationships/hyperlink" Target="https://baxtel.com/data-center/dci-adelaide-adl03" TargetMode="External"/><Relationship Id="rId11" Type="http://schemas.openxmlformats.org/officeDocument/2006/relationships/hyperlink" Target="https://dafinder.blob.core.windows.net/dadocuments/DOCs/DEVOUTCOMEREP-202645149-01.pdf" TargetMode="External"/><Relationship Id="rId53" Type="http://schemas.openxmlformats.org/officeDocument/2006/relationships/hyperlink" Target="https://majorprojects.planningportal.nsw.gov.au/prweb/PRRestService/mp/01/getContent?AttachRef=SSD-108835458%2120260831T062154.327+GMT" TargetMode="External"/><Relationship Id="rId149" Type="http://schemas.openxmlformats.org/officeDocument/2006/relationships/hyperlink" Target="https://www.planningportal.nsw.gov.au/major-projects/projects/digico-syd1-data-centre-expansion" TargetMode="External"/><Relationship Id="rId314" Type="http://schemas.openxmlformats.org/officeDocument/2006/relationships/hyperlink" Target="https://archive.is/20260211071111/https:/www.afr.com/property/commercial/new-york-funds-giant-to-pour-1-2b-into-melbourne-data-centre-20260211-p5o1es" TargetMode="External"/><Relationship Id="rId356" Type="http://schemas.openxmlformats.org/officeDocument/2006/relationships/hyperlink" Target="https://datacentremagazine.com/data-centres/dci-commits-8-mw-high-security-data-centre-adelaide" TargetMode="External"/><Relationship Id="rId398" Type="http://schemas.openxmlformats.org/officeDocument/2006/relationships/hyperlink" Target="https://www.mingtiandi.com/real-estate/data-centres/starwood-teams-with-doma-telstra-to-develop-62mw-sydney-data-centre/" TargetMode="External"/><Relationship Id="rId521" Type="http://schemas.openxmlformats.org/officeDocument/2006/relationships/hyperlink" Target="https://baxtel.com/data-center/markham-sydney" TargetMode="External"/><Relationship Id="rId563" Type="http://schemas.openxmlformats.org/officeDocument/2006/relationships/hyperlink" Target="https://www.datacentermap.com/australia/melbourne/dover-sm1a/" TargetMode="External"/><Relationship Id="rId95" Type="http://schemas.openxmlformats.org/officeDocument/2006/relationships/hyperlink" Target="https://ntepa.nt.gov.au/your-business/public-registers/environmental-impact-assessments-register" TargetMode="External"/><Relationship Id="rId160" Type="http://schemas.openxmlformats.org/officeDocument/2006/relationships/hyperlink" Target="https://www.planningportal.nsw.gov.au/major-projects/projects/mamre-road-data-centre-campus" TargetMode="External"/><Relationship Id="rId216" Type="http://schemas.openxmlformats.org/officeDocument/2006/relationships/hyperlink" Target="https://cdc.com/au/canberra" TargetMode="External"/><Relationship Id="rId423" Type="http://schemas.openxmlformats.org/officeDocument/2006/relationships/hyperlink" Target="https://reneweconomy.com.au/plan-to-power-off-grid-data-centre-with-solar-gas-and-a-16-gigawatt-hour-battery-seek-federal-green-tick/" TargetMode="External"/><Relationship Id="rId258" Type="http://schemas.openxmlformats.org/officeDocument/2006/relationships/hyperlink" Target="https://greensquaredc.com/MEL1" TargetMode="External"/><Relationship Id="rId465" Type="http://schemas.openxmlformats.org/officeDocument/2006/relationships/hyperlink" Target="https://w.media/greensquare-signs-sharon-ai-as-first-customer-for-syd1-data-centre-campus/" TargetMode="External"/><Relationship Id="rId22" Type="http://schemas.openxmlformats.org/officeDocument/2006/relationships/hyperlink" Target="https://www.defencesa.com/industry/industry-directory/yourdc-pty-ltd" TargetMode="External"/><Relationship Id="rId64" Type="http://schemas.openxmlformats.org/officeDocument/2006/relationships/hyperlink" Target="https://majorprojects.planningportal.nsw.gov.au/prweb/PRRestService/mp/01/getContent?AttachRef=SSD-41589232%2120230915T074128.135+GMT" TargetMode="External"/><Relationship Id="rId118" Type="http://schemas.openxmlformats.org/officeDocument/2006/relationships/hyperlink" Target="https://www.planning.vic.gov.au/planning-approvals/ministerial-permits-register/ministerial-permits/5615befd-9bb3-f011-bbd2-7ced8d337ed8" TargetMode="External"/><Relationship Id="rId325" Type="http://schemas.openxmlformats.org/officeDocument/2006/relationships/hyperlink" Target="https://www.couriermail.com.au/news/queensland/qld-politics/anthropicbacked-western-downs-data-centre-set-to-blow-out-state-energy-forecasts/news-story/2d147b9690710e78675a61af2dc82dcc" TargetMode="External"/><Relationship Id="rId367" Type="http://schemas.openxmlformats.org/officeDocument/2006/relationships/hyperlink" Target="https://datacentremoratorium.net/index.php/Resources:MAB_Westmeadows" TargetMode="External"/><Relationship Id="rId532" Type="http://schemas.openxmlformats.org/officeDocument/2006/relationships/hyperlink" Target="https://baxtel.com/data-center/stockland-kemps-creek-nsw" TargetMode="External"/><Relationship Id="rId574" Type="http://schemas.openxmlformats.org/officeDocument/2006/relationships/hyperlink" Target="https://datacentremoratorium.net/index.php/Resources:NEXTDC_M2" TargetMode="External"/><Relationship Id="rId171" Type="http://schemas.openxmlformats.org/officeDocument/2006/relationships/hyperlink" Target="https://www.planningportal.nsw.gov.au/major-projects/projects/project-duke-data-centre" TargetMode="External"/><Relationship Id="rId227" Type="http://schemas.openxmlformats.org/officeDocument/2006/relationships/hyperlink" Target="https://www.cdc.com/locations/perth/hazelmere/" TargetMode="External"/><Relationship Id="rId269" Type="http://schemas.openxmlformats.org/officeDocument/2006/relationships/hyperlink" Target="https://investorpa.com/announcement-pdf/20260916/343864.pdf" TargetMode="External"/><Relationship Id="rId434" Type="http://schemas.openxmlformats.org/officeDocument/2006/relationships/hyperlink" Target="https://www.theurbandeveloper.com/articles/firmus-tasmania-ai-factory-wesley-vale-proposal" TargetMode="External"/><Relationship Id="rId476" Type="http://schemas.openxmlformats.org/officeDocument/2006/relationships/hyperlink" Target="https://w.media/stack-infrastructure-plans-450mw-data-center-campus-at-erskine-park-sydney/" TargetMode="External"/><Relationship Id="rId33" Type="http://schemas.openxmlformats.org/officeDocument/2006/relationships/hyperlink" Target="https://www.latrobe.tas.gov.au/notice-board/latest-news/call-for-stronger-framework-for-ai-data-centres" TargetMode="External"/><Relationship Id="rId129" Type="http://schemas.openxmlformats.org/officeDocument/2006/relationships/hyperlink" Target="https://www.planning.vic.gov.au/planning-approvals/ministerial-permits-register/ministerial-permits/fb678cb2-1784-4883-932a-4fdca25a480a" TargetMode="External"/><Relationship Id="rId280" Type="http://schemas.openxmlformats.org/officeDocument/2006/relationships/hyperlink" Target="https://www.nextdc.com/news/m4-technology-campus-approved" TargetMode="External"/><Relationship Id="rId336" Type="http://schemas.openxmlformats.org/officeDocument/2006/relationships/hyperlink" Target="https://www.datacenterdynamics.com/en/news/australias-greensquare-expands-into-melbourne-with-240mw-campus/" TargetMode="External"/><Relationship Id="rId501" Type="http://schemas.openxmlformats.org/officeDocument/2006/relationships/hyperlink" Target="https://baxtel.com/data-center/digital-realty-north-ryde-sydney-67417c05-88ca-4571-a4bf-d577a6b98489" TargetMode="External"/><Relationship Id="rId543" Type="http://schemas.openxmlformats.org/officeDocument/2006/relationships/hyperlink" Target="https://baxtel.com/news/zerra-dc-files-plans-for-large-data-center-campus-in-queensland-australia" TargetMode="External"/><Relationship Id="rId75" Type="http://schemas.openxmlformats.org/officeDocument/2006/relationships/hyperlink" Target="https://majorprojects.planningportal.nsw.gov.au/prweb/PRRestService/mp/01/getContent?AttachRef=SSD-67407231-PA-2%2120260804T071034.216+GMT" TargetMode="External"/><Relationship Id="rId140" Type="http://schemas.openxmlformats.org/officeDocument/2006/relationships/hyperlink" Target="https://www.planningportal.nsw.gov.au/major-projects/projects/22-oriordan-street-alexandria-data-centre" TargetMode="External"/><Relationship Id="rId182" Type="http://schemas.openxmlformats.org/officeDocument/2006/relationships/hyperlink" Target="https://www.planningportal.nsw.gov.au/planning-panel/data-centre-4" TargetMode="External"/><Relationship Id="rId378" Type="http://schemas.openxmlformats.org/officeDocument/2006/relationships/hyperlink" Target="https://echonewspaper.com.au/news/community-engagement-begins-for-new-hazelmere-data-centre/" TargetMode="External"/><Relationship Id="rId403" Type="http://schemas.openxmlformats.org/officeDocument/2006/relationships/hyperlink" Target="https://pakenhamnews.starcommunity.com.au/news/2026-09-22/new-state-data-centre-rules-bypass-clyde-north-proposal/" TargetMode="External"/><Relationship Id="rId585" Type="http://schemas.openxmlformats.org/officeDocument/2006/relationships/hyperlink" Target="https://nominatim.openstreetmap.org/search?q=413+Francis+Street+Brooklyn+VIC" TargetMode="External"/><Relationship Id="rId6" Type="http://schemas.openxmlformats.org/officeDocument/2006/relationships/hyperlink" Target="https://cdn.sanity.io/files/q43wife6/production/99214a09587f09192abb37953032135ff09f3d92.pdf" TargetMode="External"/><Relationship Id="rId238" Type="http://schemas.openxmlformats.org/officeDocument/2006/relationships/hyperlink" Target="https://cloudcarrier.com/db1/" TargetMode="External"/><Relationship Id="rId445" Type="http://schemas.openxmlformats.org/officeDocument/2006/relationships/hyperlink" Target="https://w.media/airtrunk-proposes-aud-3-7bn-nsw-data-centre/" TargetMode="External"/><Relationship Id="rId487" Type="http://schemas.openxmlformats.org/officeDocument/2006/relationships/hyperlink" Target="https://baxtel.com/data-center/adelaide" TargetMode="External"/><Relationship Id="rId291" Type="http://schemas.openxmlformats.org/officeDocument/2006/relationships/hyperlink" Target="https://supernode.com.au/project/metro-dc/" TargetMode="External"/><Relationship Id="rId305" Type="http://schemas.openxmlformats.org/officeDocument/2006/relationships/hyperlink" Target="https://www.abc.net.au/news/2026-09-04/hydro-tasmania-assess-firmus-450-mw-energy-request/107116852" TargetMode="External"/><Relationship Id="rId347" Type="http://schemas.openxmlformats.org/officeDocument/2006/relationships/hyperlink" Target="https://www.datacenterdynamics.com/en/news/nextdc-receives-development-approval-for-m4-campus-in-melbourne-australia/" TargetMode="External"/><Relationship Id="rId512" Type="http://schemas.openxmlformats.org/officeDocument/2006/relationships/hyperlink" Target="https://baxtel.com/data-center/goodman-artarmon" TargetMode="External"/><Relationship Id="rId44" Type="http://schemas.openxmlformats.org/officeDocument/2006/relationships/hyperlink" Target="https://majorprojects.planningportal.nsw.gov.au/prweb/PRRestService/mp/01/getContent?AttachRef=PDA-76301215%2120241023T043841.777+GMT" TargetMode="External"/><Relationship Id="rId86" Type="http://schemas.openxmlformats.org/officeDocument/2006/relationships/hyperlink" Target="https://majorprojects.planningportal.nsw.gov.au/prweb/PRRestService/mp/01/getContent?AttachRef=SSD-81928961%2120260623T233326.415+GMT" TargetMode="External"/><Relationship Id="rId151" Type="http://schemas.openxmlformats.org/officeDocument/2006/relationships/hyperlink" Target="https://www.planningportal.nsw.gov.au/major-projects/projects/eastern-creek-data-centre-expansion-project" TargetMode="External"/><Relationship Id="rId389" Type="http://schemas.openxmlformats.org/officeDocument/2006/relationships/hyperlink" Target="https://itbrief.com.au/story/digico-posts-strong-fy25-results-with-aud-99m-ebitda-gains-key-certification" TargetMode="External"/><Relationship Id="rId554" Type="http://schemas.openxmlformats.org/officeDocument/2006/relationships/hyperlink" Target="https://www.datacentermap.com/australia/canberra/cdc-hume-hu6/" TargetMode="External"/><Relationship Id="rId596" Type="http://schemas.openxmlformats.org/officeDocument/2006/relationships/hyperlink" Target="https://www.planningalerts.org.au/applications/3436259" TargetMode="External"/><Relationship Id="rId193" Type="http://schemas.openxmlformats.org/officeDocument/2006/relationships/hyperlink" Target="https://sftpbspomppprod01.blob.core.windows.net/applicationfiles/6bac05e8-144c-404a-b7b2-b9e5445cb849_C269hume%20-PA2302143%20-%20140-204%20Western%20Avenue%20Westmeadows%20-%20Data%20Centre%20-%20Form%209%20-%20APPROVAL%20FINAL%20.pdf" TargetMode="External"/><Relationship Id="rId207" Type="http://schemas.openxmlformats.org/officeDocument/2006/relationships/hyperlink" Target="https://announcements.asx.com.au/asxpdf/20260220/pdf/06wj5yyhn754y6.pdf" TargetMode="External"/><Relationship Id="rId249" Type="http://schemas.openxmlformats.org/officeDocument/2006/relationships/hyperlink" Target="https://www.energynorth.com.au/" TargetMode="External"/><Relationship Id="rId414" Type="http://schemas.openxmlformats.org/officeDocument/2006/relationships/hyperlink" Target="https://www.realestatesource.com.au/cdc-data-centres-lines-up-regional-nsw-campus/" TargetMode="External"/><Relationship Id="rId456" Type="http://schemas.openxmlformats.org/officeDocument/2006/relationships/hyperlink" Target="https://w.media/dci-to-build-20-mw-cloud-edge-data-centre-in-canberra/" TargetMode="External"/><Relationship Id="rId498" Type="http://schemas.openxmlformats.org/officeDocument/2006/relationships/hyperlink" Target="https://baxtel.com/data-center/dci-syd02" TargetMode="External"/><Relationship Id="rId13" Type="http://schemas.openxmlformats.org/officeDocument/2006/relationships/hyperlink" Target="https://dafinder.blob.core.windows.net/dadocuments/DOCs/ESO-202645149-APPLICATION_FORM-01.pdf" TargetMode="External"/><Relationship Id="rId109" Type="http://schemas.openxmlformats.org/officeDocument/2006/relationships/hyperlink" Target="https://planning.vic.gov.au/planning-approvals/ministerial-permits-register/ministerial-permits/1b31ed89-8d2e-ef11-840a-000d3acb3ea1" TargetMode="External"/><Relationship Id="rId260" Type="http://schemas.openxmlformats.org/officeDocument/2006/relationships/hyperlink" Target="https://www.greensquaredc.com/locations" TargetMode="External"/><Relationship Id="rId316" Type="http://schemas.openxmlformats.org/officeDocument/2006/relationships/hyperlink" Target="https://bebeez.eu/2026/09/07/goodman-group-gets-green-light-for-135mw-data-center-in-northern-sydney-australia/" TargetMode="External"/><Relationship Id="rId523" Type="http://schemas.openxmlformats.org/officeDocument/2006/relationships/hyperlink" Target="https://baxtel.com/data-center/nextdc-s5-sydney" TargetMode="External"/><Relationship Id="rId55" Type="http://schemas.openxmlformats.org/officeDocument/2006/relationships/hyperlink" Target="https://majorprojects.planningportal.nsw.gov.au/prweb/PRRestService/mp/01/getContent?AttachRef=SSD-113934740%2120260831T070615.862+GMT" TargetMode="External"/><Relationship Id="rId97" Type="http://schemas.openxmlformats.org/officeDocument/2006/relationships/hyperlink" Target="https://www.parliament.act.gov.au/__data/assets/pdf_file/0011/3110060/QTON-080-Answer-CED-ACT-data-centres-energy-consumption-CLAY.pdf" TargetMode="External"/><Relationship Id="rId120" Type="http://schemas.openxmlformats.org/officeDocument/2006/relationships/hyperlink" Target="https://www.planning.vic.gov.au/planning-approvals/ministerial-permits-register/ministerial-permits/6bac05e8-144c-404a-b7b2-b9e5445cb849" TargetMode="External"/><Relationship Id="rId358" Type="http://schemas.openxmlformats.org/officeDocument/2006/relationships/hyperlink" Target="https://datacentremoratorium.net/index.php/Resources:AirTrunk_MEL2" TargetMode="External"/><Relationship Id="rId565" Type="http://schemas.openxmlformats.org/officeDocument/2006/relationships/hyperlink" Target="https://www.datacentermap.com/australia/melbourne/fujitsu-melbourne/" TargetMode="External"/><Relationship Id="rId162" Type="http://schemas.openxmlformats.org/officeDocument/2006/relationships/hyperlink" Target="https://www.planningportal.nsw.gov.au/major-projects/projects/marsden-park-data-centre" TargetMode="External"/><Relationship Id="rId218" Type="http://schemas.openxmlformats.org/officeDocument/2006/relationships/hyperlink" Target="https://cdc.com/locations/melbourne/" TargetMode="External"/><Relationship Id="rId425" Type="http://schemas.openxmlformats.org/officeDocument/2006/relationships/hyperlink" Target="https://www.techpartner.news/news/digico-posts-positive-fy26-results-shakes-up-leadership-team-628362" TargetMode="External"/><Relationship Id="rId467" Type="http://schemas.openxmlformats.org/officeDocument/2006/relationships/hyperlink" Target="https://w.media/iren-targets-bundey-transmission-hub-for-800mw-australian-data-centre-campus/" TargetMode="External"/><Relationship Id="rId271" Type="http://schemas.openxmlformats.org/officeDocument/2006/relationships/hyperlink" Target="https://iren.gcs-web.com/news-releases/news-release-details/iren-announces-first-australian-data-center-campus-800mw-south" TargetMode="External"/><Relationship Id="rId24" Type="http://schemas.openxmlformats.org/officeDocument/2006/relationships/hyperlink" Target="https://djsir.vic.gov.au/news-and-articles/cdcs-data-centres-fueling-jobs-and-growth-in-the-west" TargetMode="External"/><Relationship Id="rId66" Type="http://schemas.openxmlformats.org/officeDocument/2006/relationships/hyperlink" Target="https://majorprojects.planningportal.nsw.gov.au/prweb/PRRestService/mp/01/getContent?AttachRef=SSD-41589232-PA-14%2120240822T035712.620+GMT" TargetMode="External"/><Relationship Id="rId131" Type="http://schemas.openxmlformats.org/officeDocument/2006/relationships/hyperlink" Target="https://www.planning.vic.gov.au/planning-approvals/ministerial-permits-register/ministerial-permits/fdc8d827-6b74-f111-ab0f-7c1e522a8afb" TargetMode="External"/><Relationship Id="rId327" Type="http://schemas.openxmlformats.org/officeDocument/2006/relationships/hyperlink" Target="https://www.crn.com.au/news/2026/data-centre/airtrunk-new-melbourne-location-mel2" TargetMode="External"/><Relationship Id="rId369" Type="http://schemas.openxmlformats.org/officeDocument/2006/relationships/hyperlink" Target="https://datacentremoratorium.net/index.php/Resources:PGIM_Truganina" TargetMode="External"/><Relationship Id="rId534" Type="http://schemas.openxmlformats.org/officeDocument/2006/relationships/hyperlink" Target="https://baxtel.com/data-center/sydney" TargetMode="External"/><Relationship Id="rId576" Type="http://schemas.openxmlformats.org/officeDocument/2006/relationships/hyperlink" Target="https://en.wikipedia.org/wiki/Bundey,_South_Australia" TargetMode="External"/><Relationship Id="rId173" Type="http://schemas.openxmlformats.org/officeDocument/2006/relationships/hyperlink" Target="https://www.planningportal.nsw.gov.au/major-projects/projects/road-1-data-centre" TargetMode="External"/><Relationship Id="rId229" Type="http://schemas.openxmlformats.org/officeDocument/2006/relationships/hyperlink" Target="https://www.cdc.com.au/locations/sydney-and-regional-nsw/gregadoo-wagga-wagga/" TargetMode="External"/><Relationship Id="rId380" Type="http://schemas.openxmlformats.org/officeDocument/2006/relationships/hyperlink" Target="https://www.energy-storage.news/energy-north-submits-1gw-off-grid-hyperscale-data-centre-with-16gwh-of-battery-storage-to-australias-epbc-act/" TargetMode="External"/><Relationship Id="rId436" Type="http://schemas.openxmlformats.org/officeDocument/2006/relationships/hyperlink" Target="https://www.theurbandeveloper.com/articles/quinbrook-brendale-brisbane-supernode-data-centre" TargetMode="External"/><Relationship Id="rId601" Type="http://schemas.openxmlformats.org/officeDocument/2006/relationships/hyperlink" Target="https://www.projectmanagementplanet.com.au/post/cdcs-maddington-data-centre" TargetMode="External"/><Relationship Id="rId240" Type="http://schemas.openxmlformats.org/officeDocument/2006/relationships/hyperlink" Target="https://dcidatacenters.com/locations/" TargetMode="External"/><Relationship Id="rId478" Type="http://schemas.openxmlformats.org/officeDocument/2006/relationships/hyperlink" Target="https://w.media/the-impact-of-ai-on-digital-infrastructure-sumit-mukhija-chief-executive-officer-dci-data-centers/" TargetMode="External"/><Relationship Id="rId35" Type="http://schemas.openxmlformats.org/officeDocument/2006/relationships/hyperlink" Target="https://www.latrobe.tas.gov.au/services/building-and-planning-services/planningapp" TargetMode="External"/><Relationship Id="rId77" Type="http://schemas.openxmlformats.org/officeDocument/2006/relationships/hyperlink" Target="https://majorprojects.planningportal.nsw.gov.au/prweb/PRRestService/mp/01/getContent?AttachRef=SSD-69637456%2120251223T231353.781+GMT" TargetMode="External"/><Relationship Id="rId100" Type="http://schemas.openxmlformats.org/officeDocument/2006/relationships/hyperlink" Target="https://www.parliament.tas.gov.au/__data/assets/pdf_file/0009/112212/102.-Kentish-Council.pdf" TargetMode="External"/><Relationship Id="rId282" Type="http://schemas.openxmlformats.org/officeDocument/2006/relationships/hyperlink" Target="https://www.pv-magazine-australia.com/press-releases/iren-announces-first-australian-data-centre-campus-800-mw-in-south-australia/" TargetMode="External"/><Relationship Id="rId338" Type="http://schemas.openxmlformats.org/officeDocument/2006/relationships/hyperlink" Target="https://www.datacenterdynamics.com/en/news/centuria-eyes-250mw-of-data-center-capacity-in-australia/" TargetMode="External"/><Relationship Id="rId503" Type="http://schemas.openxmlformats.org/officeDocument/2006/relationships/hyperlink" Target="https://baxtel.com/data-center/energy-north-project-ares" TargetMode="External"/><Relationship Id="rId545" Type="http://schemas.openxmlformats.org/officeDocument/2006/relationships/hyperlink" Target="https://baxtel.com/sites/digico-adelaide-adl1" TargetMode="External"/><Relationship Id="rId587" Type="http://schemas.openxmlformats.org/officeDocument/2006/relationships/hyperlink" Target="https://nominatim.openstreetmap.org/search?q=44-76+Simcock+Avenue+Spotswood+VIC" TargetMode="External"/><Relationship Id="rId8" Type="http://schemas.openxmlformats.org/officeDocument/2006/relationships/hyperlink" Target="https://dafinder.blob.core.windows.net/dadocuments/DOCs/APP-202645149-04.pdf" TargetMode="External"/><Relationship Id="rId142" Type="http://schemas.openxmlformats.org/officeDocument/2006/relationships/hyperlink" Target="https://www.planningportal.nsw.gov.au/major-projects/projects/51-huntingwood-drive-data-centre" TargetMode="External"/><Relationship Id="rId184" Type="http://schemas.openxmlformats.org/officeDocument/2006/relationships/hyperlink" Target="https://renewalsa.sa.gov.au/projects/technology-park-adelaide" TargetMode="External"/><Relationship Id="rId391" Type="http://schemas.openxmlformats.org/officeDocument/2006/relationships/hyperlink" Target="https://itwire.com/business-it-news/data-centres/dci-data-centre-constructs-new-centre-in-south-australia" TargetMode="External"/><Relationship Id="rId405" Type="http://schemas.openxmlformats.org/officeDocument/2006/relationships/hyperlink" Target="https://www.projectory.com.au/article/415m-data-centre-development-approved-in-wa-to-support-digital-infrastructure-and-advanced-tech-capabilities" TargetMode="External"/><Relationship Id="rId447" Type="http://schemas.openxmlformats.org/officeDocument/2006/relationships/hyperlink" Target="https://w.media/anthropic-signs-first-australian-data-center-lease/" TargetMode="External"/><Relationship Id="rId251" Type="http://schemas.openxmlformats.org/officeDocument/2006/relationships/hyperlink" Target="https://firmus.co/infrastructure/southgate" TargetMode="External"/><Relationship Id="rId489" Type="http://schemas.openxmlformats.org/officeDocument/2006/relationships/hyperlink" Target="https://baxtel.com/data-center/airtrunk-syd3-sydney-west" TargetMode="External"/><Relationship Id="rId46" Type="http://schemas.openxmlformats.org/officeDocument/2006/relationships/hyperlink" Target="https://majorprojects.planningportal.nsw.gov.au/prweb/PRRestService/mp/01/getContent?AttachRef=PDA-81670721%2120250328T083256.004+GMT" TargetMode="External"/><Relationship Id="rId293" Type="http://schemas.openxmlformats.org/officeDocument/2006/relationships/hyperlink" Target="https://vantage-dc.com/data-center-locations/apac/melbourne-australia/" TargetMode="External"/><Relationship Id="rId307" Type="http://schemas.openxmlformats.org/officeDocument/2006/relationships/hyperlink" Target="https://www.abc.net.au/news/2026-09-14/western-downs-digital-park-data-centre-energy-queensland/107115082" TargetMode="External"/><Relationship Id="rId349" Type="http://schemas.openxmlformats.org/officeDocument/2006/relationships/hyperlink" Target="https://www.datacenterdynamics.com/en/news/plans-filed-for-400mw-data-center-campus-outside-melbourne-australia/" TargetMode="External"/><Relationship Id="rId514" Type="http://schemas.openxmlformats.org/officeDocument/2006/relationships/hyperlink" Target="https://baxtel.com/data-center/goodman-project-atlas" TargetMode="External"/><Relationship Id="rId556" Type="http://schemas.openxmlformats.org/officeDocument/2006/relationships/hyperlink" Target="https://www.datacentermap.com/australia/launceston/firmus-wesley-vale/" TargetMode="External"/><Relationship Id="rId88" Type="http://schemas.openxmlformats.org/officeDocument/2006/relationships/hyperlink" Target="https://majorprojects.planningportal.nsw.gov.au/prweb/PRRestService/mp/01/getContent?AttachRef=SSD-92743706%2120260204T015908.828+GMT" TargetMode="External"/><Relationship Id="rId111" Type="http://schemas.openxmlformats.org/officeDocument/2006/relationships/hyperlink" Target="https://www.planning.vic.gov.au/planning-approvals/ministerial-permits-register/ministerial-permits/1113a299-b13f-f111-88b4-7c1e5262e60a" TargetMode="External"/><Relationship Id="rId153" Type="http://schemas.openxmlformats.org/officeDocument/2006/relationships/hyperlink" Target="https://www.planningportal.nsw.gov.au/major-projects/projects/frederick-street-data-centre" TargetMode="External"/><Relationship Id="rId195" Type="http://schemas.openxmlformats.org/officeDocument/2006/relationships/hyperlink" Target="https://sftpbspomppprod01.blob.core.windows.net/applicationfiles/fcb0d877-0b98-ef11-8a68-002248938a9c_DTP%20Planning%20Assessment-Officer%20Report%20-%20PA2403320%20-%2063%20Sunshine%20Road%20West%20Footscray.pdf%20-%20Redacted.pdf" TargetMode="External"/><Relationship Id="rId209" Type="http://schemas.openxmlformats.org/officeDocument/2006/relationships/hyperlink" Target="https://announcements.asx.com.au/asxpdf/20260505/pdf/06z8f5lpdqcb57.pdf" TargetMode="External"/><Relationship Id="rId360" Type="http://schemas.openxmlformats.org/officeDocument/2006/relationships/hyperlink" Target="https://datacentremoratorium.net/index.php/Resources:CDC_Brooklyn_Campus" TargetMode="External"/><Relationship Id="rId416" Type="http://schemas.openxmlformats.org/officeDocument/2006/relationships/hyperlink" Target="https://www.realestatesource.com.au/data-centre-giant-buys-350m-melbourne-site/" TargetMode="External"/><Relationship Id="rId598" Type="http://schemas.openxmlformats.org/officeDocument/2006/relationships/hyperlink" Target="https://www.planningalerts.org.au/applications/3501680" TargetMode="External"/><Relationship Id="rId220" Type="http://schemas.openxmlformats.org/officeDocument/2006/relationships/hyperlink" Target="https://cdc.com/locations/perth/hazelmere/" TargetMode="External"/><Relationship Id="rId458" Type="http://schemas.openxmlformats.org/officeDocument/2006/relationships/hyperlink" Target="https://w.media/digico-to-sell-us-assets-as-it-pivots-capital-to-sydney-growth/" TargetMode="External"/><Relationship Id="rId15" Type="http://schemas.openxmlformats.org/officeDocument/2006/relationships/hyperlink" Target="https://dafinder.blob.core.windows.net/dadocuments/DOCs/NOTICEOFDECISION-202443633-S205D-SIGNED.pdf" TargetMode="External"/><Relationship Id="rId57" Type="http://schemas.openxmlformats.org/officeDocument/2006/relationships/hyperlink" Target="https://majorprojects.planningportal.nsw.gov.au/prweb/PRRestService/mp/01/getContent?AttachRef=SSD-128819490%2120260831T062516.442+GMT" TargetMode="External"/><Relationship Id="rId262" Type="http://schemas.openxmlformats.org/officeDocument/2006/relationships/hyperlink" Target="https://www.hmccapital.com.au/investment-strategies/digital-infrastructure/digico-infrastructure-reit/financial-reports-presentations/dgt-appendix-4e-and-fy26-financial-report/" TargetMode="External"/><Relationship Id="rId318" Type="http://schemas.openxmlformats.org/officeDocument/2006/relationships/hyperlink" Target="https://begadistrictnews.com.au/story/9344073/cdc-data-centres-unveil-jerrabomberra-stage-2-ahead-of-new-rules" TargetMode="External"/><Relationship Id="rId525" Type="http://schemas.openxmlformats.org/officeDocument/2006/relationships/hyperlink" Target="https://baxtel.com/data-center/pgim-melbourne-campus" TargetMode="External"/><Relationship Id="rId567" Type="http://schemas.openxmlformats.org/officeDocument/2006/relationships/hyperlink" Target="https://www.datacentermap.com/australia/melbourne/zerra-dc-melbourne-campus/" TargetMode="External"/><Relationship Id="rId99" Type="http://schemas.openxmlformats.org/officeDocument/2006/relationships/hyperlink" Target="https://www.parliament.tas.gov.au/__data/assets/pdf_file/0008/112220/100.-Latrobe-Council.pdf" TargetMode="External"/><Relationship Id="rId122" Type="http://schemas.openxmlformats.org/officeDocument/2006/relationships/hyperlink" Target="https://www.planning.vic.gov.au/planning-approvals/ministerial-permits-register/ministerial-permits/76685df6-baaf-f011-bbd2-6045bdc32df2" TargetMode="External"/><Relationship Id="rId164" Type="http://schemas.openxmlformats.org/officeDocument/2006/relationships/hyperlink" Target="https://www.planningportal.nsw.gov.au/major-projects/projects/nextdc-s4-data-centre-phase-2-horsley-park" TargetMode="External"/><Relationship Id="rId371" Type="http://schemas.openxmlformats.org/officeDocument/2006/relationships/hyperlink" Target="https://datacentremoratorium.net/index.php/Resources:STACK_MEL01_Campus" TargetMode="External"/><Relationship Id="rId427" Type="http://schemas.openxmlformats.org/officeDocument/2006/relationships/hyperlink" Target="https://www.theage.com.au/national/victoria/1b-data-centre-given-planning-tick-in-just-75-days-as-state-gets-cosy-with-big-tech-20260219-p5o3sl.html" TargetMode="External"/><Relationship Id="rId469" Type="http://schemas.openxmlformats.org/officeDocument/2006/relationships/hyperlink" Target="https://w.media/ispt-applies-to-build-170mw-six-storey-data-center-at-julius-avenue-north-ryde-sydney/" TargetMode="External"/><Relationship Id="rId26" Type="http://schemas.openxmlformats.org/officeDocument/2006/relationships/hyperlink" Target="https://epbcpublicportal.environment.gov.au/_entity/sharepointdocumentlocation/5c72ac54-e89c-f111-b8db-70a8a5564bc0/2ab10dab-d681-4911-b881-cc99413f07b6?file=00-2026-10605+Referral.pdf" TargetMode="External"/><Relationship Id="rId231" Type="http://schemas.openxmlformats.org/officeDocument/2006/relationships/hyperlink" Target="https://www.cdc.com.au/resources/news/cdc-data-centres-breaks-ground-on-new-state-of-the-art-data-centre-development-in-marsden-park-industrial-precinct/" TargetMode="External"/><Relationship Id="rId273" Type="http://schemas.openxmlformats.org/officeDocument/2006/relationships/hyperlink" Target="https://www.kapitol.com/our-projects/industrial/nextdc-m2-data-centre-portfolio-2" TargetMode="External"/><Relationship Id="rId329" Type="http://schemas.openxmlformats.org/officeDocument/2006/relationships/hyperlink" Target="https://datacenterdynamics.com/en/news/airtrunk-acquires-site-in-melbourne-australia-for-354mw-data-center" TargetMode="External"/><Relationship Id="rId480" Type="http://schemas.openxmlformats.org/officeDocument/2006/relationships/hyperlink" Target="https://w.media/whittlesea-seeks-greater-oversight-as-dover-plans-200mw-victorian-facility/" TargetMode="External"/><Relationship Id="rId536" Type="http://schemas.openxmlformats.org/officeDocument/2006/relationships/hyperlink" Target="https://baxtel.com/data-center/zerra-dc-melbourne-campus" TargetMode="External"/><Relationship Id="rId68" Type="http://schemas.openxmlformats.org/officeDocument/2006/relationships/hyperlink" Target="https://majorprojects.planningportal.nsw.gov.au/prweb/PRRestService/mp/01/getContent?AttachRef=SSD-63168959%2120240711T064100.786+GMT" TargetMode="External"/><Relationship Id="rId133" Type="http://schemas.openxmlformats.org/officeDocument/2006/relationships/hyperlink" Target="https://www.planning.wa.gov.au/development-assessment-panels/daps-agendas-and-minutes/metro-outer-agenda-and-minutes" TargetMode="External"/><Relationship Id="rId175" Type="http://schemas.openxmlformats.org/officeDocument/2006/relationships/hyperlink" Target="https://www.planningportal.nsw.gov.au/major-projects/projects/stack-syd01-data-centre-erskine-park" TargetMode="External"/><Relationship Id="rId340" Type="http://schemas.openxmlformats.org/officeDocument/2006/relationships/hyperlink" Target="https://www.datacenterdynamics.com/en/news/data-center-planned-for-former-woolstore-in-west-melbourne-australia/" TargetMode="External"/><Relationship Id="rId578" Type="http://schemas.openxmlformats.org/officeDocument/2006/relationships/hyperlink" Target="https://www.hmccapital.com.au/investment-strategies/digital-infrastructure/digico-infrastructure-reit/financial-reports-presentations/" TargetMode="External"/><Relationship Id="rId200" Type="http://schemas.openxmlformats.org/officeDocument/2006/relationships/hyperlink" Target="https://territorycoordinator.nt.gov.au/news-and-insights/beetaloo-digital-advances-plans-for-weddell-data-centre" TargetMode="External"/><Relationship Id="rId382" Type="http://schemas.openxmlformats.org/officeDocument/2006/relationships/hyperlink" Target="https://www.fool.com.au/2026/08/21/digico-infrastructure-reit-posts-fy26-earnings-beat-outlines-expansion-plans/" TargetMode="External"/><Relationship Id="rId438" Type="http://schemas.openxmlformats.org/officeDocument/2006/relationships/hyperlink" Target="https://www.theurbandeveloper.com/articles/us-fund-manager-pgim-buys-truganina-data-centre-site" TargetMode="External"/><Relationship Id="rId603" Type="http://schemas.openxmlformats.org/officeDocument/2006/relationships/hyperlink" Target="https://services1.arcgis.com/E5n4f1VY84i0xSjy/arcgis/rest/services/ACTGOV_BLOCKS/FeatureServer/0/query" TargetMode="External"/><Relationship Id="rId242" Type="http://schemas.openxmlformats.org/officeDocument/2006/relationships/hyperlink" Target="https://www.dcidatacenters.com/locations/" TargetMode="External"/><Relationship Id="rId284" Type="http://schemas.openxmlformats.org/officeDocument/2006/relationships/hyperlink" Target="https://www.quinbrook.com/?p=1898" TargetMode="External"/><Relationship Id="rId491" Type="http://schemas.openxmlformats.org/officeDocument/2006/relationships/hyperlink" Target="https://baxtel.com/data-center/cdc-kemps-creek-nsw" TargetMode="External"/><Relationship Id="rId505" Type="http://schemas.openxmlformats.org/officeDocument/2006/relationships/hyperlink" Target="https://baxtel.com/data-center/firmus-bell-bay-long-reach" TargetMode="External"/><Relationship Id="rId37" Type="http://schemas.openxmlformats.org/officeDocument/2006/relationships/hyperlink" Target="https://majorprojects.planningportal.nsw.gov.au/prweb/PRRestService/mp/01/getContent?AttachRef=PDA-102095472%2120260312T005913.750+GMT" TargetMode="External"/><Relationship Id="rId79" Type="http://schemas.openxmlformats.org/officeDocument/2006/relationships/hyperlink" Target="https://majorprojects.planningportal.nsw.gov.au/prweb/PRRestService/mp/01/getContent?AttachRef=SSD-70889211%2120251128T050853.709+GMT" TargetMode="External"/><Relationship Id="rId102" Type="http://schemas.openxmlformats.org/officeDocument/2006/relationships/hyperlink" Target="https://www.parliament.tas.gov.au/__data/assets/pdf_file/0012/110064/Aurora-Energy-Media-Release-Firmus-Technologies-25-March-2026_Redacted.pdf" TargetMode="External"/><Relationship Id="rId144" Type="http://schemas.openxmlformats.org/officeDocument/2006/relationships/hyperlink" Target="https://www.planningportal.nsw.gov.au/major-projects/projects/aldington-road-data-centre" TargetMode="External"/><Relationship Id="rId547" Type="http://schemas.openxmlformats.org/officeDocument/2006/relationships/hyperlink" Target="https://dafinder.blob.core.windows.net/dadocuments/DOCs/APP-202443633-02.pdf" TargetMode="External"/><Relationship Id="rId589" Type="http://schemas.openxmlformats.org/officeDocument/2006/relationships/hyperlink" Target="https://nominatim.openstreetmap.org/search?q=5+Summit+Road+Noble+Park+VIC" TargetMode="External"/><Relationship Id="rId90" Type="http://schemas.openxmlformats.org/officeDocument/2006/relationships/hyperlink" Target="https://ntepa.nt.gov.au/__data/assets/pdf_file/0003/1622280/notice-of-decision-ep2026-052-project-ares.pdf" TargetMode="External"/><Relationship Id="rId186" Type="http://schemas.openxmlformats.org/officeDocument/2006/relationships/hyperlink" Target="https://sftpbspomppprod01.blob.core.windows.net/applicationfiles/1113a299-b13f-f111-88b4-7c1e5262e60a_ADV04%20-%20PA2604362-300-340%20Barry%20Road%20Campbellfield-Town%20Planning%20Report.pdf" TargetMode="External"/><Relationship Id="rId351" Type="http://schemas.openxmlformats.org/officeDocument/2006/relationships/hyperlink" Target="https://www.datacenterdynamics.com/en/news/stack-tops-out-swiss-data-center-completes-construction-in-melbourne/" TargetMode="External"/><Relationship Id="rId393" Type="http://schemas.openxmlformats.org/officeDocument/2006/relationships/hyperlink" Target="https://www.mab.com.au/projects/business-parks/haystone/" TargetMode="External"/><Relationship Id="rId407" Type="http://schemas.openxmlformats.org/officeDocument/2006/relationships/hyperlink" Target="https://pulsetasmania.com.au/news/document-reveals-six-secret-ai-data-centre-proposals-for-tasmania/" TargetMode="External"/><Relationship Id="rId449" Type="http://schemas.openxmlformats.org/officeDocument/2006/relationships/hyperlink" Target="https://w.media/canberra-data-centres-signs-a-new-10-year-deal-with-australian-defence/" TargetMode="External"/><Relationship Id="rId211" Type="http://schemas.openxmlformats.org/officeDocument/2006/relationships/hyperlink" Target="https://announcements.asx.com.au/asxpdf/20260821/pdf/073136jvdkgcx0.pdf" TargetMode="External"/><Relationship Id="rId253" Type="http://schemas.openxmlformats.org/officeDocument/2006/relationships/hyperlink" Target="https://firmus.co/newsroom/firmus-technologies-expands-regional-ai-access-through-nvidia-dgx-cloud-lepton" TargetMode="External"/><Relationship Id="rId295" Type="http://schemas.openxmlformats.org/officeDocument/2006/relationships/hyperlink" Target="https://www.westerndownsdigitalpark.com.au/" TargetMode="External"/><Relationship Id="rId309" Type="http://schemas.openxmlformats.org/officeDocument/2006/relationships/hyperlink" Target="https://www.abc.net.au/news/2026-09-16/queensland-data-centre-anthropic-dalby/107160640" TargetMode="External"/><Relationship Id="rId460" Type="http://schemas.openxmlformats.org/officeDocument/2006/relationships/hyperlink" Target="https://w.media/firmus-seeks-approval-for-wesley-vale-ai-data-centre/" TargetMode="External"/><Relationship Id="rId516" Type="http://schemas.openxmlformats.org/officeDocument/2006/relationships/hyperlink" Target="https://baxtel.com/data-center/goodman-project-pluto" TargetMode="External"/><Relationship Id="rId48" Type="http://schemas.openxmlformats.org/officeDocument/2006/relationships/hyperlink" Target="https://majorprojects.planningportal.nsw.gov.au/prweb/PRRestService/mp/01/getContent?AttachRef=PDA-90331213%2120250818T033632.818+GMT" TargetMode="External"/><Relationship Id="rId113" Type="http://schemas.openxmlformats.org/officeDocument/2006/relationships/hyperlink" Target="https://www.planning.vic.gov.au/planning-approvals/ministerial-permits-register/ministerial-permits/1b31ed89-8d2e-ef11-840a-000d3acb3ea1" TargetMode="External"/><Relationship Id="rId320" Type="http://schemas.openxmlformats.org/officeDocument/2006/relationships/hyperlink" Target="https://www.businessnews.com.au/article/Maddington-s-415m-data-centre-approved" TargetMode="External"/><Relationship Id="rId558" Type="http://schemas.openxmlformats.org/officeDocument/2006/relationships/hyperlink" Target="https://www.datacentermap.com/australia/melbourne/1-oroya-drive/" TargetMode="External"/><Relationship Id="rId155" Type="http://schemas.openxmlformats.org/officeDocument/2006/relationships/hyperlink" Target="https://www.planningportal.nsw.gov.au/major-projects/projects/julius-avenue-data-centre" TargetMode="External"/><Relationship Id="rId197" Type="http://schemas.openxmlformats.org/officeDocument/2006/relationships/hyperlink" Target="https://statedevelopment.sa.gov.au/downloads/data-centre-crown-sponsorship-form" TargetMode="External"/><Relationship Id="rId362" Type="http://schemas.openxmlformats.org/officeDocument/2006/relationships/hyperlink" Target="https://datacentremoratorium.net/index.php/Resources:Campbellfield_Zerra_DC" TargetMode="External"/><Relationship Id="rId418" Type="http://schemas.openxmlformats.org/officeDocument/2006/relationships/hyperlink" Target="https://www.realestatesource.com.au/green-light-for-data-centre-half-the-size-of-the-rialto/" TargetMode="External"/><Relationship Id="rId222" Type="http://schemas.openxmlformats.org/officeDocument/2006/relationships/hyperlink" Target="https://cdc.com/media/4y2fcog4/maddington-project-update-september-2026.pdf" TargetMode="External"/><Relationship Id="rId264" Type="http://schemas.openxmlformats.org/officeDocument/2006/relationships/hyperlink" Target="https://www.hmccapital.com.au/investment-strategies/digital-infrastructure/digico-infrastructure-reit/financial-reports-presentations/dgt-fy26-results-presentation/" TargetMode="External"/><Relationship Id="rId471" Type="http://schemas.openxmlformats.org/officeDocument/2006/relationships/hyperlink" Target="https://w.media/nsw-approves-goodmans-aud-1-1bn-project-pluto-data-centre-in-western-sydney/" TargetMode="External"/><Relationship Id="rId17" Type="http://schemas.openxmlformats.org/officeDocument/2006/relationships/hyperlink" Target="https://dafinder.blob.core.windows.net/dadocuments/DOCs/NOTICEOFDECISION-202443633-SIGNED.pdf" TargetMode="External"/><Relationship Id="rId59" Type="http://schemas.openxmlformats.org/officeDocument/2006/relationships/hyperlink" Target="https://majorprojects.planningportal.nsw.gov.au/prweb/PRRestService/mp/01/getContent?AttachRef=SSD-21342738%2120230901T061348.447+GMT" TargetMode="External"/><Relationship Id="rId124" Type="http://schemas.openxmlformats.org/officeDocument/2006/relationships/hyperlink" Target="https://www.planning.vic.gov.au/planning-approvals/ministerial-permits-register/ministerial-permits/975c57aa-6b34-f111-88b4-7c1e5262e513" TargetMode="External"/><Relationship Id="rId527" Type="http://schemas.openxmlformats.org/officeDocument/2006/relationships/hyperlink" Target="https://baxtel.com/data-center/stack-mel01c" TargetMode="External"/><Relationship Id="rId569" Type="http://schemas.openxmlformats.org/officeDocument/2006/relationships/hyperlink" Target="https://www.datacenters.com/locations/australia/south-australia/adelaide" TargetMode="External"/><Relationship Id="rId70" Type="http://schemas.openxmlformats.org/officeDocument/2006/relationships/hyperlink" Target="https://majorprojects.planningportal.nsw.gov.au/prweb/PRRestService/mp/01/getContent?AttachRef=SSD-63741210%2120251224T003217.140+GMT" TargetMode="External"/><Relationship Id="rId166" Type="http://schemas.openxmlformats.org/officeDocument/2006/relationships/hyperlink" Target="https://www.planningportal.nsw.gov.au/major-projects/projects/nextdc-s4-modification-1-design-modifications" TargetMode="External"/><Relationship Id="rId331" Type="http://schemas.openxmlformats.org/officeDocument/2006/relationships/hyperlink" Target="https://www.datacenterdynamics.com/en/news/airtrunk-acquires-site-in-melbourne-australia-for-354mw-data-center/" TargetMode="External"/><Relationship Id="rId373" Type="http://schemas.openxmlformats.org/officeDocument/2006/relationships/hyperlink" Target="https://datacentremoratorium.net/index.php/Resources:STACK_MEL03_Campus" TargetMode="External"/><Relationship Id="rId429" Type="http://schemas.openxmlformats.org/officeDocument/2006/relationships/hyperlink" Target="https://www.theleader.com.au/story/9337393/ai-data-centre-approved-despite-community-concerns/" TargetMode="External"/><Relationship Id="rId580" Type="http://schemas.openxmlformats.org/officeDocument/2006/relationships/hyperlink" Target="https://iren.com/" TargetMode="External"/><Relationship Id="rId1" Type="http://schemas.openxmlformats.org/officeDocument/2006/relationships/hyperlink" Target="https://api.apps1.nsw.gov.au/eplanning/data/v0/OnlineDA" TargetMode="External"/><Relationship Id="rId233" Type="http://schemas.openxmlformats.org/officeDocument/2006/relationships/hyperlink" Target="https://cdn.sanity.io/files/q43wife6/production/78b5aa5a9b063a28510338ea87d12d2e79319892.pdf" TargetMode="External"/><Relationship Id="rId440" Type="http://schemas.openxmlformats.org/officeDocument/2006/relationships/hyperlink" Target="https://thewest.com.au/business/construction/maddington-data-centre-development-green-light-for-415m-project-and-construction-tipped-to-start-soon-c-19977544" TargetMode="External"/><Relationship Id="rId28" Type="http://schemas.openxmlformats.org/officeDocument/2006/relationships/hyperlink" Target="https://geo.abs.gov.au/arcgis/rest/services/ASGS2021/LGA/MapServer/0/query" TargetMode="External"/><Relationship Id="rId275" Type="http://schemas.openxmlformats.org/officeDocument/2006/relationships/hyperlink" Target="https://newsroom.equinix.com/2022-06-14-Equinix-and-PGIM-Real-Estate-Open-First-xScale-TM-Data-Centre-in-Sydney-for-Hyperscalers" TargetMode="External"/><Relationship Id="rId300" Type="http://schemas.openxmlformats.org/officeDocument/2006/relationships/hyperlink" Target="https://www.abc.net.au/news/2026-07-03/firmus-ai-data-centres-is-tasmania-ready/106869862" TargetMode="External"/><Relationship Id="rId482" Type="http://schemas.openxmlformats.org/officeDocument/2006/relationships/hyperlink" Target="https://www.yourlocalexaminer.com.au/have-your-say-on-data-centre/" TargetMode="External"/><Relationship Id="rId538" Type="http://schemas.openxmlformats.org/officeDocument/2006/relationships/hyperlink" Target="https://baxtel.com/news/1051" TargetMode="External"/><Relationship Id="rId81" Type="http://schemas.openxmlformats.org/officeDocument/2006/relationships/hyperlink" Target="https://majorprojects.planningportal.nsw.gov.au/prweb/PRRestService/mp/01/getContent?AttachRef=SSD-70889211-PA-23%2120260722T061549.935+GMT" TargetMode="External"/><Relationship Id="rId135" Type="http://schemas.openxmlformats.org/officeDocument/2006/relationships/hyperlink" Target="https://www.planning.wa.gov.au/docs/default-source/daps-docs-website/current-applications.pdf?sfvrsn=ebbf7a78_310" TargetMode="External"/><Relationship Id="rId177" Type="http://schemas.openxmlformats.org/officeDocument/2006/relationships/hyperlink" Target="https://www.planningportal.nsw.gov.au/major-projects/projects/talavera-road-data-centre-mod-1-expansion" TargetMode="External"/><Relationship Id="rId342" Type="http://schemas.openxmlformats.org/officeDocument/2006/relationships/hyperlink" Target="https://www.datacenterdynamics.com/en/news/firmus-gets-go-ahead-for-ai-data-center-project-in-launceston-tasmania/" TargetMode="External"/><Relationship Id="rId384" Type="http://schemas.openxmlformats.org/officeDocument/2006/relationships/hyperlink" Target="https://www.global-infra.com/news/acs-is-joined-by-global-infrastructure-partners-to-launch-a-global-data-center-development-platform-with-initial-1-7-gw-portfolio/" TargetMode="External"/><Relationship Id="rId591" Type="http://schemas.openxmlformats.org/officeDocument/2006/relationships/hyperlink" Target="https://nominatim.openstreetmap.org/search?q=765+Plenty+Road+South+Morang+VIC" TargetMode="External"/><Relationship Id="rId605" Type="http://schemas.openxmlformats.org/officeDocument/2006/relationships/hyperlink" Target="https://www.techpartner.news/news/dci-reveals-new-data-centre-plans-for-sa-569291" TargetMode="External"/><Relationship Id="rId202" Type="http://schemas.openxmlformats.org/officeDocument/2006/relationships/hyperlink" Target="https://airtrunk.com/airtrunk-expands-australian-platform-with-a-second-hyperscale-data-centre-campus-in-melbourne/" TargetMode="External"/><Relationship Id="rId244" Type="http://schemas.openxmlformats.org/officeDocument/2006/relationships/hyperlink" Target="https://www.dcidatacenters.com/news/adl02-launch/" TargetMode="External"/><Relationship Id="rId39" Type="http://schemas.openxmlformats.org/officeDocument/2006/relationships/hyperlink" Target="https://majorprojects.planningportal.nsw.gov.au/prweb/PRRestService/mp/01/getContent?AttachRef=PDA-107168706%2120260409T032440.056+GMT" TargetMode="External"/><Relationship Id="rId286" Type="http://schemas.openxmlformats.org/officeDocument/2006/relationships/hyperlink" Target="https://www.quinbrook.com/portfolio-companies/supernode/" TargetMode="External"/><Relationship Id="rId451" Type="http://schemas.openxmlformats.org/officeDocument/2006/relationships/hyperlink" Target="https://w.media/cdc-plans-aud-15bn-1-4gw-data-centre-campus-near-wagga-wagga/" TargetMode="External"/><Relationship Id="rId493" Type="http://schemas.openxmlformats.org/officeDocument/2006/relationships/hyperlink" Target="https://baxtel.com/data-center/cdc-maddington-perth" TargetMode="External"/><Relationship Id="rId507" Type="http://schemas.openxmlformats.org/officeDocument/2006/relationships/hyperlink" Target="https://baxtel.com/data-center/firmus-wesley-vale" TargetMode="External"/><Relationship Id="rId549" Type="http://schemas.openxmlformats.org/officeDocument/2006/relationships/hyperlink" Target="https://dafinder.blob.core.windows.net/dadocuments/DOCs/SUPP-202645149-LETTER-01.pdf" TargetMode="External"/><Relationship Id="rId50" Type="http://schemas.openxmlformats.org/officeDocument/2006/relationships/hyperlink" Target="https://majorprojects.planningportal.nsw.gov.au/prweb/PRRestService/mp/01/getContent?AttachRef=SSD-101067971%2120260528T060715.082+GMT" TargetMode="External"/><Relationship Id="rId104" Type="http://schemas.openxmlformats.org/officeDocument/2006/relationships/hyperlink" Target="https://www.planning.act.gov.au/__data/assets/pdf_file/0015/3063102/ESO202600012-Beard-Proposed-Data-Centre-Development-Beard-2.pdf" TargetMode="External"/><Relationship Id="rId146" Type="http://schemas.openxmlformats.org/officeDocument/2006/relationships/hyperlink" Target="https://www.planningportal.nsw.gov.au/major-projects/projects/ashfords-road-data-centre-gregadoo" TargetMode="External"/><Relationship Id="rId188" Type="http://schemas.openxmlformats.org/officeDocument/2006/relationships/hyperlink" Target="https://sftpbspomppprod01.blob.core.windows.net/applicationfiles/14c42f63-3f54-f111-bec6-6045bdc28ba0_ADV%205%20-%20PA2604419-413%20Francis%20Street%20Brooklyn-Planning%20Report-200526.pdf" TargetMode="External"/><Relationship Id="rId311" Type="http://schemas.openxmlformats.org/officeDocument/2006/relationships/hyperlink" Target="https://www.abc.net.au/news/2026-10-02/qld-state-to-take-data-centre-approvals-from-local-councils/107221348" TargetMode="External"/><Relationship Id="rId353" Type="http://schemas.openxmlformats.org/officeDocument/2006/relationships/hyperlink" Target="https://www.datacenterdynamics.com/en/news/stockland-files-to-develop-250mw-data-center-campus-in-melbourne-australia/" TargetMode="External"/><Relationship Id="rId395" Type="http://schemas.openxmlformats.org/officeDocument/2006/relationships/hyperlink" Target="https://www.mingtiandi.com/real-estate/data-centres/cdc-proposes-10-5b-new-south-wales-data-centre/" TargetMode="External"/><Relationship Id="rId409" Type="http://schemas.openxmlformats.org/officeDocument/2006/relationships/hyperlink" Target="https://pulsetasmania.com.au/news/launceston-council-approves-major-2-1-billion-ai-data-centre/" TargetMode="External"/><Relationship Id="rId560" Type="http://schemas.openxmlformats.org/officeDocument/2006/relationships/hyperlink" Target="https://www.datacentermap.com/australia/melbourne/585-berwick-cranbourne-rd/" TargetMode="External"/><Relationship Id="rId92" Type="http://schemas.openxmlformats.org/officeDocument/2006/relationships/hyperlink" Target="https://ntepa.nt.gov.au/__data/assets/pdf_file/0015/1622103/referral-report.pdf" TargetMode="External"/><Relationship Id="rId213" Type="http://schemas.openxmlformats.org/officeDocument/2006/relationships/hyperlink" Target="https://announcements.asx.com.au/asxpdf/20260821/pdf/07313trvmvdpsb.pdf" TargetMode="External"/><Relationship Id="rId420" Type="http://schemas.openxmlformats.org/officeDocument/2006/relationships/hyperlink" Target="https://www.realestatesource.com.au/zerra-files-plans-for-31bn-queensland-data-centre-campus/" TargetMode="External"/><Relationship Id="rId255" Type="http://schemas.openxmlformats.org/officeDocument/2006/relationships/hyperlink" Target="https://firmus.co/ourcommitments/tasmaniancommunity" TargetMode="External"/><Relationship Id="rId297" Type="http://schemas.openxmlformats.org/officeDocument/2006/relationships/hyperlink" Target="https://www.abc.net.au/news/2026-06-15/firmus-ai-company-tasmania-biggest-power-user-three-sites/106783142" TargetMode="External"/><Relationship Id="rId462" Type="http://schemas.openxmlformats.org/officeDocument/2006/relationships/hyperlink" Target="https://w.media/gateway-considers-81mw-data-centre-at-sydneys-st-leonards/" TargetMode="External"/><Relationship Id="rId518" Type="http://schemas.openxmlformats.org/officeDocument/2006/relationships/hyperlink" Target="https://baxtel.com/data-center/greensquaredc-sydney-syd1" TargetMode="External"/><Relationship Id="rId115" Type="http://schemas.openxmlformats.org/officeDocument/2006/relationships/hyperlink" Target="https://www.planning.vic.gov.au/planning-approvals/ministerial-permits-register/ministerial-permits/25f85ea1-feba-f111-aaad-6045bdc28ea6" TargetMode="External"/><Relationship Id="rId157" Type="http://schemas.openxmlformats.org/officeDocument/2006/relationships/hyperlink" Target="https://www.planningportal.nsw.gov.au/major-projects/projects/kurri-kurri-data-centre" TargetMode="External"/><Relationship Id="rId322" Type="http://schemas.openxmlformats.org/officeDocument/2006/relationships/hyperlink" Target="https://cfotech.com.au/story/dci-data-centers-to-build-400m-facility-in-sydney" TargetMode="External"/><Relationship Id="rId364" Type="http://schemas.openxmlformats.org/officeDocument/2006/relationships/hyperlink" Target="https://datacentremoratorium.net/index.php/Resources:Dover_SM1A" TargetMode="External"/><Relationship Id="rId61" Type="http://schemas.openxmlformats.org/officeDocument/2006/relationships/hyperlink" Target="https://majorprojects.planningportal.nsw.gov.au/prweb/PRRestService/mp/01/getContent?AttachRef=SSD-24299707%2120231127T020928.161+GMT" TargetMode="External"/><Relationship Id="rId199" Type="http://schemas.openxmlformats.org/officeDocument/2006/relationships/hyperlink" Target="https://statements.qld.gov.au/statements/95682" TargetMode="External"/><Relationship Id="rId571" Type="http://schemas.openxmlformats.org/officeDocument/2006/relationships/hyperlink" Target="https://datacentremoratorium.net/index.php/Resources:Data_Centres_in_Greater_Melbourne" TargetMode="External"/><Relationship Id="rId19" Type="http://schemas.openxmlformats.org/officeDocument/2006/relationships/hyperlink" Target="https://dafinder.blob.core.windows.net/dadocuments/DOCs/SUPP-202443633-INFRASTRUCTURE_REPORT-01.pdf" TargetMode="External"/><Relationship Id="rId224" Type="http://schemas.openxmlformats.org/officeDocument/2006/relationships/hyperlink" Target="https://cdc.com/resources/news/cdc-announces-landmark-plan-to-drive-ai-and-advanced-technology-deployments-in-western-australia/" TargetMode="External"/><Relationship Id="rId266" Type="http://schemas.openxmlformats.org/officeDocument/2006/relationships/hyperlink" Target="https://www.hmccapital.com.au/investment-strategies/digital-infrastructure/digico-infrastructure-reit/financial-reports-presentations/hy26-results-presentation/" TargetMode="External"/><Relationship Id="rId431" Type="http://schemas.openxmlformats.org/officeDocument/2006/relationships/hyperlink" Target="https://theurbandeveloper.com/articles/stockland-data-centre-macquarie-park-mpark" TargetMode="External"/><Relationship Id="rId473" Type="http://schemas.openxmlformats.org/officeDocument/2006/relationships/hyperlink" Target="https://w.media/openai-and-nextdc-unveil-aud-7bn-plan-for-sovereign-ai-campus-in-sydney/" TargetMode="External"/><Relationship Id="rId529" Type="http://schemas.openxmlformats.org/officeDocument/2006/relationships/hyperlink" Target="https://baxtel.com/data-center/stack-melbourne-mel02" TargetMode="External"/><Relationship Id="rId30" Type="http://schemas.openxmlformats.org/officeDocument/2006/relationships/hyperlink" Target="https://georgetown.tas.gov.au/volumes/documents/Shared/Council-Meetings/2026/08.-August-2026/2026-08-25-Ordinary-Council-Meeting-Confirmed-Minutes-Public-Copy.pdf" TargetMode="External"/><Relationship Id="rId126" Type="http://schemas.openxmlformats.org/officeDocument/2006/relationships/hyperlink" Target="https://www.planning.vic.gov.au/planning-approvals/ministerial-permits-register/ministerial-permits/ca1e707a-7260-f111-a826-70a8a554a5c4" TargetMode="External"/><Relationship Id="rId168" Type="http://schemas.openxmlformats.org/officeDocument/2006/relationships/hyperlink" Target="https://www.planningportal.nsw.gov.au/major-projects/projects/nextdc-s7-data-centre-eastern-creek" TargetMode="External"/><Relationship Id="rId333" Type="http://schemas.openxmlformats.org/officeDocument/2006/relationships/hyperlink" Target="https://www.datacenterdynamics.com/en/news/au11-billion-data-center-project-proposed-outside-melbourne-australia/" TargetMode="External"/><Relationship Id="rId540" Type="http://schemas.openxmlformats.org/officeDocument/2006/relationships/hyperlink" Target="https://baxtel.com/news/cdc-plans-200mw-data-center-campus-outside-perth" TargetMode="External"/><Relationship Id="rId72" Type="http://schemas.openxmlformats.org/officeDocument/2006/relationships/hyperlink" Target="https://majorprojects.planningportal.nsw.gov.au/prweb/PRRestService/mp/01/getContent?AttachRef=SSD-66777221-MOD-2%2120260414T055621.028+GMT" TargetMode="External"/><Relationship Id="rId375" Type="http://schemas.openxmlformats.org/officeDocument/2006/relationships/hyperlink" Target="https://datacentremoratorium.net/index.php/Resources:Stockland_Laverton_North" TargetMode="External"/><Relationship Id="rId582" Type="http://schemas.openxmlformats.org/officeDocument/2006/relationships/hyperlink" Target="https://nominatim.openstreetmap.org/search?q=165+Williamsons+Road+South+Morang+VIC" TargetMode="External"/><Relationship Id="rId3" Type="http://schemas.openxmlformats.org/officeDocument/2006/relationships/hyperlink" Target="https://www.ausnetservices.com.au/projects-and-innovation/major-projects/spotswood-underground-electricity-transmission-connection" TargetMode="External"/><Relationship Id="rId235" Type="http://schemas.openxmlformats.org/officeDocument/2006/relationships/hyperlink" Target="https://cloudcarrier.com/" TargetMode="External"/><Relationship Id="rId277" Type="http://schemas.openxmlformats.org/officeDocument/2006/relationships/hyperlink" Target="https://www.nextdc.com/data-centres/m3-melbourne-data-centre" TargetMode="External"/><Relationship Id="rId400" Type="http://schemas.openxmlformats.org/officeDocument/2006/relationships/hyperlink" Target="https://northern.starweekly.com.au/news/hume-calls-halt-on-data-centres/" TargetMode="External"/><Relationship Id="rId442" Type="http://schemas.openxmlformats.org/officeDocument/2006/relationships/hyperlink" Target="https://w.media/?p=38408" TargetMode="External"/><Relationship Id="rId484" Type="http://schemas.openxmlformats.org/officeDocument/2006/relationships/hyperlink" Target="https://yourneighbourhood.com.au/data-centre-technology-campus-dalby-kogan-road-kogan/" TargetMode="External"/><Relationship Id="rId137" Type="http://schemas.openxmlformats.org/officeDocument/2006/relationships/hyperlink" Target="https://www.planning.wa.gov.au/docs/default-source/daps/minutes---no-102---city-of-gosnells.pdf?sfvrsn=9164d69f_1" TargetMode="External"/><Relationship Id="rId302" Type="http://schemas.openxmlformats.org/officeDocument/2006/relationships/hyperlink" Target="https://www.abc.net.au/news/2026-08-24/plans-for-australia-largest-data-centre-in-regional-queensland/107071624" TargetMode="External"/><Relationship Id="rId344" Type="http://schemas.openxmlformats.org/officeDocument/2006/relationships/hyperlink" Target="https://www.datacenterdynamics.com/en/news/fujitsu-sells-australian-data-center-business-to-next-capital/" TargetMode="External"/><Relationship Id="rId41" Type="http://schemas.openxmlformats.org/officeDocument/2006/relationships/hyperlink" Target="https://majorprojects.planningportal.nsw.gov.au/prweb/PRRestService/mp/01/getContent?AttachRef=PDA-128187739%2120260616T074612.162+GMT" TargetMode="External"/><Relationship Id="rId83" Type="http://schemas.openxmlformats.org/officeDocument/2006/relationships/hyperlink" Target="https://majorprojects.planningportal.nsw.gov.au/prweb/PRRestService/mp/01/getContent?AttachRef=SSD-74069708%2120260903T232908.106+GMT" TargetMode="External"/><Relationship Id="rId179" Type="http://schemas.openxmlformats.org/officeDocument/2006/relationships/hyperlink" Target="https://www.planningportal.nsw.gov.au/planning-panel/alterations-and-additions-existing-data-centre" TargetMode="External"/><Relationship Id="rId386" Type="http://schemas.openxmlformats.org/officeDocument/2006/relationships/hyperlink" Target="https://www.indailysa.com.au/news/archive/2021/08/30/new-data-centres-to-boost-sas-it-capacity" TargetMode="External"/><Relationship Id="rId551" Type="http://schemas.openxmlformats.org/officeDocument/2006/relationships/hyperlink" Target="https://www.datacentermap.com/australia/adelaide/yourdc-edinburgh/specs" TargetMode="External"/><Relationship Id="rId593" Type="http://schemas.openxmlformats.org/officeDocument/2006/relationships/hyperlink" Target="https://www.planningalerts.org.au/applications/3206534" TargetMode="External"/><Relationship Id="rId190" Type="http://schemas.openxmlformats.org/officeDocument/2006/relationships/hyperlink" Target="https://sftpbspomppprod01.blob.core.windows.net/applicationfiles/1ea17bd8-75be-ef11-b8e8-002248938a9c_PA2403452%20-%2085%20Sharps%20Road,%20Tullamarine%20-%20Officer%20Report%20-%20REDACTED.pdf" TargetMode="External"/><Relationship Id="rId204" Type="http://schemas.openxmlformats.org/officeDocument/2006/relationships/hyperlink" Target="https://airtrunk.com/data-centres/mel2/" TargetMode="External"/><Relationship Id="rId246" Type="http://schemas.openxmlformats.org/officeDocument/2006/relationships/hyperlink" Target="https://energy-north.com/" TargetMode="External"/><Relationship Id="rId288" Type="http://schemas.openxmlformats.org/officeDocument/2006/relationships/hyperlink" Target="https://www.stackinfra.com/about/news-press/press-releases/stack-infrastructure-secures-aud-1-3-billion-in-green-financing-to-accelerate-expansion-of-mel01-hyperscale-campus-in-melbourne/" TargetMode="External"/><Relationship Id="rId411" Type="http://schemas.openxmlformats.org/officeDocument/2006/relationships/hyperlink" Target="https://www.realestate.com.au/news/swanbank-mega-data-centre-backlash-grows-as-1200-locals-demand-public-say/" TargetMode="External"/><Relationship Id="rId453" Type="http://schemas.openxmlformats.org/officeDocument/2006/relationships/hyperlink" Target="https://w.media/cloud-carrier-launches-australias-first-liquid-cooled-data-campus-in-the-southern-highlands/" TargetMode="External"/><Relationship Id="rId509" Type="http://schemas.openxmlformats.org/officeDocument/2006/relationships/hyperlink" Target="https://baxtel.com/data-center/fujitsu-north-ryde-sydney" TargetMode="External"/><Relationship Id="rId106" Type="http://schemas.openxmlformats.org/officeDocument/2006/relationships/hyperlink" Target="https://www.planning.act.gov.au/applications-and-assessments/development-applications/browse-das/development-application-details?da-number=202443633&amp;amendment-version=" TargetMode="External"/><Relationship Id="rId313" Type="http://schemas.openxmlformats.org/officeDocument/2006/relationships/hyperlink" Target="https://altenergy.com.au/newsandviews/show/168/rocky-path-ahead-for-data-centre-regulation" TargetMode="External"/><Relationship Id="rId495" Type="http://schemas.openxmlformats.org/officeDocument/2006/relationships/hyperlink" Target="https://baxtel.com/data-center/centuria-clayton-2" TargetMode="External"/><Relationship Id="rId10" Type="http://schemas.openxmlformats.org/officeDocument/2006/relationships/hyperlink" Target="https://dafinder.blob.core.windows.net/dadocuments/DOCs/DEVOUTCOMEREP-202443633-S205E-01.pdf" TargetMode="External"/><Relationship Id="rId52" Type="http://schemas.openxmlformats.org/officeDocument/2006/relationships/hyperlink" Target="https://majorprojects.planningportal.nsw.gov.au/prweb/PRRestService/mp/01/getContent?AttachRef=SSD-108835458%2120260409T072028.589+GMT" TargetMode="External"/><Relationship Id="rId94" Type="http://schemas.openxmlformats.org/officeDocument/2006/relationships/hyperlink" Target="https://ntepa.nt.gov.au/news/2026/public-comment-is-sought-on-new-referral-project-ares" TargetMode="External"/><Relationship Id="rId148" Type="http://schemas.openxmlformats.org/officeDocument/2006/relationships/hyperlink" Target="https://www.planningportal.nsw.gov.au/major-projects/projects/dci-poplars-data-centre-project-0" TargetMode="External"/><Relationship Id="rId355" Type="http://schemas.openxmlformats.org/officeDocument/2006/relationships/hyperlink" Target="https://www.datacenterdynamics.com/en/news/zerra-dc-files-to-build-six-building-data-center-campus-in-melbourne-australia/" TargetMode="External"/><Relationship Id="rId397" Type="http://schemas.openxmlformats.org/officeDocument/2006/relationships/hyperlink" Target="https://www.mingtiandi.com/real-estate/data-centres/pgim-buys-melbourne-site-for-data-centre-campus-plans-850m-first-phase/" TargetMode="External"/><Relationship Id="rId520" Type="http://schemas.openxmlformats.org/officeDocument/2006/relationships/hyperlink" Target="https://baxtel.com/data-center/macquarie-ic3-super-west" TargetMode="External"/><Relationship Id="rId562" Type="http://schemas.openxmlformats.org/officeDocument/2006/relationships/hyperlink" Target="https://www.datacentermap.com/australia/melbourne/amazon-aws-55-donnybrook-rd/" TargetMode="External"/><Relationship Id="rId215" Type="http://schemas.openxmlformats.org/officeDocument/2006/relationships/hyperlink" Target="https://au.goodman.com/property-lease-site/MEL02" TargetMode="External"/><Relationship Id="rId257" Type="http://schemas.openxmlformats.org/officeDocument/2006/relationships/hyperlink" Target="https://firmus.co/wesley-vale-ai-factory-project" TargetMode="External"/><Relationship Id="rId422" Type="http://schemas.openxmlformats.org/officeDocument/2006/relationships/hyperlink" Target="https://reneweconomy.com.au/australias-biggest-data-centre-to-require-4-substations-2-grid-scale-power-lines-and-lots-of-diesel-backup/" TargetMode="External"/><Relationship Id="rId464" Type="http://schemas.openxmlformats.org/officeDocument/2006/relationships/hyperlink" Target="https://w.media/goodman-wins-approval-for-135mw-macquarie-park-data-centre/" TargetMode="External"/><Relationship Id="rId299" Type="http://schemas.openxmlformats.org/officeDocument/2006/relationships/hyperlink" Target="https://www.abc.net.au/news/2026-06-23/sa-push-for-ai-data-centres-in-sa-in-new-strategy/106830536" TargetMode="External"/><Relationship Id="rId63" Type="http://schemas.openxmlformats.org/officeDocument/2006/relationships/hyperlink" Target="https://majorprojects.planningportal.nsw.gov.au/prweb/PRRestService/mp/01/getContent?AttachRef=SSD-24299707-PA-22%2120260723T112244.245+GMT" TargetMode="External"/><Relationship Id="rId159" Type="http://schemas.openxmlformats.org/officeDocument/2006/relationships/hyperlink" Target="https://www.planningportal.nsw.gov.au/major-projects/projects/lane-cove-west-data-centre-mod-4-apdc-inclusion" TargetMode="External"/><Relationship Id="rId366" Type="http://schemas.openxmlformats.org/officeDocument/2006/relationships/hyperlink" Target="https://datacentremoratorium.net/index.php/Resources:GreenSquareDC_MEL1" TargetMode="External"/><Relationship Id="rId573" Type="http://schemas.openxmlformats.org/officeDocument/2006/relationships/hyperlink" Target="https://datacentremoratorium.net/index.php/Resources:Goodman_Craigiburn" TargetMode="External"/><Relationship Id="rId226" Type="http://schemas.openxmlformats.org/officeDocument/2006/relationships/hyperlink" Target="https://cdc.com/resources/news/cdc-welcomes-act-governments-data-centre-framework-development/" TargetMode="External"/><Relationship Id="rId433" Type="http://schemas.openxmlformats.org/officeDocument/2006/relationships/hyperlink" Target="https://www.theurbandeveloper.com/articles/data-centre-perri-projects-victoria-west-footscray" TargetMode="External"/><Relationship Id="rId74" Type="http://schemas.openxmlformats.org/officeDocument/2006/relationships/hyperlink" Target="https://majorprojects.planningportal.nsw.gov.au/prweb/PRRestService/mp/01/getContent?AttachRef=SSD-67407231%2120251009T033248.267+GMT" TargetMode="External"/><Relationship Id="rId377" Type="http://schemas.openxmlformats.org/officeDocument/2006/relationships/hyperlink" Target="https://datacentremoratorium.net/index.php/Resources:Vantage_MEL1" TargetMode="External"/><Relationship Id="rId500" Type="http://schemas.openxmlformats.org/officeDocument/2006/relationships/hyperlink" Target="https://baxtel.com/data-center/digico-sydney-syd1-west" TargetMode="External"/><Relationship Id="rId584" Type="http://schemas.openxmlformats.org/officeDocument/2006/relationships/hyperlink" Target="https://nominatim.openstreetmap.org/search?q=300+Barry+Road+Campbellfield+VIC" TargetMode="External"/><Relationship Id="rId5" Type="http://schemas.openxmlformats.org/officeDocument/2006/relationships/hyperlink" Target="https://www.casey.vic.gov.au/news/update-planning-permit-application-data-centre-clyde-north" TargetMode="External"/><Relationship Id="rId237" Type="http://schemas.openxmlformats.org/officeDocument/2006/relationships/hyperlink" Target="https://cloudcarrier.com/contact-us/" TargetMode="External"/><Relationship Id="rId444" Type="http://schemas.openxmlformats.org/officeDocument/2006/relationships/hyperlink" Target="https://w.media/airtrunk-proposes-aud-3-7bn-nsw-data-centre-with-aud-37m-community-offer/" TargetMode="External"/><Relationship Id="rId290" Type="http://schemas.openxmlformats.org/officeDocument/2006/relationships/hyperlink" Target="https://www.stackinfra.com/locations/asia-pacific/melbourne/mel02/" TargetMode="External"/><Relationship Id="rId304" Type="http://schemas.openxmlformats.org/officeDocument/2006/relationships/hyperlink" Target="https://www.abc.net.au/news/2026-08-30/ai-data-centre-tasmania-firmus-technology-george-town/107089468" TargetMode="External"/><Relationship Id="rId388" Type="http://schemas.openxmlformats.org/officeDocument/2006/relationships/hyperlink" Target="https://itbrief.com.au/story/anthropic-leases-first-stage-of-queensland-data-campus" TargetMode="External"/><Relationship Id="rId511" Type="http://schemas.openxmlformats.org/officeDocument/2006/relationships/hyperlink" Target="https://baxtel.com/data-center/gateway-sydney" TargetMode="External"/><Relationship Id="rId85" Type="http://schemas.openxmlformats.org/officeDocument/2006/relationships/hyperlink" Target="https://majorprojects.planningportal.nsw.gov.au/prweb/PRRestService/mp/01/getContent?AttachRef=SSD-80814238%2120261002T063830.858+GMT" TargetMode="External"/><Relationship Id="rId150" Type="http://schemas.openxmlformats.org/officeDocument/2006/relationships/hyperlink" Target="https://www.planningportal.nsw.gov.au/major-projects/projects/digico-syd1-dc-mod-1-minor-design-refinements" TargetMode="External"/><Relationship Id="rId595" Type="http://schemas.openxmlformats.org/officeDocument/2006/relationships/hyperlink" Target="https://www.planningalerts.org.au/applications/3430522" TargetMode="External"/><Relationship Id="rId248" Type="http://schemas.openxmlformats.org/officeDocument/2006/relationships/hyperlink" Target="https://energy-north.com/projects/project-ares/" TargetMode="External"/><Relationship Id="rId455" Type="http://schemas.openxmlformats.org/officeDocument/2006/relationships/hyperlink" Target="https://w.media/dci-data-centers-to-build-10mw-data-centre-in-darwin-australia/" TargetMode="External"/><Relationship Id="rId12" Type="http://schemas.openxmlformats.org/officeDocument/2006/relationships/hyperlink" Target="https://dafinder.blob.core.windows.net/dadocuments/DOCs/ENVSIGNIFICANCE-202645149-01.pdf" TargetMode="External"/><Relationship Id="rId108" Type="http://schemas.openxmlformats.org/officeDocument/2006/relationships/hyperlink" Target="https://www.planning.act.gov.au/applications-and-assessments/development-applications/browse-das/development-application-details?da-number=202645149&amp;amendment-version=" TargetMode="External"/><Relationship Id="rId315" Type="http://schemas.openxmlformats.org/officeDocument/2006/relationships/hyperlink" Target="https://bebeez.eu/2026/07/20/fujitsu-sells-australian-data-center-business-to-next-capital/" TargetMode="External"/><Relationship Id="rId522" Type="http://schemas.openxmlformats.org/officeDocument/2006/relationships/hyperlink" Target="https://baxtel.com/data-center/nextdc-m3west-footscray" TargetMode="External"/><Relationship Id="rId96" Type="http://schemas.openxmlformats.org/officeDocument/2006/relationships/hyperlink" Target="https://ntepa.nt.gov.au/your-business/public-registers/environmental-impact-assessments-register/assessments-in-progress-register/project-ares" TargetMode="External"/><Relationship Id="rId161" Type="http://schemas.openxmlformats.org/officeDocument/2006/relationships/hyperlink" Target="https://www.planningportal.nsw.gov.au/major-projects/projects/mars-road-data-centre" TargetMode="External"/><Relationship Id="rId399" Type="http://schemas.openxmlformats.org/officeDocument/2006/relationships/hyperlink" Target="https://www.mingtiandi.com/real-estate/data-centres/stockland-seeks-approval-for-250mw-melbourne-data-centre-campus/" TargetMode="External"/><Relationship Id="rId259" Type="http://schemas.openxmlformats.org/officeDocument/2006/relationships/hyperlink" Target="https://greensquaredc.com/locations/" TargetMode="External"/><Relationship Id="rId466" Type="http://schemas.openxmlformats.org/officeDocument/2006/relationships/hyperlink" Target="https://w.media/hmcs-acquisition-of-iseek-to-seed-its-global-digico-platform-strategy/" TargetMode="External"/><Relationship Id="rId23" Type="http://schemas.openxmlformats.org/officeDocument/2006/relationships/hyperlink" Target="https://developmenti.wdrc.qld.gov.au/" TargetMode="External"/><Relationship Id="rId119" Type="http://schemas.openxmlformats.org/officeDocument/2006/relationships/hyperlink" Target="https://www.planning.vic.gov.au/planning-approvals/ministerial-permits-register/ministerial-permits/62cc5b40-f5b5-f011-bbd2-7ced8d337ed8" TargetMode="External"/><Relationship Id="rId326" Type="http://schemas.openxmlformats.org/officeDocument/2006/relationships/hyperlink" Target="https://cranbournenews.starcommunity.com.au/news/2026-09-30/clyde-north-data-centres-power-demand-revealed/" TargetMode="External"/><Relationship Id="rId533" Type="http://schemas.openxmlformats.org/officeDocument/2006/relationships/hyperlink" Target="https://baxtel.com/data-center/supernode-brendale" TargetMode="External"/><Relationship Id="rId172" Type="http://schemas.openxmlformats.org/officeDocument/2006/relationships/hyperlink" Target="https://www.planningportal.nsw.gov.au/major-projects/projects/project-pluto-data-centre" TargetMode="External"/><Relationship Id="rId477" Type="http://schemas.openxmlformats.org/officeDocument/2006/relationships/hyperlink" Target="https://w.media/stockland-finalises-edgeconnex-data-centre-jv-as-ceo-plots-more-investment/" TargetMode="External"/><Relationship Id="rId600" Type="http://schemas.openxmlformats.org/officeDocument/2006/relationships/hyperlink" Target="https://www.planningalerts.org.au/applications/3548117" TargetMode="External"/><Relationship Id="rId337" Type="http://schemas.openxmlformats.org/officeDocument/2006/relationships/hyperlink" Target="https://www.datacenterdynamics.com/en/news/blackrocks-gip-and-acs-name-data-center-joint-venture-coravel-sign-customer-in-texas/" TargetMode="External"/><Relationship Id="rId34" Type="http://schemas.openxmlformats.org/officeDocument/2006/relationships/hyperlink" Target="https://www.latrobe.tas.gov.au/notice-board/latest-news/proposed-ai-data-centre-wesley-vale" TargetMode="External"/><Relationship Id="rId544" Type="http://schemas.openxmlformats.org/officeDocument/2006/relationships/hyperlink" Target="https://baxtel.com/sites/dci-adelaide-adl03" TargetMode="External"/><Relationship Id="rId183" Type="http://schemas.openxmlformats.org/officeDocument/2006/relationships/hyperlink" Target="https://records.brimbank.vic.gov.au/ExternalLinkAPI/api/document/?docKey=UHZYRmNFYWVDaUN0clNmekJwVXhMUExwUGpQcFE0VVFXVnp1NkdSYlZpc0lsS2NCZlVOWUxOVXBncy9DSUhHZg2" TargetMode="External"/><Relationship Id="rId390" Type="http://schemas.openxmlformats.org/officeDocument/2006/relationships/hyperlink" Target="https://www.itnews.com.au/news/anthropic-signs-first-australia-data-centre-agreement-628972" TargetMode="External"/><Relationship Id="rId404" Type="http://schemas.openxmlformats.org/officeDocument/2006/relationships/hyperlink" Target="https://perthisok.com/news/new-hazelmere-data-centre-plans-cdc/" TargetMode="External"/><Relationship Id="rId250" Type="http://schemas.openxmlformats.org/officeDocument/2006/relationships/hyperlink" Target="https://firmus.co/bell-bay-industrial-precinct-ai-factory-project" TargetMode="External"/><Relationship Id="rId488" Type="http://schemas.openxmlformats.org/officeDocument/2006/relationships/hyperlink" Target="https://baxtel.com/data-center/airtrunk-kemps-creek-campus" TargetMode="External"/><Relationship Id="rId45" Type="http://schemas.openxmlformats.org/officeDocument/2006/relationships/hyperlink" Target="https://majorprojects.planningportal.nsw.gov.au/prweb/PRRestService/mp/01/getContent?AttachRef=PDA-79878476%2120250209T213959.321+GMT" TargetMode="External"/><Relationship Id="rId110" Type="http://schemas.openxmlformats.org/officeDocument/2006/relationships/hyperlink" Target="https://www.planning.vic.gov.au/planning-approvals/ministerial-permits-register" TargetMode="External"/><Relationship Id="rId348" Type="http://schemas.openxmlformats.org/officeDocument/2006/relationships/hyperlink" Target="https://www.datacenterdynamics.com/en/news/plans-filed-for-10-story-data-center-outside-brisbane-australia/" TargetMode="External"/><Relationship Id="rId555" Type="http://schemas.openxmlformats.org/officeDocument/2006/relationships/hyperlink" Target="https://www.datacentermap.com/australia/launceston/firmus-george-town-campus/" TargetMode="External"/><Relationship Id="rId194" Type="http://schemas.openxmlformats.org/officeDocument/2006/relationships/hyperlink" Target="https://sftpbspomppprod01.blob.core.windows.net/applicationfiles/76685df6-baaf-f011-bbd2-6045bdc32df2_REDACTED_PA2504019%20Officer%20Report%20-%20Signed%2016-01-26.pdf" TargetMode="External"/><Relationship Id="rId208" Type="http://schemas.openxmlformats.org/officeDocument/2006/relationships/hyperlink" Target="https://announcements.asx.com.au/asxpdf/20260326/pdf/06xtcw1cnqqc5p.pdf" TargetMode="External"/><Relationship Id="rId415" Type="http://schemas.openxmlformats.org/officeDocument/2006/relationships/hyperlink" Target="https://www.realestatesource.com.au/centuria-data-centre-expansion-hits-hurdle/" TargetMode="External"/><Relationship Id="rId261" Type="http://schemas.openxmlformats.org/officeDocument/2006/relationships/hyperlink" Target="https://www.hickory.com.au/project/mel01cd-2/" TargetMode="External"/><Relationship Id="rId499" Type="http://schemas.openxmlformats.org/officeDocument/2006/relationships/hyperlink" Target="https://baxtel.com/data-center/digico-adelaide-adl1" TargetMode="External"/><Relationship Id="rId56" Type="http://schemas.openxmlformats.org/officeDocument/2006/relationships/hyperlink" Target="https://majorprojects.planningportal.nsw.gov.au/prweb/PRRestService/mp/01/getContent?AttachRef=SSD-128819490%2120260714T063731.206+GMT" TargetMode="External"/><Relationship Id="rId359" Type="http://schemas.openxmlformats.org/officeDocument/2006/relationships/hyperlink" Target="https://datacentremoratorium.net/index.php/Resources:AirTrunk_Mickleham" TargetMode="External"/><Relationship Id="rId566" Type="http://schemas.openxmlformats.org/officeDocument/2006/relationships/hyperlink" Target="https://www.datacentermap.com/australia/melbourne/hyperdc-mbl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C6B77"/>
    <pageSetUpPr fitToPage="1"/>
  </sheetPr>
  <dimension ref="A1:B107"/>
  <sheetViews>
    <sheetView tabSelected="1" workbookViewId="0">
      <selection sqref="A1:B1"/>
    </sheetView>
  </sheetViews>
  <sheetFormatPr defaultRowHeight="13.8"/>
  <cols>
    <col min="1" max="1" width="24" customWidth="1"/>
    <col min="2" max="2" width="100" customWidth="1"/>
  </cols>
  <sheetData>
    <row r="1" spans="1:2" ht="27.15" customHeight="1">
      <c r="A1" s="73" t="s">
        <v>0</v>
      </c>
      <c r="B1" s="71"/>
    </row>
    <row r="2" spans="1:2" ht="18.45" customHeight="1">
      <c r="A2" s="72" t="s">
        <v>1</v>
      </c>
      <c r="B2" s="71"/>
    </row>
    <row r="4" spans="1:2" ht="22.05" customHeight="1">
      <c r="A4" s="70" t="s">
        <v>2</v>
      </c>
      <c r="B4" s="71"/>
    </row>
    <row r="5" spans="1:2" ht="47.55" customHeight="1">
      <c r="A5" s="1" t="s">
        <v>3</v>
      </c>
      <c r="B5" s="2" t="s">
        <v>4</v>
      </c>
    </row>
    <row r="6" spans="1:2" ht="47.55" customHeight="1">
      <c r="A6" s="1" t="s">
        <v>5</v>
      </c>
      <c r="B6" s="2" t="s">
        <v>6</v>
      </c>
    </row>
    <row r="7" spans="1:2" ht="18.45" customHeight="1">
      <c r="A7" s="1" t="s">
        <v>7</v>
      </c>
      <c r="B7" s="2" t="s">
        <v>8</v>
      </c>
    </row>
    <row r="8" spans="1:2" ht="33" customHeight="1">
      <c r="A8" s="1" t="s">
        <v>9</v>
      </c>
      <c r="B8" s="2" t="s">
        <v>10</v>
      </c>
    </row>
    <row r="10" spans="1:2" ht="22.05" customHeight="1">
      <c r="A10" s="70" t="s">
        <v>11</v>
      </c>
      <c r="B10" s="71"/>
    </row>
    <row r="11" spans="1:2" ht="33" customHeight="1">
      <c r="A11" s="3" t="s">
        <v>12</v>
      </c>
      <c r="B11" s="2" t="s">
        <v>13</v>
      </c>
    </row>
    <row r="12" spans="1:2" ht="18.45" customHeight="1">
      <c r="A12" s="3" t="s">
        <v>14</v>
      </c>
      <c r="B12" s="2" t="s">
        <v>15</v>
      </c>
    </row>
    <row r="13" spans="1:2" ht="33" customHeight="1">
      <c r="A13" s="3" t="s">
        <v>16</v>
      </c>
      <c r="B13" s="2" t="s">
        <v>17</v>
      </c>
    </row>
    <row r="14" spans="1:2" ht="18.45" customHeight="1">
      <c r="A14" s="3" t="s">
        <v>18</v>
      </c>
      <c r="B14" s="2" t="s">
        <v>19</v>
      </c>
    </row>
    <row r="15" spans="1:2" ht="18.45" customHeight="1">
      <c r="A15" s="3" t="s">
        <v>20</v>
      </c>
      <c r="B15" s="2" t="s">
        <v>21</v>
      </c>
    </row>
    <row r="16" spans="1:2" ht="18.45" customHeight="1">
      <c r="A16" s="3" t="s">
        <v>22</v>
      </c>
      <c r="B16" s="2" t="s">
        <v>23</v>
      </c>
    </row>
    <row r="17" spans="1:2" ht="18.45" customHeight="1">
      <c r="A17" s="3" t="s">
        <v>24</v>
      </c>
      <c r="B17" s="2" t="s">
        <v>25</v>
      </c>
    </row>
    <row r="18" spans="1:2" ht="18.45" customHeight="1">
      <c r="A18" s="3" t="s">
        <v>26</v>
      </c>
      <c r="B18" s="2" t="s">
        <v>27</v>
      </c>
    </row>
    <row r="20" spans="1:2" ht="22.05" customHeight="1">
      <c r="A20" s="70" t="s">
        <v>28</v>
      </c>
      <c r="B20" s="71"/>
    </row>
    <row r="21" spans="1:2" ht="18.45" customHeight="1">
      <c r="A21" s="4" t="s">
        <v>29</v>
      </c>
      <c r="B21" s="2" t="s">
        <v>30</v>
      </c>
    </row>
    <row r="22" spans="1:2" ht="18.45" customHeight="1">
      <c r="A22" s="5" t="s">
        <v>31</v>
      </c>
      <c r="B22" s="2" t="s">
        <v>32</v>
      </c>
    </row>
    <row r="23" spans="1:2" ht="18.45" customHeight="1">
      <c r="A23" s="6" t="s">
        <v>33</v>
      </c>
      <c r="B23" s="2" t="s">
        <v>34</v>
      </c>
    </row>
    <row r="24" spans="1:2" ht="33" customHeight="1">
      <c r="A24" s="7" t="s">
        <v>35</v>
      </c>
      <c r="B24" s="2" t="s">
        <v>36</v>
      </c>
    </row>
    <row r="25" spans="1:2" ht="33" customHeight="1">
      <c r="A25" s="8" t="s">
        <v>37</v>
      </c>
      <c r="B25" s="2" t="s">
        <v>38</v>
      </c>
    </row>
    <row r="27" spans="1:2" ht="22.05" customHeight="1">
      <c r="A27" s="70" t="s">
        <v>18</v>
      </c>
      <c r="B27" s="71"/>
    </row>
    <row r="28" spans="1:2" ht="18.45" customHeight="1">
      <c r="A28" s="1" t="s">
        <v>39</v>
      </c>
      <c r="B28" s="2" t="s">
        <v>40</v>
      </c>
    </row>
    <row r="29" spans="1:2" ht="18.45" customHeight="1">
      <c r="A29" s="1" t="s">
        <v>41</v>
      </c>
      <c r="B29" s="2" t="s">
        <v>42</v>
      </c>
    </row>
    <row r="30" spans="1:2" ht="18.45" customHeight="1">
      <c r="A30" s="1" t="s">
        <v>43</v>
      </c>
      <c r="B30" s="2" t="s">
        <v>44</v>
      </c>
    </row>
    <row r="31" spans="1:2" ht="18.45" customHeight="1">
      <c r="A31" s="1" t="s">
        <v>45</v>
      </c>
      <c r="B31" s="2" t="s">
        <v>46</v>
      </c>
    </row>
    <row r="32" spans="1:2" ht="18.45" customHeight="1">
      <c r="A32" s="1" t="s">
        <v>47</v>
      </c>
      <c r="B32" s="2" t="s">
        <v>48</v>
      </c>
    </row>
    <row r="33" spans="1:2" ht="47.55" customHeight="1">
      <c r="A33" s="1" t="s">
        <v>49</v>
      </c>
      <c r="B33" s="2" t="s">
        <v>50</v>
      </c>
    </row>
    <row r="35" spans="1:2" ht="22.05" customHeight="1">
      <c r="A35" s="70" t="s">
        <v>51</v>
      </c>
      <c r="B35" s="71"/>
    </row>
    <row r="36" spans="1:2" ht="18.45" customHeight="1">
      <c r="A36" s="1" t="s">
        <v>52</v>
      </c>
      <c r="B36" s="2" t="s">
        <v>53</v>
      </c>
    </row>
    <row r="37" spans="1:2" ht="18.45" customHeight="1">
      <c r="A37" s="1" t="s">
        <v>54</v>
      </c>
      <c r="B37" s="2" t="s">
        <v>55</v>
      </c>
    </row>
    <row r="38" spans="1:2" ht="18.45" customHeight="1">
      <c r="A38" s="1" t="s">
        <v>56</v>
      </c>
      <c r="B38" s="2" t="s">
        <v>57</v>
      </c>
    </row>
    <row r="40" spans="1:2" ht="22.05" customHeight="1">
      <c r="A40" s="70" t="s">
        <v>58</v>
      </c>
      <c r="B40" s="71"/>
    </row>
    <row r="41" spans="1:2" ht="33" customHeight="1">
      <c r="A41" s="1" t="s">
        <v>59</v>
      </c>
      <c r="B41" s="2" t="s">
        <v>60</v>
      </c>
    </row>
    <row r="42" spans="1:2" ht="47.55" customHeight="1">
      <c r="A42" s="9" t="s">
        <v>61</v>
      </c>
      <c r="B42" s="2" t="s">
        <v>62</v>
      </c>
    </row>
    <row r="44" spans="1:2" ht="22.05" customHeight="1">
      <c r="A44" s="70" t="s">
        <v>63</v>
      </c>
      <c r="B44" s="71"/>
    </row>
    <row r="45" spans="1:2" ht="18.45" customHeight="1">
      <c r="A45" s="10" t="s">
        <v>64</v>
      </c>
      <c r="B45" s="2" t="s">
        <v>65</v>
      </c>
    </row>
    <row r="46" spans="1:2" ht="18.45" customHeight="1">
      <c r="A46" s="11" t="s">
        <v>66</v>
      </c>
      <c r="B46" s="2" t="s">
        <v>67</v>
      </c>
    </row>
    <row r="47" spans="1:2" ht="18.45" customHeight="1">
      <c r="A47" s="12" t="s">
        <v>68</v>
      </c>
      <c r="B47" s="2" t="s">
        <v>69</v>
      </c>
    </row>
    <row r="49" spans="1:2" ht="22.05" customHeight="1">
      <c r="A49" s="70" t="s">
        <v>70</v>
      </c>
      <c r="B49" s="71"/>
    </row>
    <row r="50" spans="1:2" ht="18.45" customHeight="1">
      <c r="A50" s="1" t="s">
        <v>71</v>
      </c>
      <c r="B50" s="2" t="s">
        <v>72</v>
      </c>
    </row>
    <row r="51" spans="1:2" ht="18.45" customHeight="1">
      <c r="A51" s="1" t="s">
        <v>73</v>
      </c>
      <c r="B51" s="2" t="s">
        <v>74</v>
      </c>
    </row>
    <row r="52" spans="1:2" ht="18.45" customHeight="1">
      <c r="A52" s="1" t="s">
        <v>75</v>
      </c>
      <c r="B52" s="2" t="s">
        <v>76</v>
      </c>
    </row>
    <row r="53" spans="1:2" ht="18.45" customHeight="1">
      <c r="A53" s="1" t="s">
        <v>77</v>
      </c>
      <c r="B53" s="2" t="s">
        <v>78</v>
      </c>
    </row>
    <row r="54" spans="1:2" ht="18.45" customHeight="1">
      <c r="A54" s="1" t="s">
        <v>79</v>
      </c>
      <c r="B54" s="2" t="s">
        <v>80</v>
      </c>
    </row>
    <row r="55" spans="1:2" ht="18.45" customHeight="1">
      <c r="A55" s="1" t="s">
        <v>81</v>
      </c>
      <c r="B55" s="2" t="s">
        <v>82</v>
      </c>
    </row>
    <row r="56" spans="1:2" ht="47.55" customHeight="1">
      <c r="A56" s="13" t="s">
        <v>83</v>
      </c>
      <c r="B56" s="2" t="s">
        <v>84</v>
      </c>
    </row>
    <row r="58" spans="1:2" ht="22.05" customHeight="1">
      <c r="A58" s="70" t="s">
        <v>85</v>
      </c>
      <c r="B58" s="71"/>
    </row>
    <row r="59" spans="1:2" ht="18.45" customHeight="1">
      <c r="A59" s="1" t="s">
        <v>86</v>
      </c>
      <c r="B59" s="2" t="s">
        <v>87</v>
      </c>
    </row>
    <row r="60" spans="1:2" ht="18.45" customHeight="1">
      <c r="A60" s="1" t="s">
        <v>88</v>
      </c>
      <c r="B60" s="2" t="s">
        <v>89</v>
      </c>
    </row>
    <row r="61" spans="1:2" ht="18.45" customHeight="1">
      <c r="A61" s="1" t="s">
        <v>90</v>
      </c>
      <c r="B61" s="2" t="s">
        <v>91</v>
      </c>
    </row>
    <row r="62" spans="1:2" ht="18.45" customHeight="1">
      <c r="A62" s="1" t="s">
        <v>92</v>
      </c>
      <c r="B62" s="2" t="s">
        <v>93</v>
      </c>
    </row>
    <row r="63" spans="1:2" ht="18.45" customHeight="1">
      <c r="A63" s="1" t="s">
        <v>94</v>
      </c>
      <c r="B63" s="2" t="s">
        <v>95</v>
      </c>
    </row>
    <row r="65" spans="1:2" ht="22.05" customHeight="1">
      <c r="A65" s="70" t="s">
        <v>96</v>
      </c>
      <c r="B65" s="71"/>
    </row>
    <row r="66" spans="1:2" ht="18.45" customHeight="1">
      <c r="A66" s="14" t="s">
        <v>97</v>
      </c>
      <c r="B66" s="2" t="s">
        <v>98</v>
      </c>
    </row>
    <row r="67" spans="1:2" ht="18.45" customHeight="1">
      <c r="A67" s="15" t="s">
        <v>99</v>
      </c>
      <c r="B67" s="2" t="s">
        <v>100</v>
      </c>
    </row>
    <row r="68" spans="1:2" ht="33" customHeight="1">
      <c r="A68" s="1" t="s">
        <v>101</v>
      </c>
      <c r="B68" s="2" t="s">
        <v>102</v>
      </c>
    </row>
    <row r="69" spans="1:2" ht="18.45" customHeight="1">
      <c r="A69" s="1" t="s">
        <v>103</v>
      </c>
      <c r="B69" s="2" t="s">
        <v>104</v>
      </c>
    </row>
    <row r="70" spans="1:2" ht="18.45" customHeight="1">
      <c r="A70" s="9" t="s">
        <v>105</v>
      </c>
      <c r="B70" s="2" t="s">
        <v>106</v>
      </c>
    </row>
    <row r="71" spans="1:2" ht="18.45" customHeight="1">
      <c r="A71" s="16" t="s">
        <v>107</v>
      </c>
      <c r="B71" s="2" t="s">
        <v>108</v>
      </c>
    </row>
    <row r="72" spans="1:2" ht="18.45" customHeight="1">
      <c r="A72" s="13" t="s">
        <v>109</v>
      </c>
      <c r="B72" s="2" t="s">
        <v>110</v>
      </c>
    </row>
    <row r="73" spans="1:2" ht="33" customHeight="1">
      <c r="A73" s="1" t="s">
        <v>111</v>
      </c>
      <c r="B73" s="2" t="s">
        <v>112</v>
      </c>
    </row>
    <row r="75" spans="1:2" ht="22.05" customHeight="1">
      <c r="A75" s="70" t="s">
        <v>113</v>
      </c>
      <c r="B75" s="71"/>
    </row>
    <row r="76" spans="1:2" ht="18.45" customHeight="1">
      <c r="A76" s="1" t="s">
        <v>114</v>
      </c>
      <c r="B76" s="2" t="s">
        <v>115</v>
      </c>
    </row>
    <row r="77" spans="1:2" ht="18.45" customHeight="1">
      <c r="A77" s="1" t="s">
        <v>116</v>
      </c>
      <c r="B77" s="2" t="s">
        <v>117</v>
      </c>
    </row>
    <row r="78" spans="1:2" ht="18.45" customHeight="1">
      <c r="A78" s="1" t="s">
        <v>118</v>
      </c>
      <c r="B78" s="2" t="s">
        <v>119</v>
      </c>
    </row>
    <row r="79" spans="1:2" ht="18.45" customHeight="1">
      <c r="A79" s="1" t="s">
        <v>120</v>
      </c>
      <c r="B79" s="2" t="s">
        <v>121</v>
      </c>
    </row>
    <row r="80" spans="1:2" ht="33" customHeight="1">
      <c r="A80" s="1" t="s">
        <v>122</v>
      </c>
      <c r="B80" s="2" t="s">
        <v>123</v>
      </c>
    </row>
    <row r="81" spans="1:2" ht="18.45" customHeight="1">
      <c r="A81" s="1" t="s">
        <v>124</v>
      </c>
      <c r="B81" s="2" t="s">
        <v>125</v>
      </c>
    </row>
    <row r="82" spans="1:2" ht="18.45" customHeight="1">
      <c r="A82" s="1" t="s">
        <v>126</v>
      </c>
      <c r="B82" s="2" t="s">
        <v>127</v>
      </c>
    </row>
    <row r="83" spans="1:2" ht="18.45" customHeight="1">
      <c r="A83" s="1" t="s">
        <v>128</v>
      </c>
      <c r="B83" s="2" t="s">
        <v>129</v>
      </c>
    </row>
    <row r="84" spans="1:2" ht="33" customHeight="1">
      <c r="A84" s="1" t="s">
        <v>130</v>
      </c>
      <c r="B84" s="2" t="s">
        <v>131</v>
      </c>
    </row>
    <row r="86" spans="1:2" ht="22.05" customHeight="1">
      <c r="A86" s="70" t="s">
        <v>132</v>
      </c>
      <c r="B86" s="71"/>
    </row>
    <row r="87" spans="1:2" ht="47.55" customHeight="1">
      <c r="A87" s="1" t="s">
        <v>133</v>
      </c>
      <c r="B87" s="2" t="s">
        <v>134</v>
      </c>
    </row>
    <row r="88" spans="1:2" ht="18.45" customHeight="1">
      <c r="A88" s="1" t="s">
        <v>135</v>
      </c>
      <c r="B88" s="2" t="s">
        <v>136</v>
      </c>
    </row>
    <row r="89" spans="1:2" ht="18.45" customHeight="1">
      <c r="A89" s="1" t="s">
        <v>137</v>
      </c>
      <c r="B89" s="2" t="s">
        <v>138</v>
      </c>
    </row>
    <row r="90" spans="1:2" ht="33" customHeight="1">
      <c r="A90" s="1" t="s">
        <v>139</v>
      </c>
      <c r="B90" s="2" t="s">
        <v>140</v>
      </c>
    </row>
    <row r="91" spans="1:2" ht="18.45" customHeight="1">
      <c r="A91" s="1" t="s">
        <v>141</v>
      </c>
      <c r="B91" s="2" t="s">
        <v>142</v>
      </c>
    </row>
    <row r="93" spans="1:2" ht="22.05" customHeight="1">
      <c r="A93" s="70" t="s">
        <v>143</v>
      </c>
      <c r="B93" s="71"/>
    </row>
    <row r="94" spans="1:2" ht="47.55" customHeight="1">
      <c r="A94" s="1" t="s">
        <v>114</v>
      </c>
      <c r="B94" s="2" t="s">
        <v>144</v>
      </c>
    </row>
    <row r="95" spans="1:2" ht="33" customHeight="1">
      <c r="A95" s="1" t="s">
        <v>116</v>
      </c>
      <c r="B95" s="2" t="s">
        <v>145</v>
      </c>
    </row>
    <row r="96" spans="1:2" ht="33" customHeight="1">
      <c r="A96" s="1" t="s">
        <v>118</v>
      </c>
      <c r="B96" s="2" t="s">
        <v>146</v>
      </c>
    </row>
    <row r="97" spans="1:2" ht="47.55" customHeight="1">
      <c r="A97" s="1" t="s">
        <v>120</v>
      </c>
      <c r="B97" s="2" t="s">
        <v>147</v>
      </c>
    </row>
    <row r="98" spans="1:2" ht="47.55" customHeight="1">
      <c r="A98" s="1" t="s">
        <v>122</v>
      </c>
      <c r="B98" s="2" t="s">
        <v>148</v>
      </c>
    </row>
    <row r="99" spans="1:2" ht="33" customHeight="1">
      <c r="A99" s="1" t="s">
        <v>124</v>
      </c>
      <c r="B99" s="2" t="s">
        <v>149</v>
      </c>
    </row>
    <row r="101" spans="1:2" ht="22.05" customHeight="1">
      <c r="A101" s="70" t="s">
        <v>150</v>
      </c>
      <c r="B101" s="71"/>
    </row>
    <row r="102" spans="1:2" ht="47.55" customHeight="1">
      <c r="A102" s="1" t="s">
        <v>114</v>
      </c>
      <c r="B102" s="2" t="s">
        <v>151</v>
      </c>
    </row>
    <row r="103" spans="1:2" ht="33" customHeight="1">
      <c r="A103" s="1" t="s">
        <v>116</v>
      </c>
      <c r="B103" s="2" t="s">
        <v>152</v>
      </c>
    </row>
    <row r="104" spans="1:2" ht="33" customHeight="1">
      <c r="A104" s="1" t="s">
        <v>118</v>
      </c>
      <c r="B104" s="2" t="s">
        <v>153</v>
      </c>
    </row>
    <row r="105" spans="1:2" ht="33" customHeight="1">
      <c r="A105" s="1" t="s">
        <v>120</v>
      </c>
      <c r="B105" s="2" t="s">
        <v>154</v>
      </c>
    </row>
    <row r="106" spans="1:2" ht="33" customHeight="1">
      <c r="A106" s="1" t="s">
        <v>122</v>
      </c>
      <c r="B106" s="2" t="s">
        <v>155</v>
      </c>
    </row>
    <row r="107" spans="1:2" ht="18.45" customHeight="1">
      <c r="A107" s="1" t="s">
        <v>124</v>
      </c>
      <c r="B107" s="2" t="s">
        <v>156</v>
      </c>
    </row>
  </sheetData>
  <mergeCells count="16">
    <mergeCell ref="A1:B1"/>
    <mergeCell ref="A40:B40"/>
    <mergeCell ref="A27:B27"/>
    <mergeCell ref="A58:B58"/>
    <mergeCell ref="A35:B35"/>
    <mergeCell ref="A4:B4"/>
    <mergeCell ref="A20:B20"/>
    <mergeCell ref="A101:B101"/>
    <mergeCell ref="A2:B2"/>
    <mergeCell ref="A86:B86"/>
    <mergeCell ref="A65:B65"/>
    <mergeCell ref="A49:B49"/>
    <mergeCell ref="A10:B10"/>
    <mergeCell ref="A75:B75"/>
    <mergeCell ref="A93:B93"/>
    <mergeCell ref="A44:B44"/>
  </mergeCells>
  <phoneticPr fontId="25" type="noConversion"/>
  <hyperlinks>
    <hyperlink ref="A11" location="'總覽'!A1" display="總覽" xr:uid="{00000000-0004-0000-0000-000000000000}"/>
    <hyperlink ref="A12" location="'專案清單'!A1" display="專案清單" xr:uid="{00000000-0004-0000-0000-000001000000}"/>
    <hyperlink ref="A13" location="'NSW 新南威爾斯'!A1" display="各州工作表" xr:uid="{00000000-0004-0000-0000-000002000000}"/>
    <hyperlink ref="A14" location="'完工時間窗'!A1" display="完工時間窗" xr:uid="{00000000-0004-0000-0000-000003000000}"/>
    <hyperlink ref="A15" location="'差異與待確認'!A1" display="差異與待確認" xr:uid="{00000000-0004-0000-0000-000004000000}"/>
    <hyperlink ref="A16" location="'排除清單'!A1" display="排除清單" xr:uid="{00000000-0004-0000-0000-000005000000}"/>
    <hyperlink ref="A17" location="'來源'!A1" display="來源" xr:uid="{00000000-0004-0000-0000-000006000000}"/>
    <hyperlink ref="A18" location="'搜尋紀錄'!A1" display="搜尋紀錄" xr:uid="{00000000-0004-0000-0000-000007000000}"/>
  </hyperlinks>
  <printOptions horizontalCentered="1"/>
  <pageMargins left="0.4" right="0.4" top="0.5" bottom="0.6" header="0.5" footer="0.5"/>
  <pageSetup paperSize="9" fitToHeight="0" orientation="portrait" r:id="rId1"/>
  <headerFooter>
    <oddFooter>&amp;C第 &amp;P 頁，共 &amp;N 頁</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E5B7B"/>
    <pageSetUpPr fitToPage="1"/>
  </sheetPr>
  <dimension ref="A1:H79"/>
  <sheetViews>
    <sheetView workbookViewId="0"/>
  </sheetViews>
  <sheetFormatPr defaultRowHeight="13.8"/>
  <cols>
    <col min="1" max="1" width="9" customWidth="1"/>
    <col min="2" max="8" width="16" customWidth="1"/>
  </cols>
  <sheetData>
    <row r="1" spans="1:8" ht="27.15" customHeight="1">
      <c r="A1" s="73" t="s">
        <v>157</v>
      </c>
      <c r="B1" s="71"/>
      <c r="C1" s="71"/>
      <c r="D1" s="71"/>
      <c r="E1" s="71"/>
      <c r="F1" s="71"/>
      <c r="G1" s="71"/>
      <c r="H1" s="71"/>
    </row>
    <row r="2" spans="1:8" ht="18.45" customHeight="1">
      <c r="A2" s="72" t="s">
        <v>158</v>
      </c>
      <c r="B2" s="71"/>
      <c r="C2" s="71"/>
      <c r="D2" s="71"/>
      <c r="E2" s="71"/>
      <c r="F2" s="71"/>
      <c r="G2" s="71"/>
      <c r="H2" s="71"/>
    </row>
    <row r="4" spans="1:8" ht="38.85" customHeight="1">
      <c r="A4" s="76" t="s">
        <v>159</v>
      </c>
      <c r="B4" s="71"/>
      <c r="C4" s="71"/>
      <c r="D4" s="71"/>
      <c r="E4" s="71"/>
      <c r="F4" s="71"/>
      <c r="G4" s="71"/>
      <c r="H4" s="71"/>
    </row>
    <row r="5" spans="1:8" ht="76.5" customHeight="1">
      <c r="A5" s="74" t="s">
        <v>160</v>
      </c>
      <c r="B5" s="71"/>
      <c r="C5" s="71"/>
      <c r="D5" s="71"/>
      <c r="E5" s="71"/>
      <c r="F5" s="71"/>
      <c r="G5" s="71"/>
      <c r="H5" s="71"/>
    </row>
    <row r="6" spans="1:8" ht="76.5" customHeight="1">
      <c r="A6" s="74" t="s">
        <v>161</v>
      </c>
      <c r="B6" s="71"/>
      <c r="C6" s="71"/>
      <c r="D6" s="71"/>
      <c r="E6" s="71"/>
      <c r="F6" s="71"/>
      <c r="G6" s="71"/>
      <c r="H6" s="71"/>
    </row>
    <row r="7" spans="1:8" ht="47.55" customHeight="1">
      <c r="A7" s="74" t="s">
        <v>162</v>
      </c>
      <c r="B7" s="71"/>
      <c r="C7" s="71"/>
      <c r="D7" s="71"/>
      <c r="E7" s="71"/>
      <c r="F7" s="71"/>
      <c r="G7" s="71"/>
      <c r="H7" s="71"/>
    </row>
    <row r="8" spans="1:8" ht="47.55" customHeight="1">
      <c r="A8" s="74" t="s">
        <v>163</v>
      </c>
      <c r="B8" s="71"/>
      <c r="C8" s="71"/>
      <c r="D8" s="71"/>
      <c r="E8" s="71"/>
      <c r="F8" s="71"/>
      <c r="G8" s="71"/>
      <c r="H8" s="71"/>
    </row>
    <row r="10" spans="1:8" ht="22.05" customHeight="1">
      <c r="A10" s="70" t="s">
        <v>164</v>
      </c>
      <c r="B10" s="71"/>
      <c r="C10" s="71"/>
      <c r="D10" s="71"/>
      <c r="E10" s="71"/>
      <c r="F10" s="71"/>
      <c r="G10" s="71"/>
      <c r="H10" s="71"/>
    </row>
    <row r="11" spans="1:8" ht="30" customHeight="1">
      <c r="B11" s="17" t="s">
        <v>165</v>
      </c>
      <c r="C11" s="17" t="s">
        <v>166</v>
      </c>
      <c r="D11" s="17" t="s">
        <v>167</v>
      </c>
      <c r="E11" s="17" t="s">
        <v>168</v>
      </c>
      <c r="F11" s="17" t="s">
        <v>169</v>
      </c>
      <c r="G11" s="17" t="s">
        <v>170</v>
      </c>
      <c r="H11" s="17" t="s">
        <v>171</v>
      </c>
    </row>
    <row r="12" spans="1:8" ht="31.95" customHeight="1">
      <c r="B12" s="18">
        <f>COUNTIFS(專案清單!$R$2:$R$80,"主清單")</f>
        <v>60</v>
      </c>
      <c r="C12" s="19">
        <f>SUMIFS(專案清單!$M$2:$M$80,專案清單!$R$2:$R$80,"主清單")</f>
        <v>14195.6</v>
      </c>
      <c r="D12" s="18">
        <f>COUNTIFS(專案清單!$M$2:$M$80,"未公布",專案清單!$R$2:$R$80,"主清單")</f>
        <v>4</v>
      </c>
      <c r="E12" s="18">
        <f>COUNTIFS(專案清單!$AD$2:$AD$80,"高",專案清單!$R$2:$R$80,"主清單")</f>
        <v>46</v>
      </c>
      <c r="F12" s="18">
        <f>COUNTIFS(專案清單!$Q$2:$Q$80,"施工中",專案清單!$R$2:$R$80,"主清單")</f>
        <v>15</v>
      </c>
      <c r="G12" s="18">
        <f>COUNTIFS(專案清單!$X$2:$X$80,"已可用／營運中",專案清單!$R$2:$R$80,"主清單")+COUNTIFS(專案清單!$X$2:$X$80,"2026 Q4 – 2027 Q2",專案清單!$R$2:$R$80,"主清單")</f>
        <v>8</v>
      </c>
      <c r="H12" s="18">
        <f>COUNTIFS(專案清單!$R$2:$R$80,"觀察名單 (出租性待確認)")</f>
        <v>19</v>
      </c>
    </row>
    <row r="13" spans="1:8" ht="18.45" customHeight="1">
      <c r="B13" s="77" t="str">
        <f>"另有排除項目 "&amp;COUNTA(排除清單!$A$5:$A$194)&amp;" 件（僅供稽核，見「排除清單」）"</f>
        <v>另有排除項目 190 件（僅供稽核，見「排除清單」）</v>
      </c>
      <c r="C13" s="71"/>
      <c r="D13" s="71"/>
      <c r="E13" s="71"/>
      <c r="F13" s="71"/>
      <c r="G13" s="71"/>
      <c r="H13" s="71"/>
    </row>
    <row r="15" spans="1:8" ht="22.05" customHeight="1">
      <c r="A15" s="70" t="s">
        <v>172</v>
      </c>
      <c r="B15" s="71"/>
      <c r="C15" s="71"/>
      <c r="D15" s="71"/>
      <c r="E15" s="71"/>
      <c r="F15" s="71"/>
      <c r="G15" s="71"/>
      <c r="H15" s="71"/>
    </row>
    <row r="16" spans="1:8" ht="31.95" customHeight="1">
      <c r="A16" s="20" t="s">
        <v>173</v>
      </c>
      <c r="B16" s="20" t="s">
        <v>174</v>
      </c>
      <c r="C16" s="20" t="s">
        <v>29</v>
      </c>
      <c r="D16" s="20" t="s">
        <v>31</v>
      </c>
      <c r="E16" s="20" t="s">
        <v>33</v>
      </c>
      <c r="F16" s="20" t="s">
        <v>35</v>
      </c>
      <c r="G16" s="20" t="s">
        <v>37</v>
      </c>
      <c r="H16" s="20" t="s">
        <v>175</v>
      </c>
    </row>
    <row r="17" spans="1:8">
      <c r="A17" s="21" t="s">
        <v>176</v>
      </c>
      <c r="B17" s="22" t="s">
        <v>177</v>
      </c>
      <c r="C17" s="23">
        <f>COUNTIFS(專案清單!$B$2:$B$80,$B17,專案清單!$Q$2:$Q$80,C$16,專案清單!$R$2:$R$80,"主清單")</f>
        <v>6</v>
      </c>
      <c r="D17" s="23">
        <f>COUNTIFS(專案清單!$B$2:$B$80,$B17,專案清單!$Q$2:$Q$80,D$16,專案清單!$R$2:$R$80,"主清單")</f>
        <v>10</v>
      </c>
      <c r="E17" s="23">
        <f>COUNTIFS(專案清單!$B$2:$B$80,$B17,專案清單!$Q$2:$Q$80,E$16,專案清單!$R$2:$R$80,"主清單")</f>
        <v>1</v>
      </c>
      <c r="F17" s="23">
        <f>COUNTIFS(專案清單!$B$2:$B$80,$B17,專案清單!$Q$2:$Q$80,F$16,專案清單!$R$2:$R$80,"主清單")</f>
        <v>2</v>
      </c>
      <c r="G17" s="23">
        <f>COUNTIFS(專案清單!$B$2:$B$80,$B17,專案清單!$Q$2:$Q$80,G$16,專案清單!$R$2:$R$80,"主清單")</f>
        <v>14</v>
      </c>
      <c r="H17" s="24">
        <f t="shared" ref="H17:H24" si="0">SUM(C17:G17)</f>
        <v>33</v>
      </c>
    </row>
    <row r="18" spans="1:8">
      <c r="A18" s="21" t="s">
        <v>178</v>
      </c>
      <c r="B18" s="22" t="s">
        <v>179</v>
      </c>
      <c r="C18" s="23">
        <f>COUNTIFS(專案清單!$B$2:$B$80,$B18,專案清單!$Q$2:$Q$80,C$16,專案清單!$R$2:$R$80,"主清單")</f>
        <v>7</v>
      </c>
      <c r="D18" s="23">
        <f>COUNTIFS(專案清單!$B$2:$B$80,$B18,專案清單!$Q$2:$Q$80,D$16,專案清單!$R$2:$R$80,"主清單")</f>
        <v>4</v>
      </c>
      <c r="E18" s="23">
        <f>COUNTIFS(專案清單!$B$2:$B$80,$B18,專案清單!$Q$2:$Q$80,E$16,專案清單!$R$2:$R$80,"主清單")</f>
        <v>0</v>
      </c>
      <c r="F18" s="23">
        <f>COUNTIFS(專案清單!$B$2:$B$80,$B18,專案清單!$Q$2:$Q$80,F$16,專案清單!$R$2:$R$80,"主清單")</f>
        <v>0</v>
      </c>
      <c r="G18" s="23">
        <f>COUNTIFS(專案清單!$B$2:$B$80,$B18,專案清單!$Q$2:$Q$80,G$16,專案清單!$R$2:$R$80,"主清單")</f>
        <v>10</v>
      </c>
      <c r="H18" s="24">
        <f t="shared" si="0"/>
        <v>21</v>
      </c>
    </row>
    <row r="19" spans="1:8">
      <c r="A19" s="21" t="s">
        <v>180</v>
      </c>
      <c r="B19" s="22" t="s">
        <v>181</v>
      </c>
      <c r="C19" s="23">
        <f>COUNTIFS(專案清單!$B$2:$B$80,$B19,專案清單!$Q$2:$Q$80,C$16,專案清單!$R$2:$R$80,"主清單")</f>
        <v>0</v>
      </c>
      <c r="D19" s="23">
        <f>COUNTIFS(專案清單!$B$2:$B$80,$B19,專案清單!$Q$2:$Q$80,D$16,專案清單!$R$2:$R$80,"主清單")</f>
        <v>1</v>
      </c>
      <c r="E19" s="23">
        <f>COUNTIFS(專案清單!$B$2:$B$80,$B19,專案清單!$Q$2:$Q$80,E$16,專案清單!$R$2:$R$80,"主清單")</f>
        <v>0</v>
      </c>
      <c r="F19" s="23">
        <f>COUNTIFS(專案清單!$B$2:$B$80,$B19,專案清單!$Q$2:$Q$80,F$16,專案清單!$R$2:$R$80,"主清單")</f>
        <v>0</v>
      </c>
      <c r="G19" s="23">
        <f>COUNTIFS(專案清單!$B$2:$B$80,$B19,專案清單!$Q$2:$Q$80,G$16,專案清單!$R$2:$R$80,"主清單")</f>
        <v>1</v>
      </c>
      <c r="H19" s="24">
        <f t="shared" si="0"/>
        <v>2</v>
      </c>
    </row>
    <row r="20" spans="1:8">
      <c r="A20" s="21" t="s">
        <v>182</v>
      </c>
      <c r="B20" s="22" t="s">
        <v>183</v>
      </c>
      <c r="C20" s="23">
        <f>COUNTIFS(專案清單!$B$2:$B$80,$B20,專案清單!$Q$2:$Q$80,C$16,專案清單!$R$2:$R$80,"主清單")</f>
        <v>1</v>
      </c>
      <c r="D20" s="23">
        <f>COUNTIFS(專案清單!$B$2:$B$80,$B20,專案清單!$Q$2:$Q$80,D$16,專案清單!$R$2:$R$80,"主清單")</f>
        <v>0</v>
      </c>
      <c r="E20" s="23">
        <f>COUNTIFS(專案清單!$B$2:$B$80,$B20,專案清單!$Q$2:$Q$80,E$16,專案清單!$R$2:$R$80,"主清單")</f>
        <v>0</v>
      </c>
      <c r="F20" s="23">
        <f>COUNTIFS(專案清單!$B$2:$B$80,$B20,專案清單!$Q$2:$Q$80,F$16,專案清單!$R$2:$R$80,"主清單")</f>
        <v>0</v>
      </c>
      <c r="G20" s="23">
        <f>COUNTIFS(專案清單!$B$2:$B$80,$B20,專案清單!$Q$2:$Q$80,G$16,專案清單!$R$2:$R$80,"主清單")</f>
        <v>1</v>
      </c>
      <c r="H20" s="24">
        <f t="shared" si="0"/>
        <v>2</v>
      </c>
    </row>
    <row r="21" spans="1:8">
      <c r="A21" s="21" t="s">
        <v>184</v>
      </c>
      <c r="B21" s="22" t="s">
        <v>185</v>
      </c>
      <c r="C21" s="23">
        <f>COUNTIFS(專案清單!$B$2:$B$80,$B21,專案清單!$Q$2:$Q$80,C$16,專案清單!$R$2:$R$80,"主清單")</f>
        <v>0</v>
      </c>
      <c r="D21" s="23">
        <f>COUNTIFS(專案清單!$B$2:$B$80,$B21,專案清單!$Q$2:$Q$80,D$16,專案清單!$R$2:$R$80,"主清單")</f>
        <v>0</v>
      </c>
      <c r="E21" s="23">
        <f>COUNTIFS(專案清單!$B$2:$B$80,$B21,專案清單!$Q$2:$Q$80,E$16,專案清單!$R$2:$R$80,"主清單")</f>
        <v>0</v>
      </c>
      <c r="F21" s="23">
        <f>COUNTIFS(專案清單!$B$2:$B$80,$B21,專案清單!$Q$2:$Q$80,F$16,專案清單!$R$2:$R$80,"主清單")</f>
        <v>0</v>
      </c>
      <c r="G21" s="23">
        <f>COUNTIFS(專案清單!$B$2:$B$80,$B21,專案清單!$Q$2:$Q$80,G$16,專案清單!$R$2:$R$80,"主清單")</f>
        <v>0</v>
      </c>
      <c r="H21" s="24">
        <f t="shared" si="0"/>
        <v>0</v>
      </c>
    </row>
    <row r="22" spans="1:8">
      <c r="A22" s="21" t="s">
        <v>186</v>
      </c>
      <c r="B22" s="22" t="s">
        <v>187</v>
      </c>
      <c r="C22" s="23">
        <f>COUNTIFS(專案清單!$B$2:$B$80,$B22,專案清單!$Q$2:$Q$80,C$16,專案清單!$R$2:$R$80,"主清單")</f>
        <v>1</v>
      </c>
      <c r="D22" s="23">
        <f>COUNTIFS(專案清單!$B$2:$B$80,$B22,專案清單!$Q$2:$Q$80,D$16,專案清單!$R$2:$R$80,"主清單")</f>
        <v>1</v>
      </c>
      <c r="E22" s="23">
        <f>COUNTIFS(專案清單!$B$2:$B$80,$B22,專案清單!$Q$2:$Q$80,E$16,專案清單!$R$2:$R$80,"主清單")</f>
        <v>0</v>
      </c>
      <c r="F22" s="23">
        <f>COUNTIFS(專案清單!$B$2:$B$80,$B22,專案清單!$Q$2:$Q$80,F$16,專案清單!$R$2:$R$80,"主清單")</f>
        <v>0</v>
      </c>
      <c r="G22" s="23">
        <f>COUNTIFS(專案清單!$B$2:$B$80,$B22,專案清單!$Q$2:$Q$80,G$16,專案清單!$R$2:$R$80,"主清單")</f>
        <v>0</v>
      </c>
      <c r="H22" s="24">
        <f t="shared" si="0"/>
        <v>2</v>
      </c>
    </row>
    <row r="23" spans="1:8">
      <c r="A23" s="21" t="s">
        <v>188</v>
      </c>
      <c r="B23" s="22" t="s">
        <v>189</v>
      </c>
      <c r="C23" s="23">
        <f>COUNTIFS(專案清單!$B$2:$B$80,$B23,專案清單!$Q$2:$Q$80,C$16,專案清單!$R$2:$R$80,"主清單")</f>
        <v>0</v>
      </c>
      <c r="D23" s="23">
        <f>COUNTIFS(專案清單!$B$2:$B$80,$B23,專案清單!$Q$2:$Q$80,D$16,專案清單!$R$2:$R$80,"主清單")</f>
        <v>0</v>
      </c>
      <c r="E23" s="23">
        <f>COUNTIFS(專案清單!$B$2:$B$80,$B23,專案清單!$Q$2:$Q$80,E$16,專案清單!$R$2:$R$80,"主清單")</f>
        <v>0</v>
      </c>
      <c r="F23" s="23">
        <f>COUNTIFS(專案清單!$B$2:$B$80,$B23,專案清單!$Q$2:$Q$80,F$16,專案清單!$R$2:$R$80,"主清單")</f>
        <v>0</v>
      </c>
      <c r="G23" s="23">
        <f>COUNTIFS(專案清單!$B$2:$B$80,$B23,專案清單!$Q$2:$Q$80,G$16,專案清單!$R$2:$R$80,"主清單")</f>
        <v>0</v>
      </c>
      <c r="H23" s="24">
        <f t="shared" si="0"/>
        <v>0</v>
      </c>
    </row>
    <row r="24" spans="1:8">
      <c r="A24" s="21" t="s">
        <v>190</v>
      </c>
      <c r="B24" s="22" t="s">
        <v>191</v>
      </c>
      <c r="C24" s="23">
        <f>COUNTIFS(專案清單!$B$2:$B$80,$B24,專案清單!$Q$2:$Q$80,C$16,專案清單!$R$2:$R$80,"主清單")</f>
        <v>0</v>
      </c>
      <c r="D24" s="23">
        <f>COUNTIFS(專案清單!$B$2:$B$80,$B24,專案清單!$Q$2:$Q$80,D$16,專案清單!$R$2:$R$80,"主清單")</f>
        <v>0</v>
      </c>
      <c r="E24" s="23">
        <f>COUNTIFS(專案清單!$B$2:$B$80,$B24,專案清單!$Q$2:$Q$80,E$16,專案清單!$R$2:$R$80,"主清單")</f>
        <v>0</v>
      </c>
      <c r="F24" s="23">
        <f>COUNTIFS(專案清單!$B$2:$B$80,$B24,專案清單!$Q$2:$Q$80,F$16,專案清單!$R$2:$R$80,"主清單")</f>
        <v>0</v>
      </c>
      <c r="G24" s="23">
        <f>COUNTIFS(專案清單!$B$2:$B$80,$B24,專案清單!$Q$2:$Q$80,G$16,專案清單!$R$2:$R$80,"主清單")</f>
        <v>0</v>
      </c>
      <c r="H24" s="24">
        <f t="shared" si="0"/>
        <v>0</v>
      </c>
    </row>
    <row r="25" spans="1:8">
      <c r="A25" s="25" t="s">
        <v>175</v>
      </c>
      <c r="B25" s="26"/>
      <c r="C25" s="27">
        <f t="shared" ref="C25:H25" si="1">SUM(C17:C24)</f>
        <v>15</v>
      </c>
      <c r="D25" s="27">
        <f t="shared" si="1"/>
        <v>16</v>
      </c>
      <c r="E25" s="27">
        <f t="shared" si="1"/>
        <v>1</v>
      </c>
      <c r="F25" s="27">
        <f t="shared" si="1"/>
        <v>2</v>
      </c>
      <c r="G25" s="27">
        <f t="shared" si="1"/>
        <v>26</v>
      </c>
      <c r="H25" s="27">
        <f t="shared" si="1"/>
        <v>60</v>
      </c>
    </row>
    <row r="27" spans="1:8" ht="22.05" customHeight="1">
      <c r="A27" s="70" t="s">
        <v>192</v>
      </c>
      <c r="B27" s="71"/>
      <c r="C27" s="71"/>
      <c r="D27" s="71"/>
      <c r="E27" s="71"/>
      <c r="F27" s="71"/>
      <c r="G27" s="71"/>
      <c r="H27" s="71"/>
    </row>
    <row r="28" spans="1:8" ht="31.95" customHeight="1">
      <c r="A28" s="20" t="s">
        <v>173</v>
      </c>
      <c r="B28" s="20" t="s">
        <v>174</v>
      </c>
      <c r="C28" s="20" t="s">
        <v>39</v>
      </c>
      <c r="D28" s="20" t="s">
        <v>41</v>
      </c>
      <c r="E28" s="20" t="s">
        <v>43</v>
      </c>
      <c r="F28" s="20" t="s">
        <v>45</v>
      </c>
      <c r="G28" s="20" t="s">
        <v>47</v>
      </c>
      <c r="H28" s="20" t="s">
        <v>175</v>
      </c>
    </row>
    <row r="29" spans="1:8">
      <c r="A29" s="21" t="s">
        <v>176</v>
      </c>
      <c r="B29" s="22" t="s">
        <v>177</v>
      </c>
      <c r="C29" s="23">
        <f>COUNTIFS(專案清單!$B$2:$B$80,$B29,專案清單!$X$2:$X$80,C$28,專案清單!$R$2:$R$80,"主清單")</f>
        <v>3</v>
      </c>
      <c r="D29" s="23">
        <f>COUNTIFS(專案清單!$B$2:$B$80,$B29,專案清單!$X$2:$X$80,D$28,專案清單!$R$2:$R$80,"主清單")</f>
        <v>1</v>
      </c>
      <c r="E29" s="23">
        <f>COUNTIFS(專案清單!$B$2:$B$80,$B29,專案清單!$X$2:$X$80,E$28,專案清單!$R$2:$R$80,"主清單")</f>
        <v>2</v>
      </c>
      <c r="F29" s="23">
        <f>COUNTIFS(專案清單!$B$2:$B$80,$B29,專案清單!$X$2:$X$80,F$28,專案清單!$R$2:$R$80,"主清單")</f>
        <v>6</v>
      </c>
      <c r="G29" s="23">
        <f>COUNTIFS(專案清單!$B$2:$B$80,$B29,專案清單!$X$2:$X$80,G$28,專案清單!$R$2:$R$80,"主清單")</f>
        <v>21</v>
      </c>
      <c r="H29" s="24">
        <f t="shared" ref="H29:H36" si="2">SUM(C29:G29)</f>
        <v>33</v>
      </c>
    </row>
    <row r="30" spans="1:8">
      <c r="A30" s="21" t="s">
        <v>178</v>
      </c>
      <c r="B30" s="22" t="s">
        <v>179</v>
      </c>
      <c r="C30" s="23">
        <f>COUNTIFS(專案清單!$B$2:$B$80,$B30,專案清單!$X$2:$X$80,C$28,專案清單!$R$2:$R$80,"主清單")</f>
        <v>0</v>
      </c>
      <c r="D30" s="23">
        <f>COUNTIFS(專案清單!$B$2:$B$80,$B30,專案清單!$X$2:$X$80,D$28,專案清單!$R$2:$R$80,"主清單")</f>
        <v>3</v>
      </c>
      <c r="E30" s="23">
        <f>COUNTIFS(專案清單!$B$2:$B$80,$B30,專案清單!$X$2:$X$80,E$28,專案清單!$R$2:$R$80,"主清單")</f>
        <v>1</v>
      </c>
      <c r="F30" s="23">
        <f>COUNTIFS(專案清單!$B$2:$B$80,$B30,專案清單!$X$2:$X$80,F$28,專案清單!$R$2:$R$80,"主清單")</f>
        <v>3</v>
      </c>
      <c r="G30" s="23">
        <f>COUNTIFS(專案清單!$B$2:$B$80,$B30,專案清單!$X$2:$X$80,G$28,專案清單!$R$2:$R$80,"主清單")</f>
        <v>14</v>
      </c>
      <c r="H30" s="24">
        <f t="shared" si="2"/>
        <v>21</v>
      </c>
    </row>
    <row r="31" spans="1:8">
      <c r="A31" s="21" t="s">
        <v>180</v>
      </c>
      <c r="B31" s="22" t="s">
        <v>181</v>
      </c>
      <c r="C31" s="23">
        <f>COUNTIFS(專案清單!$B$2:$B$80,$B31,專案清單!$X$2:$X$80,C$28,專案清單!$R$2:$R$80,"主清單")</f>
        <v>0</v>
      </c>
      <c r="D31" s="23">
        <f>COUNTIFS(專案清單!$B$2:$B$80,$B31,專案清單!$X$2:$X$80,D$28,專案清單!$R$2:$R$80,"主清單")</f>
        <v>0</v>
      </c>
      <c r="E31" s="23">
        <f>COUNTIFS(專案清單!$B$2:$B$80,$B31,專案清單!$X$2:$X$80,E$28,專案清單!$R$2:$R$80,"主清單")</f>
        <v>0</v>
      </c>
      <c r="F31" s="23">
        <f>COUNTIFS(專案清單!$B$2:$B$80,$B31,專案清單!$X$2:$X$80,F$28,專案清單!$R$2:$R$80,"主清單")</f>
        <v>0</v>
      </c>
      <c r="G31" s="23">
        <f>COUNTIFS(專案清單!$B$2:$B$80,$B31,專案清單!$X$2:$X$80,G$28,專案清單!$R$2:$R$80,"主清單")</f>
        <v>2</v>
      </c>
      <c r="H31" s="24">
        <f t="shared" si="2"/>
        <v>2</v>
      </c>
    </row>
    <row r="32" spans="1:8">
      <c r="A32" s="21" t="s">
        <v>182</v>
      </c>
      <c r="B32" s="22" t="s">
        <v>183</v>
      </c>
      <c r="C32" s="23">
        <f>COUNTIFS(專案清單!$B$2:$B$80,$B32,專案清單!$X$2:$X$80,C$28,專案清單!$R$2:$R$80,"主清單")</f>
        <v>0</v>
      </c>
      <c r="D32" s="23">
        <f>COUNTIFS(專案清單!$B$2:$B$80,$B32,專案清單!$X$2:$X$80,D$28,專案清單!$R$2:$R$80,"主清單")</f>
        <v>1</v>
      </c>
      <c r="E32" s="23">
        <f>COUNTIFS(專案清單!$B$2:$B$80,$B32,專案清單!$X$2:$X$80,E$28,專案清單!$R$2:$R$80,"主清單")</f>
        <v>0</v>
      </c>
      <c r="F32" s="23">
        <f>COUNTIFS(專案清單!$B$2:$B$80,$B32,專案清單!$X$2:$X$80,F$28,專案清單!$R$2:$R$80,"主清單")</f>
        <v>1</v>
      </c>
      <c r="G32" s="23">
        <f>COUNTIFS(專案清單!$B$2:$B$80,$B32,專案清單!$X$2:$X$80,G$28,專案清單!$R$2:$R$80,"主清單")</f>
        <v>0</v>
      </c>
      <c r="H32" s="24">
        <f t="shared" si="2"/>
        <v>2</v>
      </c>
    </row>
    <row r="33" spans="1:8">
      <c r="A33" s="21" t="s">
        <v>184</v>
      </c>
      <c r="B33" s="22" t="s">
        <v>185</v>
      </c>
      <c r="C33" s="23">
        <f>COUNTIFS(專案清單!$B$2:$B$80,$B33,專案清單!$X$2:$X$80,C$28,專案清單!$R$2:$R$80,"主清單")</f>
        <v>0</v>
      </c>
      <c r="D33" s="23">
        <f>COUNTIFS(專案清單!$B$2:$B$80,$B33,專案清單!$X$2:$X$80,D$28,專案清單!$R$2:$R$80,"主清單")</f>
        <v>0</v>
      </c>
      <c r="E33" s="23">
        <f>COUNTIFS(專案清單!$B$2:$B$80,$B33,專案清單!$X$2:$X$80,E$28,專案清單!$R$2:$R$80,"主清單")</f>
        <v>0</v>
      </c>
      <c r="F33" s="23">
        <f>COUNTIFS(專案清單!$B$2:$B$80,$B33,專案清單!$X$2:$X$80,F$28,專案清單!$R$2:$R$80,"主清單")</f>
        <v>0</v>
      </c>
      <c r="G33" s="23">
        <f>COUNTIFS(專案清單!$B$2:$B$80,$B33,專案清單!$X$2:$X$80,G$28,專案清單!$R$2:$R$80,"主清單")</f>
        <v>0</v>
      </c>
      <c r="H33" s="24">
        <f t="shared" si="2"/>
        <v>0</v>
      </c>
    </row>
    <row r="34" spans="1:8">
      <c r="A34" s="21" t="s">
        <v>186</v>
      </c>
      <c r="B34" s="22" t="s">
        <v>187</v>
      </c>
      <c r="C34" s="23">
        <f>COUNTIFS(專案清單!$B$2:$B$80,$B34,專案清單!$X$2:$X$80,C$28,專案清單!$R$2:$R$80,"主清單")</f>
        <v>0</v>
      </c>
      <c r="D34" s="23">
        <f>COUNTIFS(專案清單!$B$2:$B$80,$B34,專案清單!$X$2:$X$80,D$28,專案清單!$R$2:$R$80,"主清單")</f>
        <v>0</v>
      </c>
      <c r="E34" s="23">
        <f>COUNTIFS(專案清單!$B$2:$B$80,$B34,專案清單!$X$2:$X$80,E$28,專案清單!$R$2:$R$80,"主清單")</f>
        <v>0</v>
      </c>
      <c r="F34" s="23">
        <f>COUNTIFS(專案清單!$B$2:$B$80,$B34,專案清單!$X$2:$X$80,F$28,專案清單!$R$2:$R$80,"主清單")</f>
        <v>0</v>
      </c>
      <c r="G34" s="23">
        <f>COUNTIFS(專案清單!$B$2:$B$80,$B34,專案清單!$X$2:$X$80,G$28,專案清單!$R$2:$R$80,"主清單")</f>
        <v>2</v>
      </c>
      <c r="H34" s="24">
        <f t="shared" si="2"/>
        <v>2</v>
      </c>
    </row>
    <row r="35" spans="1:8">
      <c r="A35" s="21" t="s">
        <v>188</v>
      </c>
      <c r="B35" s="22" t="s">
        <v>189</v>
      </c>
      <c r="C35" s="23">
        <f>COUNTIFS(專案清單!$B$2:$B$80,$B35,專案清單!$X$2:$X$80,C$28,專案清單!$R$2:$R$80,"主清單")</f>
        <v>0</v>
      </c>
      <c r="D35" s="23">
        <f>COUNTIFS(專案清單!$B$2:$B$80,$B35,專案清單!$X$2:$X$80,D$28,專案清單!$R$2:$R$80,"主清單")</f>
        <v>0</v>
      </c>
      <c r="E35" s="23">
        <f>COUNTIFS(專案清單!$B$2:$B$80,$B35,專案清單!$X$2:$X$80,E$28,專案清單!$R$2:$R$80,"主清單")</f>
        <v>0</v>
      </c>
      <c r="F35" s="23">
        <f>COUNTIFS(專案清單!$B$2:$B$80,$B35,專案清單!$X$2:$X$80,F$28,專案清單!$R$2:$R$80,"主清單")</f>
        <v>0</v>
      </c>
      <c r="G35" s="23">
        <f>COUNTIFS(專案清單!$B$2:$B$80,$B35,專案清單!$X$2:$X$80,G$28,專案清單!$R$2:$R$80,"主清單")</f>
        <v>0</v>
      </c>
      <c r="H35" s="24">
        <f t="shared" si="2"/>
        <v>0</v>
      </c>
    </row>
    <row r="36" spans="1:8">
      <c r="A36" s="21" t="s">
        <v>190</v>
      </c>
      <c r="B36" s="22" t="s">
        <v>191</v>
      </c>
      <c r="C36" s="23">
        <f>COUNTIFS(專案清單!$B$2:$B$80,$B36,專案清單!$X$2:$X$80,C$28,專案清單!$R$2:$R$80,"主清單")</f>
        <v>0</v>
      </c>
      <c r="D36" s="23">
        <f>COUNTIFS(專案清單!$B$2:$B$80,$B36,專案清單!$X$2:$X$80,D$28,專案清單!$R$2:$R$80,"主清單")</f>
        <v>0</v>
      </c>
      <c r="E36" s="23">
        <f>COUNTIFS(專案清單!$B$2:$B$80,$B36,專案清單!$X$2:$X$80,E$28,專案清單!$R$2:$R$80,"主清單")</f>
        <v>0</v>
      </c>
      <c r="F36" s="23">
        <f>COUNTIFS(專案清單!$B$2:$B$80,$B36,專案清單!$X$2:$X$80,F$28,專案清單!$R$2:$R$80,"主清單")</f>
        <v>0</v>
      </c>
      <c r="G36" s="23">
        <f>COUNTIFS(專案清單!$B$2:$B$80,$B36,專案清單!$X$2:$X$80,G$28,專案清單!$R$2:$R$80,"主清單")</f>
        <v>0</v>
      </c>
      <c r="H36" s="24">
        <f t="shared" si="2"/>
        <v>0</v>
      </c>
    </row>
    <row r="37" spans="1:8">
      <c r="A37" s="25" t="s">
        <v>175</v>
      </c>
      <c r="B37" s="26"/>
      <c r="C37" s="27">
        <f t="shared" ref="C37:H37" si="3">SUM(C29:C36)</f>
        <v>3</v>
      </c>
      <c r="D37" s="27">
        <f t="shared" si="3"/>
        <v>5</v>
      </c>
      <c r="E37" s="27">
        <f t="shared" si="3"/>
        <v>3</v>
      </c>
      <c r="F37" s="27">
        <f t="shared" si="3"/>
        <v>10</v>
      </c>
      <c r="G37" s="27">
        <f t="shared" si="3"/>
        <v>39</v>
      </c>
      <c r="H37" s="27">
        <f t="shared" si="3"/>
        <v>60</v>
      </c>
    </row>
    <row r="39" spans="1:8" ht="22.05" customHeight="1">
      <c r="A39" s="70" t="s">
        <v>193</v>
      </c>
      <c r="B39" s="71"/>
      <c r="C39" s="71"/>
      <c r="D39" s="71"/>
      <c r="E39" s="71"/>
      <c r="F39" s="71"/>
      <c r="G39" s="71"/>
      <c r="H39" s="71"/>
    </row>
    <row r="40" spans="1:8" ht="31.95" customHeight="1">
      <c r="A40" s="20" t="s">
        <v>173</v>
      </c>
      <c r="B40" s="20" t="s">
        <v>174</v>
      </c>
      <c r="C40" s="20" t="s">
        <v>194</v>
      </c>
      <c r="D40" s="20" t="s">
        <v>195</v>
      </c>
      <c r="E40" s="20" t="s">
        <v>167</v>
      </c>
      <c r="F40" s="20" t="s">
        <v>168</v>
      </c>
      <c r="G40" s="20" t="s">
        <v>196</v>
      </c>
    </row>
    <row r="41" spans="1:8">
      <c r="A41" s="21" t="s">
        <v>176</v>
      </c>
      <c r="B41" s="22" t="s">
        <v>177</v>
      </c>
      <c r="C41" s="23">
        <f>COUNTIFS(專案清單!$B$2:$B$80,$B41,專案清單!$R$2:$R$80,"主清單")</f>
        <v>33</v>
      </c>
      <c r="D41" s="28">
        <f>SUMIFS(專案清單!$M$2:$M$80,專案清單!$B$2:$B$80,$B41,專案清單!$R$2:$R$80,"主清單")</f>
        <v>7526.6</v>
      </c>
      <c r="E41" s="23">
        <f>COUNTIFS(專案清單!$B$2:$B$80,$B41,專案清單!$M$2:$M$80,"未公布",專案清單!$R$2:$R$80,"主清單")</f>
        <v>2</v>
      </c>
      <c r="F41" s="23">
        <f>COUNTIFS(專案清單!$B$2:$B$80,$B41,專案清單!$AD$2:$AD$80,"高",專案清單!$R$2:$R$80,"主清單")</f>
        <v>27</v>
      </c>
      <c r="G41" s="29">
        <f t="shared" ref="G41:G48" si="4">IF($D$49=0,0,D41/$D$49)</f>
        <v>0.5302065428724394</v>
      </c>
    </row>
    <row r="42" spans="1:8">
      <c r="A42" s="21" t="s">
        <v>178</v>
      </c>
      <c r="B42" s="22" t="s">
        <v>179</v>
      </c>
      <c r="C42" s="23">
        <f>COUNTIFS(專案清單!$B$2:$B$80,$B42,專案清單!$R$2:$R$80,"主清單")</f>
        <v>21</v>
      </c>
      <c r="D42" s="28">
        <f>SUMIFS(專案清單!$M$2:$M$80,專案清單!$B$2:$B$80,$B42,專案清單!$R$2:$R$80,"主清單")</f>
        <v>4233</v>
      </c>
      <c r="E42" s="23">
        <f>COUNTIFS(專案清單!$B$2:$B$80,$B42,專案清單!$M$2:$M$80,"未公布",專案清單!$R$2:$R$80,"主清單")</f>
        <v>2</v>
      </c>
      <c r="F42" s="23">
        <f>COUNTIFS(專案清單!$B$2:$B$80,$B42,專案清單!$AD$2:$AD$80,"高",專案清單!$R$2:$R$80,"主清單")</f>
        <v>15</v>
      </c>
      <c r="G42" s="29">
        <f t="shared" si="4"/>
        <v>0.29819098875707967</v>
      </c>
    </row>
    <row r="43" spans="1:8">
      <c r="A43" s="21" t="s">
        <v>180</v>
      </c>
      <c r="B43" s="22" t="s">
        <v>181</v>
      </c>
      <c r="C43" s="23">
        <f>COUNTIFS(專案清單!$B$2:$B$80,$B43,專案清單!$R$2:$R$80,"主清單")</f>
        <v>2</v>
      </c>
      <c r="D43" s="28">
        <f>SUMIFS(專案清單!$M$2:$M$80,專案清單!$B$2:$B$80,$B43,專案清單!$R$2:$R$80,"主清單")</f>
        <v>1940</v>
      </c>
      <c r="E43" s="23">
        <f>COUNTIFS(專案清單!$B$2:$B$80,$B43,專案清單!$M$2:$M$80,"未公布",專案清單!$R$2:$R$80,"主清單")</f>
        <v>0</v>
      </c>
      <c r="F43" s="23">
        <f>COUNTIFS(專案清單!$B$2:$B$80,$B43,專案清單!$AD$2:$AD$80,"高",專案清單!$R$2:$R$80,"主清單")</f>
        <v>1</v>
      </c>
      <c r="G43" s="29">
        <f t="shared" si="4"/>
        <v>0.13666206430161459</v>
      </c>
    </row>
    <row r="44" spans="1:8">
      <c r="A44" s="21" t="s">
        <v>182</v>
      </c>
      <c r="B44" s="22" t="s">
        <v>183</v>
      </c>
      <c r="C44" s="23">
        <f>COUNTIFS(專案清單!$B$2:$B$80,$B44,專案清單!$R$2:$R$80,"主清單")</f>
        <v>2</v>
      </c>
      <c r="D44" s="28">
        <f>SUMIFS(專案清單!$M$2:$M$80,專案清單!$B$2:$B$80,$B44,專案清單!$R$2:$R$80,"主清單")</f>
        <v>392</v>
      </c>
      <c r="E44" s="23">
        <f>COUNTIFS(專案清單!$B$2:$B$80,$B44,專案清單!$M$2:$M$80,"未公布",專案清單!$R$2:$R$80,"主清單")</f>
        <v>0</v>
      </c>
      <c r="F44" s="23">
        <f>COUNTIFS(專案清單!$B$2:$B$80,$B44,專案清單!$AD$2:$AD$80,"高",專案清單!$R$2:$R$80,"主清單")</f>
        <v>1</v>
      </c>
      <c r="G44" s="29">
        <f t="shared" si="4"/>
        <v>2.7614190312491193E-2</v>
      </c>
    </row>
    <row r="45" spans="1:8">
      <c r="A45" s="21" t="s">
        <v>184</v>
      </c>
      <c r="B45" s="22" t="s">
        <v>185</v>
      </c>
      <c r="C45" s="23">
        <f>COUNTIFS(專案清單!$B$2:$B$80,$B45,專案清單!$R$2:$R$80,"主清單")</f>
        <v>0</v>
      </c>
      <c r="D45" s="28">
        <f>SUMIFS(專案清單!$M$2:$M$80,專案清單!$B$2:$B$80,$B45,專案清單!$R$2:$R$80,"主清單")</f>
        <v>0</v>
      </c>
      <c r="E45" s="23">
        <f>COUNTIFS(專案清單!$B$2:$B$80,$B45,專案清單!$M$2:$M$80,"未公布",專案清單!$R$2:$R$80,"主清單")</f>
        <v>0</v>
      </c>
      <c r="F45" s="23">
        <f>COUNTIFS(專案清單!$B$2:$B$80,$B45,專案清單!$AD$2:$AD$80,"高",專案清單!$R$2:$R$80,"主清單")</f>
        <v>0</v>
      </c>
      <c r="G45" s="29">
        <f t="shared" si="4"/>
        <v>0</v>
      </c>
    </row>
    <row r="46" spans="1:8">
      <c r="A46" s="21" t="s">
        <v>186</v>
      </c>
      <c r="B46" s="22" t="s">
        <v>187</v>
      </c>
      <c r="C46" s="23">
        <f>COUNTIFS(專案清單!$B$2:$B$80,$B46,專案清單!$R$2:$R$80,"主清單")</f>
        <v>2</v>
      </c>
      <c r="D46" s="28">
        <f>SUMIFS(專案清單!$M$2:$M$80,專案清單!$B$2:$B$80,$B46,專案清單!$R$2:$R$80,"主清單")</f>
        <v>104</v>
      </c>
      <c r="E46" s="23">
        <f>COUNTIFS(專案清單!$B$2:$B$80,$B46,專案清單!$M$2:$M$80,"未公布",專案清單!$R$2:$R$80,"主清單")</f>
        <v>0</v>
      </c>
      <c r="F46" s="23">
        <f>COUNTIFS(專案清單!$B$2:$B$80,$B46,專案清單!$AD$2:$AD$80,"高",專案清單!$R$2:$R$80,"主清單")</f>
        <v>2</v>
      </c>
      <c r="G46" s="29">
        <f t="shared" si="4"/>
        <v>7.3262137563752149E-3</v>
      </c>
    </row>
    <row r="47" spans="1:8">
      <c r="A47" s="21" t="s">
        <v>188</v>
      </c>
      <c r="B47" s="22" t="s">
        <v>189</v>
      </c>
      <c r="C47" s="23">
        <f>COUNTIFS(專案清單!$B$2:$B$80,$B47,專案清單!$R$2:$R$80,"主清單")</f>
        <v>0</v>
      </c>
      <c r="D47" s="28">
        <f>SUMIFS(專案清單!$M$2:$M$80,專案清單!$B$2:$B$80,$B47,專案清單!$R$2:$R$80,"主清單")</f>
        <v>0</v>
      </c>
      <c r="E47" s="23">
        <f>COUNTIFS(專案清單!$B$2:$B$80,$B47,專案清單!$M$2:$M$80,"未公布",專案清單!$R$2:$R$80,"主清單")</f>
        <v>0</v>
      </c>
      <c r="F47" s="23">
        <f>COUNTIFS(專案清單!$B$2:$B$80,$B47,專案清單!$AD$2:$AD$80,"高",專案清單!$R$2:$R$80,"主清單")</f>
        <v>0</v>
      </c>
      <c r="G47" s="29">
        <f t="shared" si="4"/>
        <v>0</v>
      </c>
    </row>
    <row r="48" spans="1:8">
      <c r="A48" s="21" t="s">
        <v>190</v>
      </c>
      <c r="B48" s="22" t="s">
        <v>191</v>
      </c>
      <c r="C48" s="23">
        <f>COUNTIFS(專案清單!$B$2:$B$80,$B48,專案清單!$R$2:$R$80,"主清單")</f>
        <v>0</v>
      </c>
      <c r="D48" s="28">
        <f>SUMIFS(專案清單!$M$2:$M$80,專案清單!$B$2:$B$80,$B48,專案清單!$R$2:$R$80,"主清單")</f>
        <v>0</v>
      </c>
      <c r="E48" s="23">
        <f>COUNTIFS(專案清單!$B$2:$B$80,$B48,專案清單!$M$2:$M$80,"未公布",專案清單!$R$2:$R$80,"主清單")</f>
        <v>0</v>
      </c>
      <c r="F48" s="23">
        <f>COUNTIFS(專案清單!$B$2:$B$80,$B48,專案清單!$AD$2:$AD$80,"高",專案清單!$R$2:$R$80,"主清單")</f>
        <v>0</v>
      </c>
      <c r="G48" s="29">
        <f t="shared" si="4"/>
        <v>0</v>
      </c>
    </row>
    <row r="49" spans="1:8">
      <c r="A49" s="25" t="s">
        <v>175</v>
      </c>
      <c r="B49" s="26"/>
      <c r="C49" s="27">
        <f>SUM(C41:C48)</f>
        <v>60</v>
      </c>
      <c r="D49" s="30">
        <f>SUM(D41:D48)</f>
        <v>14195.6</v>
      </c>
      <c r="E49" s="27">
        <f>SUM(E41:E48)</f>
        <v>4</v>
      </c>
      <c r="F49" s="27">
        <f>SUM(F41:F48)</f>
        <v>46</v>
      </c>
      <c r="G49" s="31">
        <f>SUM(G41:G48)</f>
        <v>1.0000000000000002</v>
      </c>
    </row>
    <row r="51" spans="1:8" ht="22.05" customHeight="1">
      <c r="A51" s="70" t="s">
        <v>197</v>
      </c>
      <c r="B51" s="71"/>
      <c r="C51" s="71"/>
      <c r="D51" s="71"/>
      <c r="E51" s="71"/>
      <c r="F51" s="71"/>
      <c r="G51" s="71"/>
      <c r="H51" s="71"/>
    </row>
    <row r="52" spans="1:8" ht="31.95" customHeight="1">
      <c r="A52" s="20" t="s">
        <v>173</v>
      </c>
      <c r="B52" s="20" t="s">
        <v>174</v>
      </c>
      <c r="C52" s="20" t="s">
        <v>198</v>
      </c>
      <c r="D52" s="20" t="s">
        <v>195</v>
      </c>
      <c r="E52" s="20" t="s">
        <v>167</v>
      </c>
    </row>
    <row r="53" spans="1:8">
      <c r="A53" s="21" t="s">
        <v>176</v>
      </c>
      <c r="B53" s="22" t="s">
        <v>177</v>
      </c>
      <c r="C53" s="23">
        <f>COUNTIFS(專案清單!$B$2:$B$80,$B53,專案清單!$R$2:$R$80,"觀察名單 (出租性待確認)")</f>
        <v>3</v>
      </c>
      <c r="D53" s="28">
        <f>SUMIFS(專案清單!$M$2:$M$80,專案清單!$B$2:$B$80,$B53,專案清單!$R$2:$R$80,"觀察名單 (出租性待確認)")</f>
        <v>209.2</v>
      </c>
      <c r="E53" s="23">
        <f>COUNTIFS(專案清單!$B$2:$B$80,$B53,專案清單!$M$2:$M$80,"未公布",專案清單!$R$2:$R$80,"觀察名單 (出租性待確認)")</f>
        <v>0</v>
      </c>
    </row>
    <row r="54" spans="1:8">
      <c r="A54" s="21" t="s">
        <v>178</v>
      </c>
      <c r="B54" s="22" t="s">
        <v>179</v>
      </c>
      <c r="C54" s="23">
        <f>COUNTIFS(專案清單!$B$2:$B$80,$B54,專案清單!$R$2:$R$80,"觀察名單 (出租性待確認)")</f>
        <v>8</v>
      </c>
      <c r="D54" s="28">
        <f>SUMIFS(專案清單!$M$2:$M$80,專案清單!$B$2:$B$80,$B54,專案清單!$R$2:$R$80,"觀察名單 (出租性待確認)")</f>
        <v>443</v>
      </c>
      <c r="E54" s="23">
        <f>COUNTIFS(專案清單!$B$2:$B$80,$B54,專案清單!$M$2:$M$80,"未公布",專案清單!$R$2:$R$80,"觀察名單 (出租性待確認)")</f>
        <v>5</v>
      </c>
    </row>
    <row r="55" spans="1:8">
      <c r="A55" s="21" t="s">
        <v>180</v>
      </c>
      <c r="B55" s="22" t="s">
        <v>181</v>
      </c>
      <c r="C55" s="23">
        <f>COUNTIFS(專案清單!$B$2:$B$80,$B55,專案清單!$R$2:$R$80,"觀察名單 (出租性待確認)")</f>
        <v>1</v>
      </c>
      <c r="D55" s="28">
        <f>SUMIFS(專案清單!$M$2:$M$80,專案清單!$B$2:$B$80,$B55,專案清單!$R$2:$R$80,"觀察名單 (出租性待確認)")</f>
        <v>0</v>
      </c>
      <c r="E55" s="23">
        <f>COUNTIFS(專案清單!$B$2:$B$80,$B55,專案清單!$M$2:$M$80,"未公布",專案清單!$R$2:$R$80,"觀察名單 (出租性待確認)")</f>
        <v>1</v>
      </c>
    </row>
    <row r="56" spans="1:8">
      <c r="A56" s="21" t="s">
        <v>182</v>
      </c>
      <c r="B56" s="22" t="s">
        <v>183</v>
      </c>
      <c r="C56" s="23">
        <f>COUNTIFS(專案清單!$B$2:$B$80,$B56,專案清單!$R$2:$R$80,"觀察名單 (出租性待確認)")</f>
        <v>0</v>
      </c>
      <c r="D56" s="28">
        <f>SUMIFS(專案清單!$M$2:$M$80,專案清單!$B$2:$B$80,$B56,專案清單!$R$2:$R$80,"觀察名單 (出租性待確認)")</f>
        <v>0</v>
      </c>
      <c r="E56" s="23">
        <f>COUNTIFS(專案清單!$B$2:$B$80,$B56,專案清單!$M$2:$M$80,"未公布",專案清單!$R$2:$R$80,"觀察名單 (出租性待確認)")</f>
        <v>0</v>
      </c>
    </row>
    <row r="57" spans="1:8">
      <c r="A57" s="21" t="s">
        <v>184</v>
      </c>
      <c r="B57" s="22" t="s">
        <v>185</v>
      </c>
      <c r="C57" s="23">
        <f>COUNTIFS(專案清單!$B$2:$B$80,$B57,專案清單!$R$2:$R$80,"觀察名單 (出租性待確認)")</f>
        <v>3</v>
      </c>
      <c r="D57" s="28">
        <f>SUMIFS(專案清單!$M$2:$M$80,專案清單!$B$2:$B$80,$B57,專案清單!$R$2:$R$80,"觀察名單 (出租性待確認)")</f>
        <v>823</v>
      </c>
      <c r="E57" s="23">
        <f>COUNTIFS(專案清單!$B$2:$B$80,$B57,專案清單!$M$2:$M$80,"未公布",專案清單!$R$2:$R$80,"觀察名單 (出租性待確認)")</f>
        <v>0</v>
      </c>
    </row>
    <row r="58" spans="1:8">
      <c r="A58" s="21" t="s">
        <v>186</v>
      </c>
      <c r="B58" s="22" t="s">
        <v>187</v>
      </c>
      <c r="C58" s="23">
        <f>COUNTIFS(專案清單!$B$2:$B$80,$B58,專案清單!$R$2:$R$80,"觀察名單 (出租性待確認)")</f>
        <v>0</v>
      </c>
      <c r="D58" s="28">
        <f>SUMIFS(專案清單!$M$2:$M$80,專案清單!$B$2:$B$80,$B58,專案清單!$R$2:$R$80,"觀察名單 (出租性待確認)")</f>
        <v>0</v>
      </c>
      <c r="E58" s="23">
        <f>COUNTIFS(專案清單!$B$2:$B$80,$B58,專案清單!$M$2:$M$80,"未公布",專案清單!$R$2:$R$80,"觀察名單 (出租性待確認)")</f>
        <v>0</v>
      </c>
    </row>
    <row r="59" spans="1:8">
      <c r="A59" s="21" t="s">
        <v>188</v>
      </c>
      <c r="B59" s="22" t="s">
        <v>189</v>
      </c>
      <c r="C59" s="23">
        <f>COUNTIFS(專案清單!$B$2:$B$80,$B59,專案清單!$R$2:$R$80,"觀察名單 (出租性待確認)")</f>
        <v>3</v>
      </c>
      <c r="D59" s="28">
        <f>SUMIFS(專案清單!$M$2:$M$80,專案清單!$B$2:$B$80,$B59,專案清單!$R$2:$R$80,"觀察名單 (出租性待確認)")</f>
        <v>424</v>
      </c>
      <c r="E59" s="23">
        <f>COUNTIFS(專案清單!$B$2:$B$80,$B59,專案清單!$M$2:$M$80,"未公布",專案清單!$R$2:$R$80,"觀察名單 (出租性待確認)")</f>
        <v>0</v>
      </c>
    </row>
    <row r="60" spans="1:8">
      <c r="A60" s="21" t="s">
        <v>190</v>
      </c>
      <c r="B60" s="22" t="s">
        <v>191</v>
      </c>
      <c r="C60" s="23">
        <f>COUNTIFS(專案清單!$B$2:$B$80,$B60,專案清單!$R$2:$R$80,"觀察名單 (出租性待確認)")</f>
        <v>1</v>
      </c>
      <c r="D60" s="28">
        <f>SUMIFS(專案清單!$M$2:$M$80,專案清單!$B$2:$B$80,$B60,專案清單!$R$2:$R$80,"觀察名單 (出租性待確認)")</f>
        <v>1000</v>
      </c>
      <c r="E60" s="23">
        <f>COUNTIFS(專案清單!$B$2:$B$80,$B60,專案清單!$M$2:$M$80,"未公布",專案清單!$R$2:$R$80,"觀察名單 (出租性待確認)")</f>
        <v>0</v>
      </c>
    </row>
    <row r="61" spans="1:8">
      <c r="A61" s="25" t="s">
        <v>175</v>
      </c>
      <c r="B61" s="26"/>
      <c r="C61" s="27">
        <f>SUM(C53:C60)</f>
        <v>19</v>
      </c>
      <c r="D61" s="30">
        <f>SUM(D53:D60)</f>
        <v>2899.2</v>
      </c>
      <c r="E61" s="27">
        <f>SUM(E53:E60)</f>
        <v>6</v>
      </c>
    </row>
    <row r="63" spans="1:8" ht="22.05" customHeight="1">
      <c r="A63" s="70" t="s">
        <v>199</v>
      </c>
      <c r="B63" s="71"/>
      <c r="C63" s="71"/>
      <c r="D63" s="71"/>
      <c r="E63" s="71"/>
      <c r="F63" s="71"/>
      <c r="G63" s="71"/>
      <c r="H63" s="71"/>
    </row>
    <row r="64" spans="1:8" ht="18.45" customHeight="1">
      <c r="A64" s="75" t="s">
        <v>200</v>
      </c>
      <c r="B64" s="71"/>
      <c r="C64" s="71"/>
      <c r="D64" s="71"/>
      <c r="E64" s="71"/>
      <c r="F64" s="71"/>
      <c r="G64" s="71"/>
      <c r="H64" s="71"/>
    </row>
    <row r="65" spans="1:8" ht="61.95" customHeight="1">
      <c r="A65" s="74" t="s">
        <v>201</v>
      </c>
      <c r="B65" s="71"/>
      <c r="C65" s="71"/>
      <c r="D65" s="71"/>
      <c r="E65" s="71"/>
      <c r="F65" s="71"/>
      <c r="G65" s="71"/>
      <c r="H65" s="71"/>
    </row>
    <row r="66" spans="1:8" ht="18.45" customHeight="1">
      <c r="A66" s="75" t="s">
        <v>202</v>
      </c>
      <c r="B66" s="71"/>
      <c r="C66" s="71"/>
      <c r="D66" s="71"/>
      <c r="E66" s="71"/>
      <c r="F66" s="71"/>
      <c r="G66" s="71"/>
      <c r="H66" s="71"/>
    </row>
    <row r="67" spans="1:8" ht="47.55" customHeight="1">
      <c r="A67" s="74" t="s">
        <v>203</v>
      </c>
      <c r="B67" s="71"/>
      <c r="C67" s="71"/>
      <c r="D67" s="71"/>
      <c r="E67" s="71"/>
      <c r="F67" s="71"/>
      <c r="G67" s="71"/>
      <c r="H67" s="71"/>
    </row>
    <row r="68" spans="1:8" ht="18.45" customHeight="1">
      <c r="A68" s="75" t="s">
        <v>204</v>
      </c>
      <c r="B68" s="71"/>
      <c r="C68" s="71"/>
      <c r="D68" s="71"/>
      <c r="E68" s="71"/>
      <c r="F68" s="71"/>
      <c r="G68" s="71"/>
      <c r="H68" s="71"/>
    </row>
    <row r="69" spans="1:8" ht="47.55" customHeight="1">
      <c r="A69" s="74" t="s">
        <v>205</v>
      </c>
      <c r="B69" s="71"/>
      <c r="C69" s="71"/>
      <c r="D69" s="71"/>
      <c r="E69" s="71"/>
      <c r="F69" s="71"/>
      <c r="G69" s="71"/>
      <c r="H69" s="71"/>
    </row>
    <row r="70" spans="1:8" ht="18.45" customHeight="1">
      <c r="A70" s="75" t="s">
        <v>206</v>
      </c>
      <c r="B70" s="71"/>
      <c r="C70" s="71"/>
      <c r="D70" s="71"/>
      <c r="E70" s="71"/>
      <c r="F70" s="71"/>
      <c r="G70" s="71"/>
      <c r="H70" s="71"/>
    </row>
    <row r="71" spans="1:8" ht="47.55" customHeight="1">
      <c r="A71" s="74" t="s">
        <v>207</v>
      </c>
      <c r="B71" s="71"/>
      <c r="C71" s="71"/>
      <c r="D71" s="71"/>
      <c r="E71" s="71"/>
      <c r="F71" s="71"/>
      <c r="G71" s="71"/>
      <c r="H71" s="71"/>
    </row>
    <row r="72" spans="1:8" ht="18.45" customHeight="1">
      <c r="A72" s="75" t="s">
        <v>208</v>
      </c>
      <c r="B72" s="71"/>
      <c r="C72" s="71"/>
      <c r="D72" s="71"/>
      <c r="E72" s="71"/>
      <c r="F72" s="71"/>
      <c r="G72" s="71"/>
      <c r="H72" s="71"/>
    </row>
    <row r="73" spans="1:8" ht="47.55" customHeight="1">
      <c r="A73" s="74" t="s">
        <v>209</v>
      </c>
      <c r="B73" s="71"/>
      <c r="C73" s="71"/>
      <c r="D73" s="71"/>
      <c r="E73" s="71"/>
      <c r="F73" s="71"/>
      <c r="G73" s="71"/>
      <c r="H73" s="71"/>
    </row>
    <row r="74" spans="1:8" ht="18.45" customHeight="1">
      <c r="A74" s="75" t="s">
        <v>210</v>
      </c>
      <c r="B74" s="71"/>
      <c r="C74" s="71"/>
      <c r="D74" s="71"/>
      <c r="E74" s="71"/>
      <c r="F74" s="71"/>
      <c r="G74" s="71"/>
      <c r="H74" s="71"/>
    </row>
    <row r="75" spans="1:8" ht="61.95" customHeight="1">
      <c r="A75" s="74" t="s">
        <v>211</v>
      </c>
      <c r="B75" s="71"/>
      <c r="C75" s="71"/>
      <c r="D75" s="71"/>
      <c r="E75" s="71"/>
      <c r="F75" s="71"/>
      <c r="G75" s="71"/>
      <c r="H75" s="71"/>
    </row>
    <row r="76" spans="1:8" ht="18.45" customHeight="1">
      <c r="A76" s="75" t="s">
        <v>212</v>
      </c>
      <c r="B76" s="71"/>
      <c r="C76" s="71"/>
      <c r="D76" s="71"/>
      <c r="E76" s="71"/>
      <c r="F76" s="71"/>
      <c r="G76" s="71"/>
      <c r="H76" s="71"/>
    </row>
    <row r="77" spans="1:8" ht="47.55" customHeight="1">
      <c r="A77" s="74" t="s">
        <v>213</v>
      </c>
      <c r="B77" s="71"/>
      <c r="C77" s="71"/>
      <c r="D77" s="71"/>
      <c r="E77" s="71"/>
      <c r="F77" s="71"/>
      <c r="G77" s="71"/>
      <c r="H77" s="71"/>
    </row>
    <row r="78" spans="1:8" ht="18.45" customHeight="1">
      <c r="A78" s="75" t="s">
        <v>214</v>
      </c>
      <c r="B78" s="71"/>
      <c r="C78" s="71"/>
      <c r="D78" s="71"/>
      <c r="E78" s="71"/>
      <c r="F78" s="71"/>
      <c r="G78" s="71"/>
      <c r="H78" s="71"/>
    </row>
    <row r="79" spans="1:8" ht="61.95" customHeight="1">
      <c r="A79" s="74" t="s">
        <v>215</v>
      </c>
      <c r="B79" s="71"/>
      <c r="C79" s="71"/>
      <c r="D79" s="71"/>
      <c r="E79" s="71"/>
      <c r="F79" s="71"/>
      <c r="G79" s="71"/>
      <c r="H79" s="71"/>
    </row>
  </sheetData>
  <mergeCells count="30">
    <mergeCell ref="A8:H8"/>
    <mergeCell ref="A4:H4"/>
    <mergeCell ref="B13:H13"/>
    <mergeCell ref="A63:H63"/>
    <mergeCell ref="A72:H72"/>
    <mergeCell ref="A10:H10"/>
    <mergeCell ref="A68:H68"/>
    <mergeCell ref="A1:H1"/>
    <mergeCell ref="A79:H79"/>
    <mergeCell ref="A6:H6"/>
    <mergeCell ref="A70:H70"/>
    <mergeCell ref="A78:H78"/>
    <mergeCell ref="A69:H69"/>
    <mergeCell ref="A7:H7"/>
    <mergeCell ref="A65:H65"/>
    <mergeCell ref="A66:H66"/>
    <mergeCell ref="A75:H75"/>
    <mergeCell ref="A27:H27"/>
    <mergeCell ref="A74:H74"/>
    <mergeCell ref="A2:H2"/>
    <mergeCell ref="A71:H71"/>
    <mergeCell ref="A76:H76"/>
    <mergeCell ref="A5:H5"/>
    <mergeCell ref="A67:H67"/>
    <mergeCell ref="A39:H39"/>
    <mergeCell ref="A77:H77"/>
    <mergeCell ref="A15:H15"/>
    <mergeCell ref="A73:H73"/>
    <mergeCell ref="A51:H51"/>
    <mergeCell ref="A64:H64"/>
  </mergeCells>
  <phoneticPr fontId="25" type="noConversion"/>
  <printOptions horizontalCentered="1"/>
  <pageMargins left="0.4" right="0.4" top="0.5" bottom="0.6" header="0.5" footer="0.5"/>
  <pageSetup paperSize="9" fitToHeight="0" orientation="landscape"/>
  <headerFooter>
    <oddFooter>&amp;C第 &amp;P 頁，共 &amp;N 頁</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7624A"/>
    <pageSetUpPr fitToPage="1"/>
  </sheetPr>
  <dimension ref="A1:AK80"/>
  <sheetViews>
    <sheetView workbookViewId="0">
      <pane xSplit="3" ySplit="1" topLeftCell="D2" activePane="bottomRight" state="frozen"/>
      <selection pane="topRight"/>
      <selection pane="bottomLeft"/>
      <selection pane="bottomRight"/>
    </sheetView>
  </sheetViews>
  <sheetFormatPr defaultRowHeight="13.8"/>
  <cols>
    <col min="1" max="1" width="10" customWidth="1"/>
    <col min="2" max="2" width="13" customWidth="1"/>
    <col min="3" max="3" width="26" customWidth="1"/>
    <col min="4" max="4" width="18" customWidth="1"/>
    <col min="5" max="5" width="16" customWidth="1"/>
    <col min="6" max="6" width="32" customWidth="1"/>
    <col min="7" max="7" width="14" customWidth="1"/>
    <col min="8" max="8" width="9" customWidth="1"/>
    <col min="9" max="9" width="16" customWidth="1"/>
    <col min="10" max="11" width="10" customWidth="1"/>
    <col min="12" max="12" width="13" customWidth="1"/>
    <col min="13" max="13" width="10" customWidth="1"/>
    <col min="14" max="14" width="13" customWidth="1"/>
    <col min="15" max="15" width="9" customWidth="1"/>
    <col min="16" max="16" width="26" customWidth="1"/>
    <col min="17" max="17" width="18" customWidth="1"/>
    <col min="18" max="18" width="14" customWidth="1"/>
    <col min="19" max="19" width="26" customWidth="1"/>
    <col min="20" max="20" width="11" customWidth="1"/>
    <col min="21" max="21" width="36" customWidth="1"/>
    <col min="22" max="22" width="10" customWidth="1"/>
    <col min="23" max="23" width="18" customWidth="1"/>
    <col min="24" max="24" width="16" customWidth="1"/>
    <col min="25" max="25" width="20" customWidth="1"/>
    <col min="26" max="26" width="10" customWidth="1"/>
    <col min="27" max="27" width="24" customWidth="1"/>
    <col min="28" max="28" width="18" customWidth="1"/>
    <col min="29" max="29" width="15" customWidth="1"/>
    <col min="30" max="30" width="8" customWidth="1"/>
    <col min="31" max="31" width="30" customWidth="1"/>
    <col min="32" max="35" width="40" customWidth="1"/>
    <col min="36" max="36" width="12" customWidth="1"/>
    <col min="37" max="37" width="14" customWidth="1"/>
  </cols>
  <sheetData>
    <row r="1" spans="1:37" ht="31.95" customHeight="1">
      <c r="A1" s="20" t="s">
        <v>216</v>
      </c>
      <c r="B1" s="20" t="s">
        <v>173</v>
      </c>
      <c r="C1" s="20" t="s">
        <v>217</v>
      </c>
      <c r="D1" s="20" t="s">
        <v>218</v>
      </c>
      <c r="E1" s="20" t="s">
        <v>219</v>
      </c>
      <c r="F1" s="20" t="s">
        <v>220</v>
      </c>
      <c r="G1" s="20" t="s">
        <v>221</v>
      </c>
      <c r="H1" s="20" t="s">
        <v>222</v>
      </c>
      <c r="I1" s="20" t="s">
        <v>223</v>
      </c>
      <c r="J1" s="20" t="s">
        <v>224</v>
      </c>
      <c r="K1" s="20" t="s">
        <v>225</v>
      </c>
      <c r="L1" s="20" t="s">
        <v>85</v>
      </c>
      <c r="M1" s="20" t="s">
        <v>226</v>
      </c>
      <c r="N1" s="20" t="s">
        <v>227</v>
      </c>
      <c r="O1" s="20" t="s">
        <v>228</v>
      </c>
      <c r="P1" s="20" t="s">
        <v>229</v>
      </c>
      <c r="Q1" s="20" t="s">
        <v>101</v>
      </c>
      <c r="R1" s="20" t="s">
        <v>230</v>
      </c>
      <c r="S1" s="20" t="s">
        <v>231</v>
      </c>
      <c r="T1" s="20" t="s">
        <v>232</v>
      </c>
      <c r="U1" s="20" t="s">
        <v>233</v>
      </c>
      <c r="V1" s="20" t="s">
        <v>234</v>
      </c>
      <c r="W1" s="20" t="s">
        <v>235</v>
      </c>
      <c r="X1" s="20" t="s">
        <v>18</v>
      </c>
      <c r="Y1" s="20" t="s">
        <v>236</v>
      </c>
      <c r="Z1" s="20" t="s">
        <v>51</v>
      </c>
      <c r="AA1" s="20" t="s">
        <v>237</v>
      </c>
      <c r="AB1" s="20" t="s">
        <v>238</v>
      </c>
      <c r="AC1" s="20" t="s">
        <v>239</v>
      </c>
      <c r="AD1" s="20" t="s">
        <v>103</v>
      </c>
      <c r="AE1" s="20" t="s">
        <v>240</v>
      </c>
      <c r="AF1" s="20" t="s">
        <v>241</v>
      </c>
      <c r="AG1" s="20" t="s">
        <v>242</v>
      </c>
      <c r="AH1" s="20" t="s">
        <v>243</v>
      </c>
      <c r="AI1" s="20" t="s">
        <v>244</v>
      </c>
      <c r="AJ1" s="20" t="s">
        <v>245</v>
      </c>
      <c r="AK1" s="20" t="s">
        <v>246</v>
      </c>
    </row>
    <row r="2" spans="1:37" ht="160.05000000000001" customHeight="1">
      <c r="A2" s="32" t="s">
        <v>247</v>
      </c>
      <c r="B2" s="32" t="s">
        <v>179</v>
      </c>
      <c r="C2" s="33" t="s">
        <v>248</v>
      </c>
      <c r="D2" s="33" t="s">
        <v>249</v>
      </c>
      <c r="E2" s="33" t="s">
        <v>250</v>
      </c>
      <c r="F2" s="33" t="s">
        <v>251</v>
      </c>
      <c r="G2" s="33" t="s">
        <v>252</v>
      </c>
      <c r="H2" s="34" t="s">
        <v>253</v>
      </c>
      <c r="I2" s="33" t="s">
        <v>254</v>
      </c>
      <c r="J2" s="35">
        <v>-37.816670000000002</v>
      </c>
      <c r="K2" s="35">
        <v>144.84641199999999</v>
      </c>
      <c r="L2" s="33" t="s">
        <v>88</v>
      </c>
      <c r="M2" s="36">
        <v>155</v>
      </c>
      <c r="N2" s="33" t="s">
        <v>81</v>
      </c>
      <c r="O2" s="32"/>
      <c r="P2" s="33" t="s">
        <v>255</v>
      </c>
      <c r="Q2" s="37" t="s">
        <v>33</v>
      </c>
      <c r="R2" s="9" t="s">
        <v>61</v>
      </c>
      <c r="S2" s="33" t="s">
        <v>256</v>
      </c>
      <c r="T2" s="32" t="s">
        <v>257</v>
      </c>
      <c r="U2" s="33" t="s">
        <v>258</v>
      </c>
      <c r="V2" s="32" t="s">
        <v>259</v>
      </c>
      <c r="W2" s="33" t="s">
        <v>260</v>
      </c>
      <c r="X2" s="33" t="s">
        <v>39</v>
      </c>
      <c r="Y2" s="33" t="s">
        <v>261</v>
      </c>
      <c r="Z2" s="32" t="s">
        <v>56</v>
      </c>
      <c r="AA2" s="33" t="s">
        <v>262</v>
      </c>
      <c r="AB2" s="33" t="s">
        <v>263</v>
      </c>
      <c r="AC2" s="33" t="s">
        <v>264</v>
      </c>
      <c r="AD2" s="38" t="s">
        <v>66</v>
      </c>
      <c r="AE2" s="33" t="s">
        <v>265</v>
      </c>
      <c r="AF2" s="39" t="s">
        <v>266</v>
      </c>
      <c r="AG2" s="39" t="s">
        <v>267</v>
      </c>
      <c r="AH2" s="39" t="s">
        <v>268</v>
      </c>
      <c r="AI2" s="39" t="s">
        <v>269</v>
      </c>
      <c r="AJ2" s="40" t="s">
        <v>270</v>
      </c>
      <c r="AK2" s="33" t="s">
        <v>271</v>
      </c>
    </row>
    <row r="3" spans="1:37" ht="160.05000000000001" customHeight="1">
      <c r="A3" s="22" t="s">
        <v>272</v>
      </c>
      <c r="B3" s="22" t="s">
        <v>177</v>
      </c>
      <c r="C3" s="2" t="s">
        <v>273</v>
      </c>
      <c r="D3" s="2" t="s">
        <v>274</v>
      </c>
      <c r="E3" s="2" t="s">
        <v>275</v>
      </c>
      <c r="F3" s="2" t="s">
        <v>276</v>
      </c>
      <c r="G3" s="2" t="s">
        <v>277</v>
      </c>
      <c r="H3" s="41" t="s">
        <v>278</v>
      </c>
      <c r="I3" s="2" t="s">
        <v>279</v>
      </c>
      <c r="J3" s="42">
        <v>-33.780729999999998</v>
      </c>
      <c r="K3" s="42">
        <v>151.12733</v>
      </c>
      <c r="L3" s="2" t="s">
        <v>86</v>
      </c>
      <c r="M3" s="43">
        <v>47</v>
      </c>
      <c r="N3" s="2" t="s">
        <v>79</v>
      </c>
      <c r="O3" s="43">
        <v>6</v>
      </c>
      <c r="P3" s="2" t="s">
        <v>280</v>
      </c>
      <c r="Q3" s="6" t="s">
        <v>33</v>
      </c>
      <c r="R3" s="2" t="s">
        <v>59</v>
      </c>
      <c r="S3" s="2"/>
      <c r="T3" s="22" t="s">
        <v>281</v>
      </c>
      <c r="U3" s="2" t="s">
        <v>282</v>
      </c>
      <c r="V3" s="22" t="s">
        <v>283</v>
      </c>
      <c r="W3" s="2" t="s">
        <v>284</v>
      </c>
      <c r="X3" s="2" t="s">
        <v>39</v>
      </c>
      <c r="Y3" s="2" t="s">
        <v>285</v>
      </c>
      <c r="Z3" s="22" t="s">
        <v>52</v>
      </c>
      <c r="AA3" s="2" t="s">
        <v>286</v>
      </c>
      <c r="AB3" s="2" t="s">
        <v>287</v>
      </c>
      <c r="AC3" s="2" t="s">
        <v>288</v>
      </c>
      <c r="AD3" s="44" t="s">
        <v>64</v>
      </c>
      <c r="AE3" s="2" t="s">
        <v>289</v>
      </c>
      <c r="AF3" s="16" t="s">
        <v>290</v>
      </c>
      <c r="AG3" s="16" t="s">
        <v>291</v>
      </c>
      <c r="AH3" s="16" t="s">
        <v>292</v>
      </c>
      <c r="AI3" s="16" t="s">
        <v>293</v>
      </c>
      <c r="AJ3" s="3" t="s">
        <v>270</v>
      </c>
      <c r="AK3" s="2" t="s">
        <v>294</v>
      </c>
    </row>
    <row r="4" spans="1:37" ht="160.05000000000001" customHeight="1">
      <c r="A4" s="32" t="s">
        <v>295</v>
      </c>
      <c r="B4" s="32" t="s">
        <v>179</v>
      </c>
      <c r="C4" s="33" t="s">
        <v>296</v>
      </c>
      <c r="D4" s="33" t="s">
        <v>297</v>
      </c>
      <c r="E4" s="33" t="s">
        <v>298</v>
      </c>
      <c r="F4" s="33" t="s">
        <v>299</v>
      </c>
      <c r="G4" s="33" t="s">
        <v>300</v>
      </c>
      <c r="H4" s="34" t="s">
        <v>301</v>
      </c>
      <c r="I4" s="33" t="s">
        <v>302</v>
      </c>
      <c r="J4" s="35">
        <v>-37.801760999999999</v>
      </c>
      <c r="K4" s="35">
        <v>144.77557300000001</v>
      </c>
      <c r="L4" s="33" t="s">
        <v>90</v>
      </c>
      <c r="M4" s="36">
        <v>276</v>
      </c>
      <c r="N4" s="33" t="s">
        <v>81</v>
      </c>
      <c r="O4" s="32"/>
      <c r="P4" s="33" t="s">
        <v>303</v>
      </c>
      <c r="Q4" s="45" t="s">
        <v>35</v>
      </c>
      <c r="R4" s="9" t="s">
        <v>61</v>
      </c>
      <c r="S4" s="33" t="s">
        <v>304</v>
      </c>
      <c r="T4" s="32" t="s">
        <v>305</v>
      </c>
      <c r="U4" s="33" t="s">
        <v>306</v>
      </c>
      <c r="V4" s="32" t="s">
        <v>307</v>
      </c>
      <c r="W4" s="33" t="s">
        <v>307</v>
      </c>
      <c r="X4" s="33" t="s">
        <v>39</v>
      </c>
      <c r="Y4" s="33" t="s">
        <v>261</v>
      </c>
      <c r="Z4" s="32" t="s">
        <v>56</v>
      </c>
      <c r="AA4" s="33" t="s">
        <v>308</v>
      </c>
      <c r="AB4" s="33" t="s">
        <v>309</v>
      </c>
      <c r="AC4" s="33" t="s">
        <v>310</v>
      </c>
      <c r="AD4" s="38" t="s">
        <v>66</v>
      </c>
      <c r="AE4" s="33" t="s">
        <v>311</v>
      </c>
      <c r="AF4" s="39" t="s">
        <v>312</v>
      </c>
      <c r="AG4" s="39" t="s">
        <v>313</v>
      </c>
      <c r="AH4" s="39" t="s">
        <v>314</v>
      </c>
      <c r="AI4" s="39" t="s">
        <v>315</v>
      </c>
      <c r="AJ4" s="40" t="s">
        <v>270</v>
      </c>
      <c r="AK4" s="33" t="s">
        <v>271</v>
      </c>
    </row>
    <row r="5" spans="1:37" ht="160.05000000000001" customHeight="1">
      <c r="A5" s="22" t="s">
        <v>316</v>
      </c>
      <c r="B5" s="22" t="s">
        <v>177</v>
      </c>
      <c r="C5" s="2" t="s">
        <v>317</v>
      </c>
      <c r="D5" s="2" t="s">
        <v>318</v>
      </c>
      <c r="E5" s="2" t="s">
        <v>319</v>
      </c>
      <c r="F5" s="2" t="s">
        <v>320</v>
      </c>
      <c r="G5" s="2" t="s">
        <v>321</v>
      </c>
      <c r="H5" s="41" t="s">
        <v>322</v>
      </c>
      <c r="I5" s="2" t="s">
        <v>323</v>
      </c>
      <c r="J5" s="42">
        <v>-34.515334000000003</v>
      </c>
      <c r="K5" s="42">
        <v>150.369822</v>
      </c>
      <c r="L5" s="2" t="s">
        <v>88</v>
      </c>
      <c r="M5" s="43">
        <v>28</v>
      </c>
      <c r="N5" s="2" t="s">
        <v>79</v>
      </c>
      <c r="O5" s="22"/>
      <c r="P5" s="2" t="s">
        <v>324</v>
      </c>
      <c r="Q5" s="7" t="s">
        <v>35</v>
      </c>
      <c r="R5" s="2" t="s">
        <v>59</v>
      </c>
      <c r="S5" s="2"/>
      <c r="T5" s="22" t="s">
        <v>325</v>
      </c>
      <c r="U5" s="2" t="s">
        <v>326</v>
      </c>
      <c r="V5" s="22" t="s">
        <v>327</v>
      </c>
      <c r="W5" s="2" t="s">
        <v>328</v>
      </c>
      <c r="X5" s="2" t="s">
        <v>39</v>
      </c>
      <c r="Y5" s="2" t="s">
        <v>329</v>
      </c>
      <c r="Z5" s="22" t="s">
        <v>52</v>
      </c>
      <c r="AA5" s="2" t="s">
        <v>330</v>
      </c>
      <c r="AB5" s="2" t="s">
        <v>331</v>
      </c>
      <c r="AC5" s="2" t="s">
        <v>332</v>
      </c>
      <c r="AD5" s="46" t="s">
        <v>66</v>
      </c>
      <c r="AE5" s="2" t="s">
        <v>333</v>
      </c>
      <c r="AF5" s="16" t="s">
        <v>334</v>
      </c>
      <c r="AG5" s="16" t="s">
        <v>335</v>
      </c>
      <c r="AH5" s="16" t="s">
        <v>336</v>
      </c>
      <c r="AI5" s="16" t="s">
        <v>337</v>
      </c>
      <c r="AJ5" s="3" t="s">
        <v>270</v>
      </c>
      <c r="AK5" s="2" t="s">
        <v>338</v>
      </c>
    </row>
    <row r="6" spans="1:37" ht="160.05000000000001" customHeight="1">
      <c r="A6" s="32" t="s">
        <v>339</v>
      </c>
      <c r="B6" s="32" t="s">
        <v>179</v>
      </c>
      <c r="C6" s="33" t="s">
        <v>340</v>
      </c>
      <c r="D6" s="33" t="s">
        <v>341</v>
      </c>
      <c r="E6" s="33" t="s">
        <v>342</v>
      </c>
      <c r="F6" s="33" t="s">
        <v>343</v>
      </c>
      <c r="G6" s="33" t="s">
        <v>344</v>
      </c>
      <c r="H6" s="34" t="s">
        <v>345</v>
      </c>
      <c r="I6" s="33" t="s">
        <v>346</v>
      </c>
      <c r="J6" s="35">
        <v>-37.947699</v>
      </c>
      <c r="K6" s="35">
        <v>145.185765</v>
      </c>
      <c r="L6" s="33" t="s">
        <v>86</v>
      </c>
      <c r="M6" s="36">
        <v>12</v>
      </c>
      <c r="N6" s="33" t="s">
        <v>81</v>
      </c>
      <c r="O6" s="32"/>
      <c r="P6" s="33" t="s">
        <v>347</v>
      </c>
      <c r="Q6" s="45" t="s">
        <v>35</v>
      </c>
      <c r="R6" s="9" t="s">
        <v>61</v>
      </c>
      <c r="S6" s="33" t="s">
        <v>348</v>
      </c>
      <c r="T6" s="32" t="s">
        <v>349</v>
      </c>
      <c r="U6" s="33" t="s">
        <v>350</v>
      </c>
      <c r="V6" s="32" t="s">
        <v>351</v>
      </c>
      <c r="W6" s="33" t="s">
        <v>352</v>
      </c>
      <c r="X6" s="33" t="s">
        <v>39</v>
      </c>
      <c r="Y6" s="33" t="s">
        <v>353</v>
      </c>
      <c r="Z6" s="32" t="s">
        <v>56</v>
      </c>
      <c r="AA6" s="33" t="s">
        <v>354</v>
      </c>
      <c r="AB6" s="33" t="s">
        <v>355</v>
      </c>
      <c r="AC6" s="33" t="s">
        <v>351</v>
      </c>
      <c r="AD6" s="47" t="s">
        <v>68</v>
      </c>
      <c r="AE6" s="33" t="s">
        <v>356</v>
      </c>
      <c r="AF6" s="32"/>
      <c r="AG6" s="39" t="s">
        <v>357</v>
      </c>
      <c r="AH6" s="39" t="s">
        <v>358</v>
      </c>
      <c r="AI6" s="39" t="s">
        <v>359</v>
      </c>
      <c r="AJ6" s="40" t="s">
        <v>270</v>
      </c>
      <c r="AK6" s="33" t="s">
        <v>360</v>
      </c>
    </row>
    <row r="7" spans="1:37" ht="160.05000000000001" customHeight="1">
      <c r="A7" s="22" t="s">
        <v>361</v>
      </c>
      <c r="B7" s="22" t="s">
        <v>177</v>
      </c>
      <c r="C7" s="2" t="s">
        <v>362</v>
      </c>
      <c r="D7" s="2" t="s">
        <v>363</v>
      </c>
      <c r="E7" s="2" t="s">
        <v>364</v>
      </c>
      <c r="F7" s="2" t="s">
        <v>365</v>
      </c>
      <c r="G7" s="2" t="s">
        <v>366</v>
      </c>
      <c r="H7" s="41" t="s">
        <v>367</v>
      </c>
      <c r="I7" s="2" t="s">
        <v>368</v>
      </c>
      <c r="J7" s="42">
        <v>-33.821899999999999</v>
      </c>
      <c r="K7" s="42">
        <v>150.9238</v>
      </c>
      <c r="L7" s="2" t="s">
        <v>86</v>
      </c>
      <c r="M7" s="48" t="s">
        <v>307</v>
      </c>
      <c r="N7" s="2" t="s">
        <v>81</v>
      </c>
      <c r="O7" s="22"/>
      <c r="P7" s="2" t="s">
        <v>369</v>
      </c>
      <c r="Q7" s="7" t="s">
        <v>35</v>
      </c>
      <c r="R7" s="2" t="s">
        <v>59</v>
      </c>
      <c r="S7" s="2"/>
      <c r="T7" s="22" t="s">
        <v>349</v>
      </c>
      <c r="U7" s="2" t="s">
        <v>370</v>
      </c>
      <c r="V7" s="22" t="s">
        <v>261</v>
      </c>
      <c r="W7" s="2" t="s">
        <v>371</v>
      </c>
      <c r="X7" s="2" t="s">
        <v>39</v>
      </c>
      <c r="Y7" s="2" t="s">
        <v>372</v>
      </c>
      <c r="Z7" s="22" t="s">
        <v>52</v>
      </c>
      <c r="AA7" s="2" t="s">
        <v>373</v>
      </c>
      <c r="AB7" s="2" t="s">
        <v>374</v>
      </c>
      <c r="AC7" s="2"/>
      <c r="AD7" s="49" t="s">
        <v>68</v>
      </c>
      <c r="AE7" s="2" t="s">
        <v>375</v>
      </c>
      <c r="AF7" s="22"/>
      <c r="AG7" s="22"/>
      <c r="AH7" s="16" t="s">
        <v>376</v>
      </c>
      <c r="AI7" s="16" t="s">
        <v>376</v>
      </c>
      <c r="AJ7" s="3" t="s">
        <v>270</v>
      </c>
      <c r="AK7" s="2" t="s">
        <v>377</v>
      </c>
    </row>
    <row r="8" spans="1:37" ht="160.05000000000001" customHeight="1">
      <c r="A8" s="22" t="s">
        <v>378</v>
      </c>
      <c r="B8" s="22" t="s">
        <v>179</v>
      </c>
      <c r="C8" s="2" t="s">
        <v>379</v>
      </c>
      <c r="D8" s="2" t="s">
        <v>380</v>
      </c>
      <c r="E8" s="2" t="s">
        <v>381</v>
      </c>
      <c r="F8" s="2" t="s">
        <v>382</v>
      </c>
      <c r="G8" s="2" t="s">
        <v>383</v>
      </c>
      <c r="H8" s="41" t="s">
        <v>384</v>
      </c>
      <c r="I8" s="2" t="s">
        <v>385</v>
      </c>
      <c r="J8" s="42">
        <v>-37.817385999999999</v>
      </c>
      <c r="K8" s="42">
        <v>144.749403</v>
      </c>
      <c r="L8" s="2" t="s">
        <v>88</v>
      </c>
      <c r="M8" s="43">
        <v>252</v>
      </c>
      <c r="N8" s="2" t="s">
        <v>73</v>
      </c>
      <c r="O8" s="22"/>
      <c r="P8" s="2" t="s">
        <v>386</v>
      </c>
      <c r="Q8" s="4" t="s">
        <v>29</v>
      </c>
      <c r="R8" s="2" t="s">
        <v>59</v>
      </c>
      <c r="S8" s="2"/>
      <c r="T8" s="22" t="s">
        <v>387</v>
      </c>
      <c r="U8" s="2" t="s">
        <v>388</v>
      </c>
      <c r="V8" s="22" t="s">
        <v>389</v>
      </c>
      <c r="W8" s="2" t="s">
        <v>390</v>
      </c>
      <c r="X8" s="2" t="s">
        <v>41</v>
      </c>
      <c r="Y8" s="2" t="s">
        <v>391</v>
      </c>
      <c r="Z8" s="22" t="s">
        <v>52</v>
      </c>
      <c r="AA8" s="2" t="s">
        <v>392</v>
      </c>
      <c r="AB8" s="2" t="s">
        <v>307</v>
      </c>
      <c r="AC8" s="2" t="s">
        <v>393</v>
      </c>
      <c r="AD8" s="46" t="s">
        <v>66</v>
      </c>
      <c r="AE8" s="2" t="s">
        <v>394</v>
      </c>
      <c r="AF8" s="16" t="s">
        <v>395</v>
      </c>
      <c r="AG8" s="16" t="s">
        <v>396</v>
      </c>
      <c r="AH8" s="16" t="s">
        <v>397</v>
      </c>
      <c r="AI8" s="16" t="s">
        <v>398</v>
      </c>
      <c r="AJ8" s="3" t="s">
        <v>270</v>
      </c>
      <c r="AK8" s="2" t="s">
        <v>399</v>
      </c>
    </row>
    <row r="9" spans="1:37" ht="160.05000000000001" customHeight="1">
      <c r="A9" s="22" t="s">
        <v>400</v>
      </c>
      <c r="B9" s="22" t="s">
        <v>183</v>
      </c>
      <c r="C9" s="2" t="s">
        <v>401</v>
      </c>
      <c r="D9" s="2" t="s">
        <v>402</v>
      </c>
      <c r="E9" s="2" t="s">
        <v>403</v>
      </c>
      <c r="F9" s="2" t="s">
        <v>404</v>
      </c>
      <c r="G9" s="2" t="s">
        <v>405</v>
      </c>
      <c r="H9" s="41" t="s">
        <v>406</v>
      </c>
      <c r="I9" s="2" t="s">
        <v>407</v>
      </c>
      <c r="J9" s="42">
        <v>-32.030017000000001</v>
      </c>
      <c r="K9" s="42">
        <v>115.999526</v>
      </c>
      <c r="L9" s="2" t="s">
        <v>90</v>
      </c>
      <c r="M9" s="43">
        <v>200</v>
      </c>
      <c r="N9" s="2" t="s">
        <v>81</v>
      </c>
      <c r="O9" s="43">
        <v>34</v>
      </c>
      <c r="P9" s="2" t="s">
        <v>408</v>
      </c>
      <c r="Q9" s="4" t="s">
        <v>29</v>
      </c>
      <c r="R9" s="2" t="s">
        <v>59</v>
      </c>
      <c r="S9" s="2"/>
      <c r="T9" s="22" t="s">
        <v>409</v>
      </c>
      <c r="U9" s="2" t="s">
        <v>410</v>
      </c>
      <c r="V9" s="22" t="s">
        <v>411</v>
      </c>
      <c r="W9" s="2" t="s">
        <v>412</v>
      </c>
      <c r="X9" s="2" t="s">
        <v>41</v>
      </c>
      <c r="Y9" s="2" t="s">
        <v>413</v>
      </c>
      <c r="Z9" s="22" t="s">
        <v>54</v>
      </c>
      <c r="AA9" s="2" t="s">
        <v>414</v>
      </c>
      <c r="AB9" s="2" t="s">
        <v>415</v>
      </c>
      <c r="AC9" s="2" t="s">
        <v>416</v>
      </c>
      <c r="AD9" s="44" t="s">
        <v>64</v>
      </c>
      <c r="AE9" s="2" t="s">
        <v>417</v>
      </c>
      <c r="AF9" s="16" t="s">
        <v>418</v>
      </c>
      <c r="AG9" s="16" t="s">
        <v>419</v>
      </c>
      <c r="AH9" s="16" t="s">
        <v>420</v>
      </c>
      <c r="AI9" s="16" t="s">
        <v>421</v>
      </c>
      <c r="AJ9" s="3" t="s">
        <v>270</v>
      </c>
      <c r="AK9" s="2" t="s">
        <v>422</v>
      </c>
    </row>
    <row r="10" spans="1:37" ht="160.05000000000001" customHeight="1">
      <c r="A10" s="22" t="s">
        <v>423</v>
      </c>
      <c r="B10" s="22" t="s">
        <v>179</v>
      </c>
      <c r="C10" s="2" t="s">
        <v>424</v>
      </c>
      <c r="D10" s="2" t="s">
        <v>380</v>
      </c>
      <c r="E10" s="2" t="s">
        <v>425</v>
      </c>
      <c r="F10" s="2" t="s">
        <v>426</v>
      </c>
      <c r="G10" s="2" t="s">
        <v>383</v>
      </c>
      <c r="H10" s="41" t="s">
        <v>384</v>
      </c>
      <c r="I10" s="2" t="s">
        <v>385</v>
      </c>
      <c r="J10" s="42">
        <v>-37.819932999999999</v>
      </c>
      <c r="K10" s="42">
        <v>144.74764200000001</v>
      </c>
      <c r="L10" s="2" t="s">
        <v>88</v>
      </c>
      <c r="M10" s="43">
        <v>108</v>
      </c>
      <c r="N10" s="2" t="s">
        <v>81</v>
      </c>
      <c r="O10" s="43">
        <v>54</v>
      </c>
      <c r="P10" s="2" t="s">
        <v>427</v>
      </c>
      <c r="Q10" s="4" t="s">
        <v>29</v>
      </c>
      <c r="R10" s="2" t="s">
        <v>59</v>
      </c>
      <c r="S10" s="2"/>
      <c r="T10" s="22" t="s">
        <v>428</v>
      </c>
      <c r="U10" s="2" t="s">
        <v>429</v>
      </c>
      <c r="V10" s="22" t="s">
        <v>430</v>
      </c>
      <c r="W10" s="2" t="s">
        <v>431</v>
      </c>
      <c r="X10" s="2" t="s">
        <v>41</v>
      </c>
      <c r="Y10" s="2" t="s">
        <v>432</v>
      </c>
      <c r="Z10" s="22" t="s">
        <v>52</v>
      </c>
      <c r="AA10" s="2" t="s">
        <v>433</v>
      </c>
      <c r="AB10" s="2" t="s">
        <v>307</v>
      </c>
      <c r="AC10" s="2" t="s">
        <v>434</v>
      </c>
      <c r="AD10" s="46" t="s">
        <v>66</v>
      </c>
      <c r="AE10" s="2" t="s">
        <v>435</v>
      </c>
      <c r="AF10" s="22"/>
      <c r="AG10" s="16" t="s">
        <v>436</v>
      </c>
      <c r="AH10" s="16" t="s">
        <v>437</v>
      </c>
      <c r="AI10" s="16" t="s">
        <v>438</v>
      </c>
      <c r="AJ10" s="3" t="s">
        <v>270</v>
      </c>
      <c r="AK10" s="2" t="s">
        <v>399</v>
      </c>
    </row>
    <row r="11" spans="1:37" ht="160.05000000000001" customHeight="1">
      <c r="A11" s="32" t="s">
        <v>439</v>
      </c>
      <c r="B11" s="32" t="s">
        <v>189</v>
      </c>
      <c r="C11" s="33" t="s">
        <v>440</v>
      </c>
      <c r="D11" s="33" t="s">
        <v>441</v>
      </c>
      <c r="E11" s="33" t="s">
        <v>442</v>
      </c>
      <c r="F11" s="33" t="s">
        <v>443</v>
      </c>
      <c r="G11" s="33" t="s">
        <v>444</v>
      </c>
      <c r="H11" s="34" t="s">
        <v>445</v>
      </c>
      <c r="I11" s="33" t="s">
        <v>446</v>
      </c>
      <c r="J11" s="35">
        <v>-41.441718000000002</v>
      </c>
      <c r="K11" s="35">
        <v>147.176717</v>
      </c>
      <c r="L11" s="33" t="s">
        <v>86</v>
      </c>
      <c r="M11" s="36">
        <v>84</v>
      </c>
      <c r="N11" s="33" t="s">
        <v>73</v>
      </c>
      <c r="O11" s="36">
        <v>44</v>
      </c>
      <c r="P11" s="33" t="s">
        <v>447</v>
      </c>
      <c r="Q11" s="50" t="s">
        <v>29</v>
      </c>
      <c r="R11" s="9" t="s">
        <v>61</v>
      </c>
      <c r="S11" s="33" t="s">
        <v>448</v>
      </c>
      <c r="T11" s="32" t="s">
        <v>449</v>
      </c>
      <c r="U11" s="33" t="s">
        <v>450</v>
      </c>
      <c r="V11" s="32" t="s">
        <v>451</v>
      </c>
      <c r="W11" s="33" t="s">
        <v>452</v>
      </c>
      <c r="X11" s="33" t="s">
        <v>41</v>
      </c>
      <c r="Y11" s="33" t="s">
        <v>453</v>
      </c>
      <c r="Z11" s="32" t="s">
        <v>56</v>
      </c>
      <c r="AA11" s="33" t="s">
        <v>454</v>
      </c>
      <c r="AB11" s="33" t="s">
        <v>455</v>
      </c>
      <c r="AC11" s="33" t="s">
        <v>456</v>
      </c>
      <c r="AD11" s="38" t="s">
        <v>66</v>
      </c>
      <c r="AE11" s="33" t="s">
        <v>457</v>
      </c>
      <c r="AF11" s="39" t="s">
        <v>458</v>
      </c>
      <c r="AG11" s="39" t="s">
        <v>459</v>
      </c>
      <c r="AH11" s="39" t="s">
        <v>460</v>
      </c>
      <c r="AI11" s="39" t="s">
        <v>461</v>
      </c>
      <c r="AJ11" s="40" t="s">
        <v>270</v>
      </c>
      <c r="AK11" s="33" t="s">
        <v>462</v>
      </c>
    </row>
    <row r="12" spans="1:37" ht="160.05000000000001" customHeight="1">
      <c r="A12" s="22" t="s">
        <v>463</v>
      </c>
      <c r="B12" s="22" t="s">
        <v>179</v>
      </c>
      <c r="C12" s="2" t="s">
        <v>464</v>
      </c>
      <c r="D12" s="2" t="s">
        <v>465</v>
      </c>
      <c r="E12" s="2" t="s">
        <v>466</v>
      </c>
      <c r="F12" s="2" t="s">
        <v>467</v>
      </c>
      <c r="G12" s="2" t="s">
        <v>468</v>
      </c>
      <c r="H12" s="41" t="s">
        <v>469</v>
      </c>
      <c r="I12" s="2" t="s">
        <v>470</v>
      </c>
      <c r="J12" s="42">
        <v>-37.708179999999999</v>
      </c>
      <c r="K12" s="42">
        <v>144.87189900000001</v>
      </c>
      <c r="L12" s="2" t="s">
        <v>88</v>
      </c>
      <c r="M12" s="43">
        <v>64</v>
      </c>
      <c r="N12" s="2" t="s">
        <v>73</v>
      </c>
      <c r="O12" s="22"/>
      <c r="P12" s="2" t="s">
        <v>471</v>
      </c>
      <c r="Q12" s="4" t="s">
        <v>29</v>
      </c>
      <c r="R12" s="2" t="s">
        <v>59</v>
      </c>
      <c r="S12" s="2"/>
      <c r="T12" s="22" t="s">
        <v>472</v>
      </c>
      <c r="U12" s="2" t="s">
        <v>473</v>
      </c>
      <c r="V12" s="22" t="s">
        <v>307</v>
      </c>
      <c r="W12" s="2" t="s">
        <v>474</v>
      </c>
      <c r="X12" s="2" t="s">
        <v>41</v>
      </c>
      <c r="Y12" s="2" t="s">
        <v>475</v>
      </c>
      <c r="Z12" s="22" t="s">
        <v>54</v>
      </c>
      <c r="AA12" s="2" t="s">
        <v>476</v>
      </c>
      <c r="AB12" s="2" t="s">
        <v>307</v>
      </c>
      <c r="AC12" s="2" t="s">
        <v>477</v>
      </c>
      <c r="AD12" s="46" t="s">
        <v>66</v>
      </c>
      <c r="AE12" s="2" t="s">
        <v>478</v>
      </c>
      <c r="AF12" s="16" t="s">
        <v>312</v>
      </c>
      <c r="AG12" s="16" t="s">
        <v>479</v>
      </c>
      <c r="AH12" s="16" t="s">
        <v>480</v>
      </c>
      <c r="AI12" s="16" t="s">
        <v>481</v>
      </c>
      <c r="AJ12" s="3" t="s">
        <v>270</v>
      </c>
      <c r="AK12" s="2" t="s">
        <v>271</v>
      </c>
    </row>
    <row r="13" spans="1:37" ht="160.05000000000001" customHeight="1">
      <c r="A13" s="22" t="s">
        <v>482</v>
      </c>
      <c r="B13" s="22" t="s">
        <v>177</v>
      </c>
      <c r="C13" s="2" t="s">
        <v>483</v>
      </c>
      <c r="D13" s="2" t="s">
        <v>484</v>
      </c>
      <c r="E13" s="2" t="s">
        <v>485</v>
      </c>
      <c r="F13" s="2" t="s">
        <v>486</v>
      </c>
      <c r="G13" s="2" t="s">
        <v>487</v>
      </c>
      <c r="H13" s="41" t="s">
        <v>488</v>
      </c>
      <c r="I13" s="2" t="s">
        <v>489</v>
      </c>
      <c r="J13" s="42">
        <v>-33.732526999999997</v>
      </c>
      <c r="K13" s="42">
        <v>150.96802199999999</v>
      </c>
      <c r="L13" s="2" t="s">
        <v>86</v>
      </c>
      <c r="M13" s="43">
        <v>15</v>
      </c>
      <c r="N13" s="2" t="s">
        <v>81</v>
      </c>
      <c r="O13" s="43">
        <v>15</v>
      </c>
      <c r="P13" s="2" t="s">
        <v>490</v>
      </c>
      <c r="Q13" s="4" t="s">
        <v>29</v>
      </c>
      <c r="R13" s="2" t="s">
        <v>59</v>
      </c>
      <c r="S13" s="2"/>
      <c r="T13" s="22" t="s">
        <v>491</v>
      </c>
      <c r="U13" s="2" t="s">
        <v>492</v>
      </c>
      <c r="V13" s="22" t="s">
        <v>493</v>
      </c>
      <c r="W13" s="2" t="s">
        <v>494</v>
      </c>
      <c r="X13" s="2" t="s">
        <v>41</v>
      </c>
      <c r="Y13" s="2" t="s">
        <v>495</v>
      </c>
      <c r="Z13" s="22" t="s">
        <v>52</v>
      </c>
      <c r="AA13" s="2" t="s">
        <v>496</v>
      </c>
      <c r="AB13" s="2" t="s">
        <v>497</v>
      </c>
      <c r="AC13" s="2" t="s">
        <v>498</v>
      </c>
      <c r="AD13" s="46" t="s">
        <v>66</v>
      </c>
      <c r="AE13" s="2" t="s">
        <v>499</v>
      </c>
      <c r="AF13" s="16" t="s">
        <v>500</v>
      </c>
      <c r="AG13" s="16" t="s">
        <v>501</v>
      </c>
      <c r="AH13" s="16" t="s">
        <v>502</v>
      </c>
      <c r="AI13" s="16" t="s">
        <v>503</v>
      </c>
      <c r="AJ13" s="3" t="s">
        <v>270</v>
      </c>
      <c r="AK13" s="2" t="s">
        <v>504</v>
      </c>
    </row>
    <row r="14" spans="1:37" ht="160.05000000000001" customHeight="1">
      <c r="A14" s="22" t="s">
        <v>505</v>
      </c>
      <c r="B14" s="22" t="s">
        <v>177</v>
      </c>
      <c r="C14" s="2" t="s">
        <v>506</v>
      </c>
      <c r="D14" s="2" t="s">
        <v>507</v>
      </c>
      <c r="E14" s="2" t="s">
        <v>508</v>
      </c>
      <c r="F14" s="2" t="s">
        <v>509</v>
      </c>
      <c r="G14" s="2" t="s">
        <v>510</v>
      </c>
      <c r="H14" s="41" t="s">
        <v>511</v>
      </c>
      <c r="I14" s="2" t="s">
        <v>512</v>
      </c>
      <c r="J14" s="42">
        <v>-33.722607000000004</v>
      </c>
      <c r="K14" s="42">
        <v>150.83632800000001</v>
      </c>
      <c r="L14" s="2" t="s">
        <v>86</v>
      </c>
      <c r="M14" s="43">
        <v>504</v>
      </c>
      <c r="N14" s="2" t="s">
        <v>79</v>
      </c>
      <c r="O14" s="22"/>
      <c r="P14" s="2" t="s">
        <v>513</v>
      </c>
      <c r="Q14" s="4" t="s">
        <v>29</v>
      </c>
      <c r="R14" s="2" t="s">
        <v>59</v>
      </c>
      <c r="S14" s="2"/>
      <c r="T14" s="22" t="s">
        <v>514</v>
      </c>
      <c r="U14" s="2" t="s">
        <v>515</v>
      </c>
      <c r="V14" s="22" t="s">
        <v>516</v>
      </c>
      <c r="W14" s="2" t="s">
        <v>517</v>
      </c>
      <c r="X14" s="2" t="s">
        <v>43</v>
      </c>
      <c r="Y14" s="2" t="s">
        <v>518</v>
      </c>
      <c r="Z14" s="22" t="s">
        <v>54</v>
      </c>
      <c r="AA14" s="2" t="s">
        <v>519</v>
      </c>
      <c r="AB14" s="2" t="s">
        <v>520</v>
      </c>
      <c r="AC14" s="2" t="s">
        <v>521</v>
      </c>
      <c r="AD14" s="44" t="s">
        <v>64</v>
      </c>
      <c r="AE14" s="2" t="s">
        <v>522</v>
      </c>
      <c r="AF14" s="16" t="s">
        <v>523</v>
      </c>
      <c r="AG14" s="16" t="s">
        <v>524</v>
      </c>
      <c r="AH14" s="16" t="s">
        <v>525</v>
      </c>
      <c r="AI14" s="16" t="s">
        <v>526</v>
      </c>
      <c r="AJ14" s="3" t="s">
        <v>270</v>
      </c>
      <c r="AK14" s="2" t="s">
        <v>527</v>
      </c>
    </row>
    <row r="15" spans="1:37" ht="160.05000000000001" customHeight="1">
      <c r="A15" s="22" t="s">
        <v>528</v>
      </c>
      <c r="B15" s="22" t="s">
        <v>177</v>
      </c>
      <c r="C15" s="2" t="s">
        <v>529</v>
      </c>
      <c r="D15" s="2" t="s">
        <v>530</v>
      </c>
      <c r="E15" s="2" t="s">
        <v>531</v>
      </c>
      <c r="F15" s="2" t="s">
        <v>532</v>
      </c>
      <c r="G15" s="2" t="s">
        <v>533</v>
      </c>
      <c r="H15" s="41" t="s">
        <v>534</v>
      </c>
      <c r="I15" s="2" t="s">
        <v>535</v>
      </c>
      <c r="J15" s="42">
        <v>-33.827840000000002</v>
      </c>
      <c r="K15" s="42">
        <v>150.82456999999999</v>
      </c>
      <c r="L15" s="2" t="s">
        <v>86</v>
      </c>
      <c r="M15" s="43">
        <v>365</v>
      </c>
      <c r="N15" s="2" t="s">
        <v>71</v>
      </c>
      <c r="O15" s="43">
        <v>250</v>
      </c>
      <c r="P15" s="2" t="s">
        <v>536</v>
      </c>
      <c r="Q15" s="4" t="s">
        <v>29</v>
      </c>
      <c r="R15" s="2" t="s">
        <v>59</v>
      </c>
      <c r="S15" s="2"/>
      <c r="T15" s="22" t="s">
        <v>537</v>
      </c>
      <c r="U15" s="2" t="s">
        <v>538</v>
      </c>
      <c r="V15" s="22" t="s">
        <v>539</v>
      </c>
      <c r="W15" s="2" t="s">
        <v>540</v>
      </c>
      <c r="X15" s="2" t="s">
        <v>43</v>
      </c>
      <c r="Y15" s="2" t="s">
        <v>541</v>
      </c>
      <c r="Z15" s="22" t="s">
        <v>52</v>
      </c>
      <c r="AA15" s="2" t="s">
        <v>542</v>
      </c>
      <c r="AB15" s="2" t="s">
        <v>543</v>
      </c>
      <c r="AC15" s="2" t="s">
        <v>544</v>
      </c>
      <c r="AD15" s="44" t="s">
        <v>64</v>
      </c>
      <c r="AE15" s="2" t="s">
        <v>545</v>
      </c>
      <c r="AF15" s="16" t="s">
        <v>546</v>
      </c>
      <c r="AG15" s="22"/>
      <c r="AH15" s="22"/>
      <c r="AI15" s="16" t="s">
        <v>546</v>
      </c>
      <c r="AJ15" s="3" t="s">
        <v>270</v>
      </c>
      <c r="AK15" s="2" t="s">
        <v>294</v>
      </c>
    </row>
    <row r="16" spans="1:37" ht="160.05000000000001" customHeight="1">
      <c r="A16" s="22" t="s">
        <v>547</v>
      </c>
      <c r="B16" s="22" t="s">
        <v>179</v>
      </c>
      <c r="C16" s="2" t="s">
        <v>548</v>
      </c>
      <c r="D16" s="2" t="s">
        <v>549</v>
      </c>
      <c r="E16" s="2" t="s">
        <v>550</v>
      </c>
      <c r="F16" s="2" t="s">
        <v>551</v>
      </c>
      <c r="G16" s="2" t="s">
        <v>468</v>
      </c>
      <c r="H16" s="41" t="s">
        <v>469</v>
      </c>
      <c r="I16" s="2" t="s">
        <v>552</v>
      </c>
      <c r="J16" s="42">
        <v>-37.706812999999997</v>
      </c>
      <c r="K16" s="42">
        <v>144.86180899999999</v>
      </c>
      <c r="L16" s="2" t="s">
        <v>88</v>
      </c>
      <c r="M16" s="43">
        <v>354</v>
      </c>
      <c r="N16" s="2" t="s">
        <v>81</v>
      </c>
      <c r="O16" s="22"/>
      <c r="P16" s="2" t="s">
        <v>553</v>
      </c>
      <c r="Q16" s="5" t="s">
        <v>31</v>
      </c>
      <c r="R16" s="2" t="s">
        <v>59</v>
      </c>
      <c r="S16" s="2"/>
      <c r="T16" s="22" t="s">
        <v>554</v>
      </c>
      <c r="U16" s="2" t="s">
        <v>555</v>
      </c>
      <c r="V16" s="22" t="s">
        <v>556</v>
      </c>
      <c r="W16" s="2" t="s">
        <v>557</v>
      </c>
      <c r="X16" s="2" t="s">
        <v>43</v>
      </c>
      <c r="Y16" s="2" t="s">
        <v>558</v>
      </c>
      <c r="Z16" s="22" t="s">
        <v>54</v>
      </c>
      <c r="AA16" s="2" t="s">
        <v>559</v>
      </c>
      <c r="AB16" s="2" t="s">
        <v>307</v>
      </c>
      <c r="AC16" s="2" t="s">
        <v>560</v>
      </c>
      <c r="AD16" s="44" t="s">
        <v>64</v>
      </c>
      <c r="AE16" s="2" t="s">
        <v>561</v>
      </c>
      <c r="AF16" s="16" t="s">
        <v>562</v>
      </c>
      <c r="AG16" s="16" t="s">
        <v>563</v>
      </c>
      <c r="AH16" s="16" t="s">
        <v>564</v>
      </c>
      <c r="AI16" s="16" t="s">
        <v>565</v>
      </c>
      <c r="AJ16" s="3" t="s">
        <v>270</v>
      </c>
      <c r="AK16" s="2" t="s">
        <v>271</v>
      </c>
    </row>
    <row r="17" spans="1:37" ht="160.05000000000001" customHeight="1">
      <c r="A17" s="22" t="s">
        <v>566</v>
      </c>
      <c r="B17" s="22" t="s">
        <v>177</v>
      </c>
      <c r="C17" s="2" t="s">
        <v>567</v>
      </c>
      <c r="D17" s="2" t="s">
        <v>568</v>
      </c>
      <c r="E17" s="2" t="s">
        <v>569</v>
      </c>
      <c r="F17" s="2" t="s">
        <v>570</v>
      </c>
      <c r="G17" s="2" t="s">
        <v>571</v>
      </c>
      <c r="H17" s="41" t="s">
        <v>572</v>
      </c>
      <c r="I17" s="2" t="s">
        <v>573</v>
      </c>
      <c r="J17" s="42">
        <v>-33.818440000000002</v>
      </c>
      <c r="K17" s="42">
        <v>151.19004000000001</v>
      </c>
      <c r="L17" s="2" t="s">
        <v>86</v>
      </c>
      <c r="M17" s="43">
        <v>80</v>
      </c>
      <c r="N17" s="2" t="s">
        <v>77</v>
      </c>
      <c r="O17" s="43">
        <v>12.2</v>
      </c>
      <c r="P17" s="2" t="s">
        <v>574</v>
      </c>
      <c r="Q17" s="4" t="s">
        <v>29</v>
      </c>
      <c r="R17" s="2" t="s">
        <v>59</v>
      </c>
      <c r="S17" s="2"/>
      <c r="T17" s="22" t="s">
        <v>575</v>
      </c>
      <c r="U17" s="2" t="s">
        <v>576</v>
      </c>
      <c r="V17" s="22" t="s">
        <v>577</v>
      </c>
      <c r="W17" s="2" t="s">
        <v>578</v>
      </c>
      <c r="X17" s="2" t="s">
        <v>45</v>
      </c>
      <c r="Y17" s="2" t="s">
        <v>579</v>
      </c>
      <c r="Z17" s="22" t="s">
        <v>54</v>
      </c>
      <c r="AA17" s="2" t="s">
        <v>580</v>
      </c>
      <c r="AB17" s="2" t="s">
        <v>287</v>
      </c>
      <c r="AC17" s="2" t="s">
        <v>581</v>
      </c>
      <c r="AD17" s="44" t="s">
        <v>64</v>
      </c>
      <c r="AE17" s="2" t="s">
        <v>582</v>
      </c>
      <c r="AF17" s="16" t="s">
        <v>583</v>
      </c>
      <c r="AG17" s="22"/>
      <c r="AH17" s="16" t="s">
        <v>584</v>
      </c>
      <c r="AI17" s="16" t="s">
        <v>583</v>
      </c>
      <c r="AJ17" s="3" t="s">
        <v>270</v>
      </c>
      <c r="AK17" s="2" t="s">
        <v>294</v>
      </c>
    </row>
    <row r="18" spans="1:37" ht="160.05000000000001" customHeight="1">
      <c r="A18" s="22" t="s">
        <v>585</v>
      </c>
      <c r="B18" s="22" t="s">
        <v>177</v>
      </c>
      <c r="C18" s="2" t="s">
        <v>586</v>
      </c>
      <c r="D18" s="2" t="s">
        <v>587</v>
      </c>
      <c r="E18" s="2" t="s">
        <v>588</v>
      </c>
      <c r="F18" s="2" t="s">
        <v>589</v>
      </c>
      <c r="G18" s="2" t="s">
        <v>590</v>
      </c>
      <c r="H18" s="41" t="s">
        <v>591</v>
      </c>
      <c r="I18" s="2" t="s">
        <v>512</v>
      </c>
      <c r="J18" s="42">
        <v>-33.804960000000001</v>
      </c>
      <c r="K18" s="42">
        <v>150.88606999999999</v>
      </c>
      <c r="L18" s="2" t="s">
        <v>86</v>
      </c>
      <c r="M18" s="43">
        <v>63</v>
      </c>
      <c r="N18" s="2" t="s">
        <v>79</v>
      </c>
      <c r="O18" s="22"/>
      <c r="P18" s="2" t="s">
        <v>592</v>
      </c>
      <c r="Q18" s="4" t="s">
        <v>29</v>
      </c>
      <c r="R18" s="2" t="s">
        <v>59</v>
      </c>
      <c r="S18" s="2"/>
      <c r="T18" s="22" t="s">
        <v>593</v>
      </c>
      <c r="U18" s="2" t="s">
        <v>594</v>
      </c>
      <c r="V18" s="22" t="s">
        <v>595</v>
      </c>
      <c r="W18" s="2" t="s">
        <v>596</v>
      </c>
      <c r="X18" s="2" t="s">
        <v>45</v>
      </c>
      <c r="Y18" s="2" t="s">
        <v>597</v>
      </c>
      <c r="Z18" s="22" t="s">
        <v>52</v>
      </c>
      <c r="AA18" s="2" t="s">
        <v>598</v>
      </c>
      <c r="AB18" s="2" t="s">
        <v>287</v>
      </c>
      <c r="AC18" s="2" t="s">
        <v>599</v>
      </c>
      <c r="AD18" s="44" t="s">
        <v>64</v>
      </c>
      <c r="AE18" s="2" t="s">
        <v>600</v>
      </c>
      <c r="AF18" s="16" t="s">
        <v>601</v>
      </c>
      <c r="AG18" s="16" t="s">
        <v>602</v>
      </c>
      <c r="AH18" s="16" t="s">
        <v>603</v>
      </c>
      <c r="AI18" s="16" t="s">
        <v>604</v>
      </c>
      <c r="AJ18" s="3" t="s">
        <v>270</v>
      </c>
      <c r="AK18" s="2" t="s">
        <v>605</v>
      </c>
    </row>
    <row r="19" spans="1:37" ht="160.05000000000001" customHeight="1">
      <c r="A19" s="22" t="s">
        <v>606</v>
      </c>
      <c r="B19" s="22" t="s">
        <v>179</v>
      </c>
      <c r="C19" s="2" t="s">
        <v>607</v>
      </c>
      <c r="D19" s="2" t="s">
        <v>608</v>
      </c>
      <c r="E19" s="2" t="s">
        <v>609</v>
      </c>
      <c r="F19" s="2" t="s">
        <v>610</v>
      </c>
      <c r="G19" s="2" t="s">
        <v>611</v>
      </c>
      <c r="H19" s="41" t="s">
        <v>612</v>
      </c>
      <c r="I19" s="2" t="s">
        <v>613</v>
      </c>
      <c r="J19" s="42">
        <v>-37.650911000000001</v>
      </c>
      <c r="K19" s="42">
        <v>145.08235500000001</v>
      </c>
      <c r="L19" s="2" t="s">
        <v>86</v>
      </c>
      <c r="M19" s="43">
        <v>120</v>
      </c>
      <c r="N19" s="2" t="s">
        <v>81</v>
      </c>
      <c r="O19" s="22"/>
      <c r="P19" s="2" t="s">
        <v>614</v>
      </c>
      <c r="Q19" s="5" t="s">
        <v>31</v>
      </c>
      <c r="R19" s="2" t="s">
        <v>59</v>
      </c>
      <c r="S19" s="2"/>
      <c r="T19" s="22" t="s">
        <v>615</v>
      </c>
      <c r="U19" s="2" t="s">
        <v>616</v>
      </c>
      <c r="V19" s="22" t="s">
        <v>617</v>
      </c>
      <c r="W19" s="2" t="s">
        <v>618</v>
      </c>
      <c r="X19" s="2" t="s">
        <v>45</v>
      </c>
      <c r="Y19" s="2" t="s">
        <v>619</v>
      </c>
      <c r="Z19" s="22" t="s">
        <v>54</v>
      </c>
      <c r="AA19" s="2" t="s">
        <v>620</v>
      </c>
      <c r="AB19" s="2" t="s">
        <v>307</v>
      </c>
      <c r="AC19" s="2" t="s">
        <v>621</v>
      </c>
      <c r="AD19" s="44" t="s">
        <v>64</v>
      </c>
      <c r="AE19" s="2" t="s">
        <v>622</v>
      </c>
      <c r="AF19" s="16" t="s">
        <v>623</v>
      </c>
      <c r="AG19" s="22"/>
      <c r="AH19" s="16" t="s">
        <v>624</v>
      </c>
      <c r="AI19" s="16" t="s">
        <v>625</v>
      </c>
      <c r="AJ19" s="3" t="s">
        <v>270</v>
      </c>
      <c r="AK19" s="2" t="s">
        <v>626</v>
      </c>
    </row>
    <row r="20" spans="1:37" ht="160.05000000000001" customHeight="1">
      <c r="A20" s="22" t="s">
        <v>627</v>
      </c>
      <c r="B20" s="22" t="s">
        <v>177</v>
      </c>
      <c r="C20" s="2" t="s">
        <v>628</v>
      </c>
      <c r="D20" s="2" t="s">
        <v>629</v>
      </c>
      <c r="E20" s="2" t="s">
        <v>630</v>
      </c>
      <c r="F20" s="2" t="s">
        <v>631</v>
      </c>
      <c r="G20" s="2" t="s">
        <v>632</v>
      </c>
      <c r="H20" s="41" t="s">
        <v>633</v>
      </c>
      <c r="I20" s="2" t="s">
        <v>512</v>
      </c>
      <c r="J20" s="42">
        <v>-33.786673</v>
      </c>
      <c r="K20" s="42">
        <v>150.82722200000001</v>
      </c>
      <c r="L20" s="2" t="s">
        <v>92</v>
      </c>
      <c r="M20" s="43">
        <v>62</v>
      </c>
      <c r="N20" s="2" t="s">
        <v>71</v>
      </c>
      <c r="O20" s="22"/>
      <c r="P20" s="2" t="s">
        <v>634</v>
      </c>
      <c r="Q20" s="5" t="s">
        <v>31</v>
      </c>
      <c r="R20" s="2" t="s">
        <v>59</v>
      </c>
      <c r="S20" s="2"/>
      <c r="T20" s="22" t="s">
        <v>635</v>
      </c>
      <c r="U20" s="2" t="s">
        <v>636</v>
      </c>
      <c r="V20" s="22" t="s">
        <v>637</v>
      </c>
      <c r="W20" s="2" t="s">
        <v>638</v>
      </c>
      <c r="X20" s="2" t="s">
        <v>45</v>
      </c>
      <c r="Y20" s="2" t="s">
        <v>639</v>
      </c>
      <c r="Z20" s="22" t="s">
        <v>52</v>
      </c>
      <c r="AA20" s="2" t="s">
        <v>640</v>
      </c>
      <c r="AB20" s="2" t="s">
        <v>641</v>
      </c>
      <c r="AC20" s="2" t="s">
        <v>642</v>
      </c>
      <c r="AD20" s="46" t="s">
        <v>66</v>
      </c>
      <c r="AE20" s="2" t="s">
        <v>643</v>
      </c>
      <c r="AF20" s="16" t="s">
        <v>644</v>
      </c>
      <c r="AG20" s="16" t="s">
        <v>645</v>
      </c>
      <c r="AH20" s="16" t="s">
        <v>646</v>
      </c>
      <c r="AI20" s="16" t="s">
        <v>647</v>
      </c>
      <c r="AJ20" s="3" t="s">
        <v>270</v>
      </c>
      <c r="AK20" s="2" t="s">
        <v>648</v>
      </c>
    </row>
    <row r="21" spans="1:37" ht="160.05000000000001" customHeight="1">
      <c r="A21" s="22" t="s">
        <v>649</v>
      </c>
      <c r="B21" s="22" t="s">
        <v>177</v>
      </c>
      <c r="C21" s="2" t="s">
        <v>650</v>
      </c>
      <c r="D21" s="2" t="s">
        <v>651</v>
      </c>
      <c r="E21" s="2" t="s">
        <v>652</v>
      </c>
      <c r="F21" s="2" t="s">
        <v>653</v>
      </c>
      <c r="G21" s="2" t="s">
        <v>277</v>
      </c>
      <c r="H21" s="41" t="s">
        <v>278</v>
      </c>
      <c r="I21" s="2" t="s">
        <v>279</v>
      </c>
      <c r="J21" s="42">
        <v>-33.779229999999998</v>
      </c>
      <c r="K21" s="42">
        <v>151.1249</v>
      </c>
      <c r="L21" s="2" t="s">
        <v>86</v>
      </c>
      <c r="M21" s="43">
        <v>51.4</v>
      </c>
      <c r="N21" s="2" t="s">
        <v>71</v>
      </c>
      <c r="O21" s="22"/>
      <c r="P21" s="2" t="s">
        <v>654</v>
      </c>
      <c r="Q21" s="5" t="s">
        <v>31</v>
      </c>
      <c r="R21" s="2" t="s">
        <v>59</v>
      </c>
      <c r="S21" s="2"/>
      <c r="T21" s="22" t="s">
        <v>655</v>
      </c>
      <c r="U21" s="2" t="s">
        <v>656</v>
      </c>
      <c r="V21" s="22" t="s">
        <v>657</v>
      </c>
      <c r="W21" s="2" t="s">
        <v>658</v>
      </c>
      <c r="X21" s="2" t="s">
        <v>45</v>
      </c>
      <c r="Y21" s="2" t="s">
        <v>659</v>
      </c>
      <c r="Z21" s="22" t="s">
        <v>54</v>
      </c>
      <c r="AA21" s="2" t="s">
        <v>660</v>
      </c>
      <c r="AB21" s="2" t="s">
        <v>287</v>
      </c>
      <c r="AC21" s="2" t="s">
        <v>661</v>
      </c>
      <c r="AD21" s="44" t="s">
        <v>64</v>
      </c>
      <c r="AE21" s="2" t="s">
        <v>662</v>
      </c>
      <c r="AF21" s="16" t="s">
        <v>663</v>
      </c>
      <c r="AG21" s="22"/>
      <c r="AH21" s="16" t="s">
        <v>664</v>
      </c>
      <c r="AI21" s="16" t="s">
        <v>665</v>
      </c>
      <c r="AJ21" s="3" t="s">
        <v>270</v>
      </c>
      <c r="AK21" s="2" t="s">
        <v>294</v>
      </c>
    </row>
    <row r="22" spans="1:37" ht="160.05000000000001" customHeight="1">
      <c r="A22" s="22" t="s">
        <v>666</v>
      </c>
      <c r="B22" s="22" t="s">
        <v>177</v>
      </c>
      <c r="C22" s="2" t="s">
        <v>667</v>
      </c>
      <c r="D22" s="2" t="s">
        <v>668</v>
      </c>
      <c r="E22" s="2" t="s">
        <v>669</v>
      </c>
      <c r="F22" s="2" t="s">
        <v>670</v>
      </c>
      <c r="G22" s="2" t="s">
        <v>671</v>
      </c>
      <c r="H22" s="41" t="s">
        <v>672</v>
      </c>
      <c r="I22" s="2" t="s">
        <v>673</v>
      </c>
      <c r="J22" s="42">
        <v>-33.875</v>
      </c>
      <c r="K22" s="42">
        <v>151.197</v>
      </c>
      <c r="L22" s="2" t="s">
        <v>86</v>
      </c>
      <c r="M22" s="43">
        <v>47.5</v>
      </c>
      <c r="N22" s="2" t="s">
        <v>79</v>
      </c>
      <c r="O22" s="43">
        <v>20</v>
      </c>
      <c r="P22" s="2" t="s">
        <v>674</v>
      </c>
      <c r="Q22" s="5" t="s">
        <v>31</v>
      </c>
      <c r="R22" s="2" t="s">
        <v>59</v>
      </c>
      <c r="S22" s="2"/>
      <c r="T22" s="22" t="s">
        <v>449</v>
      </c>
      <c r="U22" s="2" t="s">
        <v>675</v>
      </c>
      <c r="V22" s="22" t="s">
        <v>676</v>
      </c>
      <c r="W22" s="2" t="s">
        <v>677</v>
      </c>
      <c r="X22" s="2" t="s">
        <v>45</v>
      </c>
      <c r="Y22" s="2" t="s">
        <v>678</v>
      </c>
      <c r="Z22" s="22" t="s">
        <v>54</v>
      </c>
      <c r="AA22" s="2" t="s">
        <v>679</v>
      </c>
      <c r="AB22" s="2" t="s">
        <v>680</v>
      </c>
      <c r="AC22" s="2" t="s">
        <v>681</v>
      </c>
      <c r="AD22" s="44" t="s">
        <v>64</v>
      </c>
      <c r="AE22" s="2" t="s">
        <v>682</v>
      </c>
      <c r="AF22" s="16" t="s">
        <v>683</v>
      </c>
      <c r="AG22" s="22"/>
      <c r="AH22" s="16" t="s">
        <v>684</v>
      </c>
      <c r="AI22" s="16" t="s">
        <v>685</v>
      </c>
      <c r="AJ22" s="3" t="s">
        <v>270</v>
      </c>
      <c r="AK22" s="2" t="s">
        <v>294</v>
      </c>
    </row>
    <row r="23" spans="1:37" ht="160.05000000000001" customHeight="1">
      <c r="A23" s="32" t="s">
        <v>686</v>
      </c>
      <c r="B23" s="32" t="s">
        <v>185</v>
      </c>
      <c r="C23" s="33" t="s">
        <v>687</v>
      </c>
      <c r="D23" s="33" t="s">
        <v>688</v>
      </c>
      <c r="E23" s="33" t="s">
        <v>689</v>
      </c>
      <c r="F23" s="33" t="s">
        <v>690</v>
      </c>
      <c r="G23" s="33" t="s">
        <v>691</v>
      </c>
      <c r="H23" s="34" t="s">
        <v>692</v>
      </c>
      <c r="I23" s="33" t="s">
        <v>693</v>
      </c>
      <c r="J23" s="35">
        <v>-34.740409</v>
      </c>
      <c r="K23" s="35">
        <v>138.644023</v>
      </c>
      <c r="L23" s="33" t="s">
        <v>86</v>
      </c>
      <c r="M23" s="36">
        <v>15</v>
      </c>
      <c r="N23" s="33" t="s">
        <v>71</v>
      </c>
      <c r="O23" s="32"/>
      <c r="P23" s="33" t="s">
        <v>694</v>
      </c>
      <c r="Q23" s="45" t="s">
        <v>35</v>
      </c>
      <c r="R23" s="9" t="s">
        <v>61</v>
      </c>
      <c r="S23" s="33" t="s">
        <v>695</v>
      </c>
      <c r="T23" s="32" t="s">
        <v>696</v>
      </c>
      <c r="U23" s="33" t="s">
        <v>697</v>
      </c>
      <c r="V23" s="32" t="s">
        <v>698</v>
      </c>
      <c r="W23" s="33" t="s">
        <v>699</v>
      </c>
      <c r="X23" s="33" t="s">
        <v>45</v>
      </c>
      <c r="Y23" s="33" t="s">
        <v>700</v>
      </c>
      <c r="Z23" s="32" t="s">
        <v>52</v>
      </c>
      <c r="AA23" s="33" t="s">
        <v>701</v>
      </c>
      <c r="AB23" s="33" t="s">
        <v>702</v>
      </c>
      <c r="AC23" s="33"/>
      <c r="AD23" s="38" t="s">
        <v>66</v>
      </c>
      <c r="AE23" s="33" t="s">
        <v>703</v>
      </c>
      <c r="AF23" s="39" t="s">
        <v>704</v>
      </c>
      <c r="AG23" s="39" t="s">
        <v>705</v>
      </c>
      <c r="AH23" s="39" t="s">
        <v>706</v>
      </c>
      <c r="AI23" s="39" t="s">
        <v>707</v>
      </c>
      <c r="AJ23" s="40" t="s">
        <v>270</v>
      </c>
      <c r="AK23" s="33" t="s">
        <v>708</v>
      </c>
    </row>
    <row r="24" spans="1:37" ht="160.05000000000001" customHeight="1">
      <c r="A24" s="32" t="s">
        <v>709</v>
      </c>
      <c r="B24" s="32" t="s">
        <v>191</v>
      </c>
      <c r="C24" s="33" t="s">
        <v>710</v>
      </c>
      <c r="D24" s="33" t="s">
        <v>711</v>
      </c>
      <c r="E24" s="33" t="s">
        <v>712</v>
      </c>
      <c r="F24" s="33" t="s">
        <v>713</v>
      </c>
      <c r="G24" s="33" t="s">
        <v>714</v>
      </c>
      <c r="H24" s="34" t="s">
        <v>715</v>
      </c>
      <c r="I24" s="33" t="s">
        <v>716</v>
      </c>
      <c r="J24" s="35">
        <v>-17.561216999999999</v>
      </c>
      <c r="K24" s="35">
        <v>133.557187</v>
      </c>
      <c r="L24" s="33" t="s">
        <v>90</v>
      </c>
      <c r="M24" s="36">
        <v>1000</v>
      </c>
      <c r="N24" s="33" t="s">
        <v>71</v>
      </c>
      <c r="O24" s="36">
        <v>500</v>
      </c>
      <c r="P24" s="33" t="s">
        <v>717</v>
      </c>
      <c r="Q24" s="51" t="s">
        <v>37</v>
      </c>
      <c r="R24" s="9" t="s">
        <v>61</v>
      </c>
      <c r="S24" s="33" t="s">
        <v>718</v>
      </c>
      <c r="T24" s="32" t="s">
        <v>719</v>
      </c>
      <c r="U24" s="33" t="s">
        <v>720</v>
      </c>
      <c r="V24" s="32" t="s">
        <v>721</v>
      </c>
      <c r="W24" s="33" t="s">
        <v>722</v>
      </c>
      <c r="X24" s="33" t="s">
        <v>45</v>
      </c>
      <c r="Y24" s="33" t="s">
        <v>723</v>
      </c>
      <c r="Z24" s="32" t="s">
        <v>54</v>
      </c>
      <c r="AA24" s="33" t="s">
        <v>724</v>
      </c>
      <c r="AB24" s="33" t="s">
        <v>725</v>
      </c>
      <c r="AC24" s="33" t="s">
        <v>726</v>
      </c>
      <c r="AD24" s="52" t="s">
        <v>64</v>
      </c>
      <c r="AE24" s="33" t="s">
        <v>727</v>
      </c>
      <c r="AF24" s="39" t="s">
        <v>728</v>
      </c>
      <c r="AG24" s="39" t="s">
        <v>729</v>
      </c>
      <c r="AH24" s="39" t="s">
        <v>730</v>
      </c>
      <c r="AI24" s="39" t="s">
        <v>731</v>
      </c>
      <c r="AJ24" s="40" t="s">
        <v>270</v>
      </c>
      <c r="AK24" s="33" t="s">
        <v>732</v>
      </c>
    </row>
    <row r="25" spans="1:37" ht="160.05000000000001" customHeight="1">
      <c r="A25" s="32" t="s">
        <v>733</v>
      </c>
      <c r="B25" s="32" t="s">
        <v>185</v>
      </c>
      <c r="C25" s="33" t="s">
        <v>734</v>
      </c>
      <c r="D25" s="33" t="s">
        <v>735</v>
      </c>
      <c r="E25" s="33" t="s">
        <v>736</v>
      </c>
      <c r="F25" s="33" t="s">
        <v>737</v>
      </c>
      <c r="G25" s="33" t="s">
        <v>738</v>
      </c>
      <c r="H25" s="34" t="s">
        <v>739</v>
      </c>
      <c r="I25" s="33" t="s">
        <v>740</v>
      </c>
      <c r="J25" s="35">
        <v>-33.894036999999997</v>
      </c>
      <c r="K25" s="35">
        <v>139.23304400000001</v>
      </c>
      <c r="L25" s="33" t="s">
        <v>90</v>
      </c>
      <c r="M25" s="36">
        <v>800</v>
      </c>
      <c r="N25" s="33" t="s">
        <v>79</v>
      </c>
      <c r="O25" s="32"/>
      <c r="P25" s="33" t="s">
        <v>741</v>
      </c>
      <c r="Q25" s="51" t="s">
        <v>37</v>
      </c>
      <c r="R25" s="9" t="s">
        <v>61</v>
      </c>
      <c r="S25" s="33" t="s">
        <v>742</v>
      </c>
      <c r="T25" s="32" t="s">
        <v>743</v>
      </c>
      <c r="U25" s="33" t="s">
        <v>744</v>
      </c>
      <c r="V25" s="32" t="s">
        <v>745</v>
      </c>
      <c r="W25" s="33" t="s">
        <v>746</v>
      </c>
      <c r="X25" s="33" t="s">
        <v>45</v>
      </c>
      <c r="Y25" s="33" t="s">
        <v>747</v>
      </c>
      <c r="Z25" s="32" t="s">
        <v>56</v>
      </c>
      <c r="AA25" s="33" t="s">
        <v>748</v>
      </c>
      <c r="AB25" s="33" t="s">
        <v>749</v>
      </c>
      <c r="AC25" s="33" t="s">
        <v>750</v>
      </c>
      <c r="AD25" s="52" t="s">
        <v>64</v>
      </c>
      <c r="AE25" s="33" t="s">
        <v>751</v>
      </c>
      <c r="AF25" s="39" t="s">
        <v>752</v>
      </c>
      <c r="AG25" s="39" t="s">
        <v>753</v>
      </c>
      <c r="AH25" s="39" t="s">
        <v>754</v>
      </c>
      <c r="AI25" s="39" t="s">
        <v>755</v>
      </c>
      <c r="AJ25" s="40" t="s">
        <v>270</v>
      </c>
      <c r="AK25" s="33" t="s">
        <v>756</v>
      </c>
    </row>
    <row r="26" spans="1:37" ht="160.05000000000001" customHeight="1">
      <c r="A26" s="22" t="s">
        <v>757</v>
      </c>
      <c r="B26" s="22" t="s">
        <v>179</v>
      </c>
      <c r="C26" s="2" t="s">
        <v>758</v>
      </c>
      <c r="D26" s="2" t="s">
        <v>759</v>
      </c>
      <c r="E26" s="2" t="s">
        <v>760</v>
      </c>
      <c r="F26" s="2" t="s">
        <v>761</v>
      </c>
      <c r="G26" s="2" t="s">
        <v>611</v>
      </c>
      <c r="H26" s="41" t="s">
        <v>612</v>
      </c>
      <c r="I26" s="2" t="s">
        <v>613</v>
      </c>
      <c r="J26" s="42">
        <v>-37.643497000000004</v>
      </c>
      <c r="K26" s="42">
        <v>145.08129700000001</v>
      </c>
      <c r="L26" s="2" t="s">
        <v>86</v>
      </c>
      <c r="M26" s="43">
        <v>200</v>
      </c>
      <c r="N26" s="2" t="s">
        <v>81</v>
      </c>
      <c r="O26" s="22"/>
      <c r="P26" s="2" t="s">
        <v>762</v>
      </c>
      <c r="Q26" s="8" t="s">
        <v>37</v>
      </c>
      <c r="R26" s="2" t="s">
        <v>59</v>
      </c>
      <c r="S26" s="2"/>
      <c r="T26" s="22" t="s">
        <v>763</v>
      </c>
      <c r="U26" s="2" t="s">
        <v>764</v>
      </c>
      <c r="V26" s="22" t="s">
        <v>765</v>
      </c>
      <c r="W26" s="2" t="s">
        <v>766</v>
      </c>
      <c r="X26" s="2" t="s">
        <v>45</v>
      </c>
      <c r="Y26" s="2" t="s">
        <v>767</v>
      </c>
      <c r="Z26" s="22" t="s">
        <v>54</v>
      </c>
      <c r="AA26" s="2" t="s">
        <v>768</v>
      </c>
      <c r="AB26" s="2" t="s">
        <v>307</v>
      </c>
      <c r="AC26" s="2" t="s">
        <v>769</v>
      </c>
      <c r="AD26" s="44" t="s">
        <v>64</v>
      </c>
      <c r="AE26" s="2" t="s">
        <v>770</v>
      </c>
      <c r="AF26" s="16" t="s">
        <v>771</v>
      </c>
      <c r="AG26" s="22"/>
      <c r="AH26" s="16" t="s">
        <v>772</v>
      </c>
      <c r="AI26" s="16" t="s">
        <v>773</v>
      </c>
      <c r="AJ26" s="3" t="s">
        <v>270</v>
      </c>
      <c r="AK26" s="2" t="s">
        <v>774</v>
      </c>
    </row>
    <row r="27" spans="1:37" ht="160.05000000000001" customHeight="1">
      <c r="A27" s="22" t="s">
        <v>775</v>
      </c>
      <c r="B27" s="22" t="s">
        <v>183</v>
      </c>
      <c r="C27" s="2" t="s">
        <v>776</v>
      </c>
      <c r="D27" s="2" t="s">
        <v>402</v>
      </c>
      <c r="E27" s="2" t="s">
        <v>777</v>
      </c>
      <c r="F27" s="2" t="s">
        <v>778</v>
      </c>
      <c r="G27" s="2" t="s">
        <v>779</v>
      </c>
      <c r="H27" s="41" t="s">
        <v>780</v>
      </c>
      <c r="I27" s="2" t="s">
        <v>781</v>
      </c>
      <c r="J27" s="42">
        <v>-31.901389000000002</v>
      </c>
      <c r="K27" s="42">
        <v>115.993605</v>
      </c>
      <c r="L27" s="2" t="s">
        <v>90</v>
      </c>
      <c r="M27" s="43">
        <v>192</v>
      </c>
      <c r="N27" s="2" t="s">
        <v>81</v>
      </c>
      <c r="O27" s="22"/>
      <c r="P27" s="2" t="s">
        <v>782</v>
      </c>
      <c r="Q27" s="8" t="s">
        <v>37</v>
      </c>
      <c r="R27" s="2" t="s">
        <v>59</v>
      </c>
      <c r="S27" s="2"/>
      <c r="T27" s="22" t="s">
        <v>783</v>
      </c>
      <c r="U27" s="2" t="s">
        <v>784</v>
      </c>
      <c r="V27" s="22" t="s">
        <v>785</v>
      </c>
      <c r="W27" s="2" t="s">
        <v>786</v>
      </c>
      <c r="X27" s="2" t="s">
        <v>45</v>
      </c>
      <c r="Y27" s="2" t="s">
        <v>787</v>
      </c>
      <c r="Z27" s="22" t="s">
        <v>54</v>
      </c>
      <c r="AA27" s="2" t="s">
        <v>788</v>
      </c>
      <c r="AB27" s="2" t="s">
        <v>789</v>
      </c>
      <c r="AC27" s="2" t="s">
        <v>790</v>
      </c>
      <c r="AD27" s="46" t="s">
        <v>66</v>
      </c>
      <c r="AE27" s="2" t="s">
        <v>791</v>
      </c>
      <c r="AF27" s="16" t="s">
        <v>792</v>
      </c>
      <c r="AG27" s="16" t="s">
        <v>793</v>
      </c>
      <c r="AH27" s="16" t="s">
        <v>794</v>
      </c>
      <c r="AI27" s="16" t="s">
        <v>795</v>
      </c>
      <c r="AJ27" s="3" t="s">
        <v>270</v>
      </c>
      <c r="AK27" s="2" t="s">
        <v>422</v>
      </c>
    </row>
    <row r="28" spans="1:37" ht="160.05000000000001" customHeight="1">
      <c r="A28" s="22" t="s">
        <v>796</v>
      </c>
      <c r="B28" s="22" t="s">
        <v>177</v>
      </c>
      <c r="C28" s="2" t="s">
        <v>797</v>
      </c>
      <c r="D28" s="2" t="s">
        <v>798</v>
      </c>
      <c r="E28" s="2" t="s">
        <v>799</v>
      </c>
      <c r="F28" s="2" t="s">
        <v>800</v>
      </c>
      <c r="G28" s="2" t="s">
        <v>444</v>
      </c>
      <c r="H28" s="41" t="s">
        <v>801</v>
      </c>
      <c r="I28" s="2" t="s">
        <v>573</v>
      </c>
      <c r="J28" s="42">
        <v>-33.819090000000003</v>
      </c>
      <c r="K28" s="42">
        <v>151.18958000000001</v>
      </c>
      <c r="L28" s="2" t="s">
        <v>86</v>
      </c>
      <c r="M28" s="43">
        <v>81</v>
      </c>
      <c r="N28" s="2" t="s">
        <v>71</v>
      </c>
      <c r="O28" s="22"/>
      <c r="P28" s="2" t="s">
        <v>802</v>
      </c>
      <c r="Q28" s="8" t="s">
        <v>37</v>
      </c>
      <c r="R28" s="2" t="s">
        <v>59</v>
      </c>
      <c r="S28" s="2"/>
      <c r="T28" s="22" t="s">
        <v>803</v>
      </c>
      <c r="U28" s="2" t="s">
        <v>804</v>
      </c>
      <c r="V28" s="22" t="s">
        <v>805</v>
      </c>
      <c r="W28" s="2" t="s">
        <v>806</v>
      </c>
      <c r="X28" s="2" t="s">
        <v>45</v>
      </c>
      <c r="Y28" s="2" t="s">
        <v>807</v>
      </c>
      <c r="Z28" s="22" t="s">
        <v>54</v>
      </c>
      <c r="AA28" s="2" t="s">
        <v>808</v>
      </c>
      <c r="AB28" s="2" t="s">
        <v>809</v>
      </c>
      <c r="AC28" s="2" t="s">
        <v>810</v>
      </c>
      <c r="AD28" s="44" t="s">
        <v>64</v>
      </c>
      <c r="AE28" s="2" t="s">
        <v>811</v>
      </c>
      <c r="AF28" s="16" t="s">
        <v>812</v>
      </c>
      <c r="AG28" s="22"/>
      <c r="AH28" s="16" t="s">
        <v>813</v>
      </c>
      <c r="AI28" s="16" t="s">
        <v>814</v>
      </c>
      <c r="AJ28" s="3" t="s">
        <v>270</v>
      </c>
      <c r="AK28" s="2" t="s">
        <v>605</v>
      </c>
    </row>
    <row r="29" spans="1:37" ht="160.05000000000001" customHeight="1">
      <c r="A29" s="22" t="s">
        <v>815</v>
      </c>
      <c r="B29" s="22" t="s">
        <v>179</v>
      </c>
      <c r="C29" s="2" t="s">
        <v>816</v>
      </c>
      <c r="D29" s="2" t="s">
        <v>817</v>
      </c>
      <c r="E29" s="2" t="s">
        <v>818</v>
      </c>
      <c r="F29" s="2" t="s">
        <v>819</v>
      </c>
      <c r="G29" s="2" t="s">
        <v>383</v>
      </c>
      <c r="H29" s="41" t="s">
        <v>384</v>
      </c>
      <c r="I29" s="2" t="s">
        <v>820</v>
      </c>
      <c r="J29" s="42">
        <v>-37.771667000000001</v>
      </c>
      <c r="K29" s="42">
        <v>144.67551800000001</v>
      </c>
      <c r="L29" s="2" t="s">
        <v>86</v>
      </c>
      <c r="M29" s="48" t="s">
        <v>307</v>
      </c>
      <c r="N29" s="2" t="s">
        <v>77</v>
      </c>
      <c r="O29" s="22"/>
      <c r="P29" s="2" t="s">
        <v>821</v>
      </c>
      <c r="Q29" s="8" t="s">
        <v>37</v>
      </c>
      <c r="R29" s="2" t="s">
        <v>59</v>
      </c>
      <c r="S29" s="2"/>
      <c r="T29" s="22" t="s">
        <v>822</v>
      </c>
      <c r="U29" s="2" t="s">
        <v>823</v>
      </c>
      <c r="V29" s="22" t="s">
        <v>824</v>
      </c>
      <c r="W29" s="2" t="s">
        <v>825</v>
      </c>
      <c r="X29" s="2" t="s">
        <v>45</v>
      </c>
      <c r="Y29" s="2" t="s">
        <v>826</v>
      </c>
      <c r="Z29" s="22" t="s">
        <v>54</v>
      </c>
      <c r="AA29" s="2" t="s">
        <v>827</v>
      </c>
      <c r="AB29" s="2" t="s">
        <v>307</v>
      </c>
      <c r="AC29" s="2" t="s">
        <v>828</v>
      </c>
      <c r="AD29" s="46" t="s">
        <v>66</v>
      </c>
      <c r="AE29" s="2" t="s">
        <v>829</v>
      </c>
      <c r="AF29" s="16" t="s">
        <v>830</v>
      </c>
      <c r="AG29" s="16" t="s">
        <v>831</v>
      </c>
      <c r="AH29" s="16" t="s">
        <v>832</v>
      </c>
      <c r="AI29" s="16" t="s">
        <v>833</v>
      </c>
      <c r="AJ29" s="3" t="s">
        <v>270</v>
      </c>
      <c r="AK29" s="2" t="s">
        <v>774</v>
      </c>
    </row>
    <row r="30" spans="1:37" ht="160.05000000000001" customHeight="1">
      <c r="A30" s="22" t="s">
        <v>834</v>
      </c>
      <c r="B30" s="22" t="s">
        <v>177</v>
      </c>
      <c r="C30" s="2" t="s">
        <v>835</v>
      </c>
      <c r="D30" s="2" t="s">
        <v>836</v>
      </c>
      <c r="E30" s="2" t="s">
        <v>837</v>
      </c>
      <c r="F30" s="2" t="s">
        <v>838</v>
      </c>
      <c r="G30" s="2" t="s">
        <v>839</v>
      </c>
      <c r="H30" s="41" t="s">
        <v>840</v>
      </c>
      <c r="I30" s="2" t="s">
        <v>512</v>
      </c>
      <c r="J30" s="42">
        <v>-33.798630000000003</v>
      </c>
      <c r="K30" s="42">
        <v>150.876</v>
      </c>
      <c r="L30" s="2" t="s">
        <v>86</v>
      </c>
      <c r="M30" s="43">
        <v>400</v>
      </c>
      <c r="N30" s="2" t="s">
        <v>79</v>
      </c>
      <c r="O30" s="22"/>
      <c r="P30" s="2" t="s">
        <v>841</v>
      </c>
      <c r="Q30" s="4" t="s">
        <v>29</v>
      </c>
      <c r="R30" s="2" t="s">
        <v>59</v>
      </c>
      <c r="S30" s="2"/>
      <c r="T30" s="22" t="s">
        <v>842</v>
      </c>
      <c r="U30" s="2" t="s">
        <v>843</v>
      </c>
      <c r="V30" s="22" t="s">
        <v>844</v>
      </c>
      <c r="W30" s="2" t="s">
        <v>845</v>
      </c>
      <c r="X30" s="2" t="s">
        <v>47</v>
      </c>
      <c r="Y30" s="2" t="s">
        <v>846</v>
      </c>
      <c r="Z30" s="22" t="s">
        <v>52</v>
      </c>
      <c r="AA30" s="2" t="s">
        <v>847</v>
      </c>
      <c r="AB30" s="2" t="s">
        <v>287</v>
      </c>
      <c r="AC30" s="2" t="s">
        <v>848</v>
      </c>
      <c r="AD30" s="44" t="s">
        <v>64</v>
      </c>
      <c r="AE30" s="2" t="s">
        <v>849</v>
      </c>
      <c r="AF30" s="16" t="s">
        <v>850</v>
      </c>
      <c r="AG30" s="22"/>
      <c r="AH30" s="16" t="s">
        <v>851</v>
      </c>
      <c r="AI30" s="16" t="s">
        <v>850</v>
      </c>
      <c r="AJ30" s="3" t="s">
        <v>270</v>
      </c>
      <c r="AK30" s="2" t="s">
        <v>294</v>
      </c>
    </row>
    <row r="31" spans="1:37" ht="160.05000000000001" customHeight="1">
      <c r="A31" s="22" t="s">
        <v>852</v>
      </c>
      <c r="B31" s="22" t="s">
        <v>179</v>
      </c>
      <c r="C31" s="2" t="s">
        <v>853</v>
      </c>
      <c r="D31" s="2" t="s">
        <v>402</v>
      </c>
      <c r="E31" s="2" t="s">
        <v>854</v>
      </c>
      <c r="F31" s="2" t="s">
        <v>855</v>
      </c>
      <c r="G31" s="2" t="s">
        <v>856</v>
      </c>
      <c r="H31" s="41" t="s">
        <v>301</v>
      </c>
      <c r="I31" s="2" t="s">
        <v>385</v>
      </c>
      <c r="J31" s="42">
        <v>-37.841092000000003</v>
      </c>
      <c r="K31" s="42">
        <v>144.76591199999999</v>
      </c>
      <c r="L31" s="2" t="s">
        <v>90</v>
      </c>
      <c r="M31" s="43">
        <v>400</v>
      </c>
      <c r="N31" s="2" t="s">
        <v>81</v>
      </c>
      <c r="O31" s="43">
        <v>150</v>
      </c>
      <c r="P31" s="2" t="s">
        <v>857</v>
      </c>
      <c r="Q31" s="4" t="s">
        <v>29</v>
      </c>
      <c r="R31" s="2" t="s">
        <v>59</v>
      </c>
      <c r="S31" s="2"/>
      <c r="T31" s="22" t="s">
        <v>858</v>
      </c>
      <c r="U31" s="2" t="s">
        <v>859</v>
      </c>
      <c r="V31" s="22" t="s">
        <v>860</v>
      </c>
      <c r="W31" s="2" t="s">
        <v>861</v>
      </c>
      <c r="X31" s="2" t="s">
        <v>47</v>
      </c>
      <c r="Y31" s="2" t="s">
        <v>862</v>
      </c>
      <c r="Z31" s="22" t="s">
        <v>52</v>
      </c>
      <c r="AA31" s="2" t="s">
        <v>863</v>
      </c>
      <c r="AB31" s="2" t="s">
        <v>864</v>
      </c>
      <c r="AC31" s="2" t="s">
        <v>865</v>
      </c>
      <c r="AD31" s="44" t="s">
        <v>64</v>
      </c>
      <c r="AE31" s="2" t="s">
        <v>866</v>
      </c>
      <c r="AF31" s="16" t="s">
        <v>867</v>
      </c>
      <c r="AG31" s="16" t="s">
        <v>868</v>
      </c>
      <c r="AH31" s="16" t="s">
        <v>869</v>
      </c>
      <c r="AI31" s="16" t="s">
        <v>870</v>
      </c>
      <c r="AJ31" s="3" t="s">
        <v>270</v>
      </c>
      <c r="AK31" s="2" t="s">
        <v>399</v>
      </c>
    </row>
    <row r="32" spans="1:37" ht="160.05000000000001" customHeight="1">
      <c r="A32" s="22" t="s">
        <v>871</v>
      </c>
      <c r="B32" s="22" t="s">
        <v>179</v>
      </c>
      <c r="C32" s="2" t="s">
        <v>872</v>
      </c>
      <c r="D32" s="2" t="s">
        <v>530</v>
      </c>
      <c r="E32" s="2" t="s">
        <v>873</v>
      </c>
      <c r="F32" s="2" t="s">
        <v>874</v>
      </c>
      <c r="G32" s="2" t="s">
        <v>875</v>
      </c>
      <c r="H32" s="41" t="s">
        <v>253</v>
      </c>
      <c r="I32" s="2" t="s">
        <v>876</v>
      </c>
      <c r="J32" s="42">
        <v>-37.803511999999998</v>
      </c>
      <c r="K32" s="42">
        <v>144.86548300000001</v>
      </c>
      <c r="L32" s="2" t="s">
        <v>88</v>
      </c>
      <c r="M32" s="43">
        <v>207</v>
      </c>
      <c r="N32" s="2" t="s">
        <v>71</v>
      </c>
      <c r="O32" s="43">
        <v>165</v>
      </c>
      <c r="P32" s="2" t="s">
        <v>877</v>
      </c>
      <c r="Q32" s="4" t="s">
        <v>29</v>
      </c>
      <c r="R32" s="2" t="s">
        <v>59</v>
      </c>
      <c r="S32" s="2"/>
      <c r="T32" s="22" t="s">
        <v>878</v>
      </c>
      <c r="U32" s="2" t="s">
        <v>879</v>
      </c>
      <c r="V32" s="22" t="s">
        <v>880</v>
      </c>
      <c r="W32" s="2" t="s">
        <v>881</v>
      </c>
      <c r="X32" s="2" t="s">
        <v>47</v>
      </c>
      <c r="Y32" s="2" t="s">
        <v>882</v>
      </c>
      <c r="Z32" s="22" t="s">
        <v>54</v>
      </c>
      <c r="AA32" s="2" t="s">
        <v>883</v>
      </c>
      <c r="AB32" s="2" t="s">
        <v>307</v>
      </c>
      <c r="AC32" s="2" t="s">
        <v>884</v>
      </c>
      <c r="AD32" s="44" t="s">
        <v>64</v>
      </c>
      <c r="AE32" s="2" t="s">
        <v>885</v>
      </c>
      <c r="AF32" s="16" t="s">
        <v>886</v>
      </c>
      <c r="AG32" s="16" t="s">
        <v>887</v>
      </c>
      <c r="AH32" s="16" t="s">
        <v>888</v>
      </c>
      <c r="AI32" s="16" t="s">
        <v>889</v>
      </c>
      <c r="AJ32" s="3" t="s">
        <v>270</v>
      </c>
      <c r="AK32" s="2" t="s">
        <v>271</v>
      </c>
    </row>
    <row r="33" spans="1:37" ht="160.05000000000001" customHeight="1">
      <c r="A33" s="22" t="s">
        <v>890</v>
      </c>
      <c r="B33" s="22" t="s">
        <v>179</v>
      </c>
      <c r="C33" s="2" t="s">
        <v>891</v>
      </c>
      <c r="D33" s="2" t="s">
        <v>530</v>
      </c>
      <c r="E33" s="2" t="s">
        <v>892</v>
      </c>
      <c r="F33" s="2" t="s">
        <v>893</v>
      </c>
      <c r="G33" s="2" t="s">
        <v>894</v>
      </c>
      <c r="H33" s="41" t="s">
        <v>895</v>
      </c>
      <c r="I33" s="2" t="s">
        <v>896</v>
      </c>
      <c r="J33" s="42">
        <v>-37.834266</v>
      </c>
      <c r="K33" s="42">
        <v>144.913479</v>
      </c>
      <c r="L33" s="2" t="s">
        <v>90</v>
      </c>
      <c r="M33" s="43">
        <v>162</v>
      </c>
      <c r="N33" s="2" t="s">
        <v>81</v>
      </c>
      <c r="O33" s="43">
        <v>10</v>
      </c>
      <c r="P33" s="2" t="s">
        <v>897</v>
      </c>
      <c r="Q33" s="4" t="s">
        <v>29</v>
      </c>
      <c r="R33" s="2" t="s">
        <v>59</v>
      </c>
      <c r="S33" s="2"/>
      <c r="T33" s="22" t="s">
        <v>898</v>
      </c>
      <c r="U33" s="2" t="s">
        <v>899</v>
      </c>
      <c r="V33" s="22" t="s">
        <v>307</v>
      </c>
      <c r="W33" s="2" t="s">
        <v>307</v>
      </c>
      <c r="X33" s="2" t="s">
        <v>47</v>
      </c>
      <c r="Y33" s="2" t="s">
        <v>261</v>
      </c>
      <c r="Z33" s="22" t="s">
        <v>54</v>
      </c>
      <c r="AA33" s="2" t="s">
        <v>900</v>
      </c>
      <c r="AB33" s="2" t="s">
        <v>307</v>
      </c>
      <c r="AC33" s="2" t="s">
        <v>901</v>
      </c>
      <c r="AD33" s="44" t="s">
        <v>64</v>
      </c>
      <c r="AE33" s="2" t="s">
        <v>902</v>
      </c>
      <c r="AF33" s="16" t="s">
        <v>903</v>
      </c>
      <c r="AG33" s="16" t="s">
        <v>904</v>
      </c>
      <c r="AH33" s="16" t="s">
        <v>905</v>
      </c>
      <c r="AI33" s="16" t="s">
        <v>906</v>
      </c>
      <c r="AJ33" s="3" t="s">
        <v>270</v>
      </c>
      <c r="AK33" s="2" t="s">
        <v>271</v>
      </c>
    </row>
    <row r="34" spans="1:37" ht="160.05000000000001" customHeight="1">
      <c r="A34" s="22" t="s">
        <v>907</v>
      </c>
      <c r="B34" s="22" t="s">
        <v>179</v>
      </c>
      <c r="C34" s="2" t="s">
        <v>908</v>
      </c>
      <c r="D34" s="2" t="s">
        <v>530</v>
      </c>
      <c r="E34" s="2" t="s">
        <v>873</v>
      </c>
      <c r="F34" s="2" t="s">
        <v>909</v>
      </c>
      <c r="G34" s="2" t="s">
        <v>468</v>
      </c>
      <c r="H34" s="41" t="s">
        <v>469</v>
      </c>
      <c r="I34" s="2" t="s">
        <v>302</v>
      </c>
      <c r="J34" s="42">
        <v>-37.708865000000003</v>
      </c>
      <c r="K34" s="42">
        <v>144.875452</v>
      </c>
      <c r="L34" s="2" t="s">
        <v>88</v>
      </c>
      <c r="M34" s="43">
        <v>72</v>
      </c>
      <c r="N34" s="2" t="s">
        <v>71</v>
      </c>
      <c r="O34" s="43">
        <v>60</v>
      </c>
      <c r="P34" s="2" t="s">
        <v>910</v>
      </c>
      <c r="Q34" s="4" t="s">
        <v>29</v>
      </c>
      <c r="R34" s="2" t="s">
        <v>59</v>
      </c>
      <c r="S34" s="2"/>
      <c r="T34" s="22" t="s">
        <v>898</v>
      </c>
      <c r="U34" s="2" t="s">
        <v>911</v>
      </c>
      <c r="V34" s="22" t="s">
        <v>307</v>
      </c>
      <c r="W34" s="2" t="s">
        <v>912</v>
      </c>
      <c r="X34" s="2" t="s">
        <v>47</v>
      </c>
      <c r="Y34" s="2"/>
      <c r="Z34" s="22" t="s">
        <v>54</v>
      </c>
      <c r="AA34" s="2" t="s">
        <v>913</v>
      </c>
      <c r="AB34" s="2" t="s">
        <v>307</v>
      </c>
      <c r="AC34" s="2" t="s">
        <v>914</v>
      </c>
      <c r="AD34" s="44" t="s">
        <v>64</v>
      </c>
      <c r="AE34" s="2" t="s">
        <v>915</v>
      </c>
      <c r="AF34" s="16" t="s">
        <v>312</v>
      </c>
      <c r="AG34" s="16" t="s">
        <v>916</v>
      </c>
      <c r="AH34" s="22"/>
      <c r="AI34" s="16" t="s">
        <v>917</v>
      </c>
      <c r="AJ34" s="3" t="s">
        <v>270</v>
      </c>
      <c r="AK34" s="2" t="s">
        <v>918</v>
      </c>
    </row>
    <row r="35" spans="1:37" ht="160.05000000000001" customHeight="1">
      <c r="A35" s="22" t="s">
        <v>919</v>
      </c>
      <c r="B35" s="22" t="s">
        <v>187</v>
      </c>
      <c r="C35" s="2" t="s">
        <v>920</v>
      </c>
      <c r="D35" s="2" t="s">
        <v>921</v>
      </c>
      <c r="E35" s="2" t="s">
        <v>922</v>
      </c>
      <c r="F35" s="2" t="s">
        <v>923</v>
      </c>
      <c r="G35" s="2" t="s">
        <v>924</v>
      </c>
      <c r="H35" s="41" t="s">
        <v>925</v>
      </c>
      <c r="I35" s="2" t="s">
        <v>926</v>
      </c>
      <c r="J35" s="42">
        <v>-35.397069999999999</v>
      </c>
      <c r="K35" s="42">
        <v>149.16392999999999</v>
      </c>
      <c r="L35" s="2" t="s">
        <v>86</v>
      </c>
      <c r="M35" s="43">
        <v>20</v>
      </c>
      <c r="N35" s="2" t="s">
        <v>81</v>
      </c>
      <c r="O35" s="22"/>
      <c r="P35" s="2" t="s">
        <v>927</v>
      </c>
      <c r="Q35" s="4" t="s">
        <v>29</v>
      </c>
      <c r="R35" s="2" t="s">
        <v>59</v>
      </c>
      <c r="S35" s="2"/>
      <c r="T35" s="22" t="s">
        <v>928</v>
      </c>
      <c r="U35" s="2" t="s">
        <v>929</v>
      </c>
      <c r="V35" s="22" t="s">
        <v>930</v>
      </c>
      <c r="W35" s="2" t="s">
        <v>307</v>
      </c>
      <c r="X35" s="2" t="s">
        <v>47</v>
      </c>
      <c r="Y35" s="2" t="s">
        <v>931</v>
      </c>
      <c r="Z35" s="22" t="s">
        <v>54</v>
      </c>
      <c r="AA35" s="2" t="s">
        <v>932</v>
      </c>
      <c r="AB35" s="2" t="s">
        <v>933</v>
      </c>
      <c r="AC35" s="2" t="s">
        <v>934</v>
      </c>
      <c r="AD35" s="44" t="s">
        <v>64</v>
      </c>
      <c r="AE35" s="2" t="s">
        <v>935</v>
      </c>
      <c r="AF35" s="16" t="s">
        <v>936</v>
      </c>
      <c r="AG35" s="16" t="s">
        <v>937</v>
      </c>
      <c r="AH35" s="16" t="s">
        <v>938</v>
      </c>
      <c r="AI35" s="16" t="s">
        <v>939</v>
      </c>
      <c r="AJ35" s="3" t="s">
        <v>270</v>
      </c>
      <c r="AK35" s="2" t="s">
        <v>940</v>
      </c>
    </row>
    <row r="36" spans="1:37" ht="160.05000000000001" customHeight="1">
      <c r="A36" s="22" t="s">
        <v>941</v>
      </c>
      <c r="B36" s="22" t="s">
        <v>181</v>
      </c>
      <c r="C36" s="2" t="s">
        <v>942</v>
      </c>
      <c r="D36" s="2" t="s">
        <v>943</v>
      </c>
      <c r="E36" s="2" t="s">
        <v>944</v>
      </c>
      <c r="F36" s="2" t="s">
        <v>945</v>
      </c>
      <c r="G36" s="2" t="s">
        <v>946</v>
      </c>
      <c r="H36" s="41" t="s">
        <v>947</v>
      </c>
      <c r="I36" s="2" t="s">
        <v>948</v>
      </c>
      <c r="J36" s="42">
        <v>-27.318286000000001</v>
      </c>
      <c r="K36" s="42">
        <v>152.99256299999999</v>
      </c>
      <c r="L36" s="2" t="s">
        <v>90</v>
      </c>
      <c r="M36" s="43">
        <v>500</v>
      </c>
      <c r="N36" s="2" t="s">
        <v>71</v>
      </c>
      <c r="O36" s="22"/>
      <c r="P36" s="2" t="s">
        <v>949</v>
      </c>
      <c r="Q36" s="5" t="s">
        <v>31</v>
      </c>
      <c r="R36" s="2" t="s">
        <v>59</v>
      </c>
      <c r="S36" s="2"/>
      <c r="T36" s="22" t="s">
        <v>950</v>
      </c>
      <c r="U36" s="2" t="s">
        <v>951</v>
      </c>
      <c r="V36" s="22" t="s">
        <v>952</v>
      </c>
      <c r="W36" s="2" t="s">
        <v>953</v>
      </c>
      <c r="X36" s="2" t="s">
        <v>47</v>
      </c>
      <c r="Y36" s="2" t="s">
        <v>954</v>
      </c>
      <c r="Z36" s="22" t="s">
        <v>52</v>
      </c>
      <c r="AA36" s="2" t="s">
        <v>955</v>
      </c>
      <c r="AB36" s="2" t="s">
        <v>956</v>
      </c>
      <c r="AC36" s="2" t="s">
        <v>957</v>
      </c>
      <c r="AD36" s="46" t="s">
        <v>66</v>
      </c>
      <c r="AE36" s="2" t="s">
        <v>958</v>
      </c>
      <c r="AF36" s="16" t="s">
        <v>959</v>
      </c>
      <c r="AG36" s="16" t="s">
        <v>960</v>
      </c>
      <c r="AH36" s="16" t="s">
        <v>961</v>
      </c>
      <c r="AI36" s="16" t="s">
        <v>962</v>
      </c>
      <c r="AJ36" s="3" t="s">
        <v>270</v>
      </c>
      <c r="AK36" s="2" t="s">
        <v>963</v>
      </c>
    </row>
    <row r="37" spans="1:37" ht="160.05000000000001" customHeight="1">
      <c r="A37" s="32" t="s">
        <v>964</v>
      </c>
      <c r="B37" s="32" t="s">
        <v>189</v>
      </c>
      <c r="C37" s="33" t="s">
        <v>965</v>
      </c>
      <c r="D37" s="33" t="s">
        <v>441</v>
      </c>
      <c r="E37" s="33" t="s">
        <v>966</v>
      </c>
      <c r="F37" s="33" t="s">
        <v>967</v>
      </c>
      <c r="G37" s="33" t="s">
        <v>968</v>
      </c>
      <c r="H37" s="34" t="s">
        <v>969</v>
      </c>
      <c r="I37" s="33" t="s">
        <v>970</v>
      </c>
      <c r="J37" s="35">
        <v>-41.156064000000001</v>
      </c>
      <c r="K37" s="35">
        <v>146.92658599999999</v>
      </c>
      <c r="L37" s="33" t="s">
        <v>86</v>
      </c>
      <c r="M37" s="36">
        <v>288</v>
      </c>
      <c r="N37" s="33" t="s">
        <v>79</v>
      </c>
      <c r="O37" s="32"/>
      <c r="P37" s="33" t="s">
        <v>971</v>
      </c>
      <c r="Q37" s="53" t="s">
        <v>31</v>
      </c>
      <c r="R37" s="9" t="s">
        <v>61</v>
      </c>
      <c r="S37" s="33" t="s">
        <v>972</v>
      </c>
      <c r="T37" s="32" t="s">
        <v>803</v>
      </c>
      <c r="U37" s="33" t="s">
        <v>973</v>
      </c>
      <c r="V37" s="32" t="s">
        <v>974</v>
      </c>
      <c r="W37" s="33" t="s">
        <v>975</v>
      </c>
      <c r="X37" s="33" t="s">
        <v>47</v>
      </c>
      <c r="Y37" s="33" t="s">
        <v>976</v>
      </c>
      <c r="Z37" s="32" t="s">
        <v>56</v>
      </c>
      <c r="AA37" s="33" t="s">
        <v>977</v>
      </c>
      <c r="AB37" s="33" t="s">
        <v>978</v>
      </c>
      <c r="AC37" s="33" t="s">
        <v>979</v>
      </c>
      <c r="AD37" s="52" t="s">
        <v>64</v>
      </c>
      <c r="AE37" s="33" t="s">
        <v>980</v>
      </c>
      <c r="AF37" s="39" t="s">
        <v>981</v>
      </c>
      <c r="AG37" s="39" t="s">
        <v>982</v>
      </c>
      <c r="AH37" s="39" t="s">
        <v>983</v>
      </c>
      <c r="AI37" s="39" t="s">
        <v>984</v>
      </c>
      <c r="AJ37" s="40" t="s">
        <v>270</v>
      </c>
      <c r="AK37" s="33" t="s">
        <v>462</v>
      </c>
    </row>
    <row r="38" spans="1:37" ht="160.05000000000001" customHeight="1">
      <c r="A38" s="22" t="s">
        <v>985</v>
      </c>
      <c r="B38" s="22" t="s">
        <v>179</v>
      </c>
      <c r="C38" s="2" t="s">
        <v>986</v>
      </c>
      <c r="D38" s="2" t="s">
        <v>987</v>
      </c>
      <c r="E38" s="2" t="s">
        <v>988</v>
      </c>
      <c r="F38" s="2" t="s">
        <v>989</v>
      </c>
      <c r="G38" s="2" t="s">
        <v>383</v>
      </c>
      <c r="H38" s="41" t="s">
        <v>384</v>
      </c>
      <c r="I38" s="2" t="s">
        <v>385</v>
      </c>
      <c r="J38" s="42">
        <v>-37.839970000000001</v>
      </c>
      <c r="K38" s="42">
        <v>144.75841399999999</v>
      </c>
      <c r="L38" s="2" t="s">
        <v>88</v>
      </c>
      <c r="M38" s="43">
        <v>210</v>
      </c>
      <c r="N38" s="2" t="s">
        <v>71</v>
      </c>
      <c r="O38" s="22"/>
      <c r="P38" s="2" t="s">
        <v>990</v>
      </c>
      <c r="Q38" s="5" t="s">
        <v>31</v>
      </c>
      <c r="R38" s="2" t="s">
        <v>59</v>
      </c>
      <c r="S38" s="2"/>
      <c r="T38" s="22" t="s">
        <v>991</v>
      </c>
      <c r="U38" s="2" t="s">
        <v>992</v>
      </c>
      <c r="V38" s="22" t="s">
        <v>993</v>
      </c>
      <c r="W38" s="2" t="s">
        <v>994</v>
      </c>
      <c r="X38" s="2" t="s">
        <v>47</v>
      </c>
      <c r="Y38" s="2" t="s">
        <v>995</v>
      </c>
      <c r="Z38" s="22" t="s">
        <v>54</v>
      </c>
      <c r="AA38" s="2" t="s">
        <v>996</v>
      </c>
      <c r="AB38" s="2" t="s">
        <v>307</v>
      </c>
      <c r="AC38" s="2" t="s">
        <v>997</v>
      </c>
      <c r="AD38" s="46" t="s">
        <v>66</v>
      </c>
      <c r="AE38" s="2" t="s">
        <v>998</v>
      </c>
      <c r="AF38" s="16" t="s">
        <v>999</v>
      </c>
      <c r="AG38" s="22"/>
      <c r="AH38" s="16" t="s">
        <v>1000</v>
      </c>
      <c r="AI38" s="16" t="s">
        <v>1001</v>
      </c>
      <c r="AJ38" s="3" t="s">
        <v>270</v>
      </c>
      <c r="AK38" s="2" t="s">
        <v>399</v>
      </c>
    </row>
    <row r="39" spans="1:37" ht="160.05000000000001" customHeight="1">
      <c r="A39" s="22" t="s">
        <v>1002</v>
      </c>
      <c r="B39" s="22" t="s">
        <v>177</v>
      </c>
      <c r="C39" s="2" t="s">
        <v>1003</v>
      </c>
      <c r="D39" s="2" t="s">
        <v>1004</v>
      </c>
      <c r="E39" s="2" t="s">
        <v>1005</v>
      </c>
      <c r="F39" s="2" t="s">
        <v>1006</v>
      </c>
      <c r="G39" s="2" t="s">
        <v>277</v>
      </c>
      <c r="H39" s="41" t="s">
        <v>278</v>
      </c>
      <c r="I39" s="2" t="s">
        <v>279</v>
      </c>
      <c r="J39" s="42">
        <v>-33.781280000000002</v>
      </c>
      <c r="K39" s="42">
        <v>151.13067000000001</v>
      </c>
      <c r="L39" s="2" t="s">
        <v>86</v>
      </c>
      <c r="M39" s="43">
        <v>135</v>
      </c>
      <c r="N39" s="2" t="s">
        <v>79</v>
      </c>
      <c r="O39" s="22"/>
      <c r="P39" s="2" t="s">
        <v>1007</v>
      </c>
      <c r="Q39" s="5" t="s">
        <v>31</v>
      </c>
      <c r="R39" s="2" t="s">
        <v>59</v>
      </c>
      <c r="S39" s="2"/>
      <c r="T39" s="22" t="s">
        <v>1008</v>
      </c>
      <c r="U39" s="2" t="s">
        <v>1009</v>
      </c>
      <c r="V39" s="22" t="s">
        <v>1010</v>
      </c>
      <c r="W39" s="2" t="s">
        <v>1011</v>
      </c>
      <c r="X39" s="2" t="s">
        <v>47</v>
      </c>
      <c r="Y39" s="2" t="s">
        <v>1012</v>
      </c>
      <c r="Z39" s="22" t="s">
        <v>54</v>
      </c>
      <c r="AA39" s="2" t="s">
        <v>1013</v>
      </c>
      <c r="AB39" s="2" t="s">
        <v>1014</v>
      </c>
      <c r="AC39" s="2" t="s">
        <v>1015</v>
      </c>
      <c r="AD39" s="44" t="s">
        <v>64</v>
      </c>
      <c r="AE39" s="2" t="s">
        <v>1016</v>
      </c>
      <c r="AF39" s="16" t="s">
        <v>1017</v>
      </c>
      <c r="AG39" s="22"/>
      <c r="AH39" s="16" t="s">
        <v>1018</v>
      </c>
      <c r="AI39" s="16" t="s">
        <v>1019</v>
      </c>
      <c r="AJ39" s="3" t="s">
        <v>270</v>
      </c>
      <c r="AK39" s="2" t="s">
        <v>605</v>
      </c>
    </row>
    <row r="40" spans="1:37" ht="160.05000000000001" customHeight="1">
      <c r="A40" s="22" t="s">
        <v>1020</v>
      </c>
      <c r="B40" s="22" t="s">
        <v>177</v>
      </c>
      <c r="C40" s="2" t="s">
        <v>1021</v>
      </c>
      <c r="D40" s="2" t="s">
        <v>1004</v>
      </c>
      <c r="E40" s="2" t="s">
        <v>1022</v>
      </c>
      <c r="F40" s="2" t="s">
        <v>1023</v>
      </c>
      <c r="G40" s="2" t="s">
        <v>1024</v>
      </c>
      <c r="H40" s="41" t="s">
        <v>1025</v>
      </c>
      <c r="I40" s="2" t="s">
        <v>1026</v>
      </c>
      <c r="J40" s="42">
        <v>-33.920850000000002</v>
      </c>
      <c r="K40" s="42">
        <v>151.18384</v>
      </c>
      <c r="L40" s="2" t="s">
        <v>86</v>
      </c>
      <c r="M40" s="43">
        <v>85</v>
      </c>
      <c r="N40" s="2" t="s">
        <v>71</v>
      </c>
      <c r="O40" s="22"/>
      <c r="P40" s="2" t="s">
        <v>1027</v>
      </c>
      <c r="Q40" s="5" t="s">
        <v>31</v>
      </c>
      <c r="R40" s="2" t="s">
        <v>59</v>
      </c>
      <c r="S40" s="2"/>
      <c r="T40" s="22" t="s">
        <v>1028</v>
      </c>
      <c r="U40" s="2" t="s">
        <v>1029</v>
      </c>
      <c r="V40" s="22" t="s">
        <v>1010</v>
      </c>
      <c r="W40" s="2" t="s">
        <v>1030</v>
      </c>
      <c r="X40" s="2" t="s">
        <v>47</v>
      </c>
      <c r="Y40" s="2" t="s">
        <v>1031</v>
      </c>
      <c r="Z40" s="22" t="s">
        <v>54</v>
      </c>
      <c r="AA40" s="2" t="s">
        <v>1032</v>
      </c>
      <c r="AB40" s="2" t="s">
        <v>287</v>
      </c>
      <c r="AC40" s="2" t="s">
        <v>1033</v>
      </c>
      <c r="AD40" s="44" t="s">
        <v>64</v>
      </c>
      <c r="AE40" s="2" t="s">
        <v>1034</v>
      </c>
      <c r="AF40" s="16" t="s">
        <v>1035</v>
      </c>
      <c r="AG40" s="22"/>
      <c r="AH40" s="16" t="s">
        <v>1036</v>
      </c>
      <c r="AI40" s="16" t="s">
        <v>1037</v>
      </c>
      <c r="AJ40" s="3" t="s">
        <v>270</v>
      </c>
      <c r="AK40" s="2" t="s">
        <v>294</v>
      </c>
    </row>
    <row r="41" spans="1:37" ht="160.05000000000001" customHeight="1">
      <c r="A41" s="22" t="s">
        <v>1038</v>
      </c>
      <c r="B41" s="22" t="s">
        <v>187</v>
      </c>
      <c r="C41" s="2" t="s">
        <v>1039</v>
      </c>
      <c r="D41" s="2" t="s">
        <v>1040</v>
      </c>
      <c r="E41" s="2" t="s">
        <v>1041</v>
      </c>
      <c r="F41" s="2" t="s">
        <v>1042</v>
      </c>
      <c r="G41" s="2" t="s">
        <v>1043</v>
      </c>
      <c r="H41" s="41" t="s">
        <v>925</v>
      </c>
      <c r="I41" s="2" t="s">
        <v>1044</v>
      </c>
      <c r="J41" s="42">
        <v>-35.340384999999998</v>
      </c>
      <c r="K41" s="42">
        <v>149.20916800000001</v>
      </c>
      <c r="L41" s="2" t="s">
        <v>86</v>
      </c>
      <c r="M41" s="43">
        <v>84</v>
      </c>
      <c r="N41" s="2" t="s">
        <v>81</v>
      </c>
      <c r="O41" s="22"/>
      <c r="P41" s="2" t="s">
        <v>1045</v>
      </c>
      <c r="Q41" s="5" t="s">
        <v>31</v>
      </c>
      <c r="R41" s="2" t="s">
        <v>59</v>
      </c>
      <c r="S41" s="2"/>
      <c r="T41" s="22" t="s">
        <v>1046</v>
      </c>
      <c r="U41" s="2" t="s">
        <v>1047</v>
      </c>
      <c r="V41" s="22" t="s">
        <v>1048</v>
      </c>
      <c r="W41" s="2" t="s">
        <v>307</v>
      </c>
      <c r="X41" s="2" t="s">
        <v>47</v>
      </c>
      <c r="Y41" s="2" t="s">
        <v>1049</v>
      </c>
      <c r="Z41" s="22" t="s">
        <v>54</v>
      </c>
      <c r="AA41" s="2" t="s">
        <v>1050</v>
      </c>
      <c r="AB41" s="2" t="s">
        <v>1051</v>
      </c>
      <c r="AC41" s="2" t="s">
        <v>1052</v>
      </c>
      <c r="AD41" s="44" t="s">
        <v>64</v>
      </c>
      <c r="AE41" s="2" t="s">
        <v>1053</v>
      </c>
      <c r="AF41" s="16" t="s">
        <v>1054</v>
      </c>
      <c r="AG41" s="16" t="s">
        <v>1055</v>
      </c>
      <c r="AH41" s="16" t="s">
        <v>1056</v>
      </c>
      <c r="AI41" s="16" t="s">
        <v>1057</v>
      </c>
      <c r="AJ41" s="3" t="s">
        <v>270</v>
      </c>
      <c r="AK41" s="2" t="s">
        <v>1058</v>
      </c>
    </row>
    <row r="42" spans="1:37" ht="160.05000000000001" customHeight="1">
      <c r="A42" s="22" t="s">
        <v>1059</v>
      </c>
      <c r="B42" s="22" t="s">
        <v>179</v>
      </c>
      <c r="C42" s="2" t="s">
        <v>1060</v>
      </c>
      <c r="D42" s="2" t="s">
        <v>1061</v>
      </c>
      <c r="E42" s="2" t="s">
        <v>1062</v>
      </c>
      <c r="F42" s="2" t="s">
        <v>1063</v>
      </c>
      <c r="G42" s="2" t="s">
        <v>383</v>
      </c>
      <c r="H42" s="41" t="s">
        <v>384</v>
      </c>
      <c r="I42" s="2" t="s">
        <v>1064</v>
      </c>
      <c r="J42" s="42">
        <v>-37.776083999999997</v>
      </c>
      <c r="K42" s="42">
        <v>144.67773099999999</v>
      </c>
      <c r="L42" s="2" t="s">
        <v>86</v>
      </c>
      <c r="M42" s="43">
        <v>80</v>
      </c>
      <c r="N42" s="2" t="s">
        <v>81</v>
      </c>
      <c r="O42" s="43">
        <v>80</v>
      </c>
      <c r="P42" s="2" t="s">
        <v>1065</v>
      </c>
      <c r="Q42" s="5" t="s">
        <v>31</v>
      </c>
      <c r="R42" s="2" t="s">
        <v>59</v>
      </c>
      <c r="S42" s="2"/>
      <c r="T42" s="22" t="s">
        <v>537</v>
      </c>
      <c r="U42" s="2" t="s">
        <v>1066</v>
      </c>
      <c r="V42" s="22" t="s">
        <v>307</v>
      </c>
      <c r="W42" s="2" t="s">
        <v>307</v>
      </c>
      <c r="X42" s="2" t="s">
        <v>47</v>
      </c>
      <c r="Y42" s="2" t="s">
        <v>261</v>
      </c>
      <c r="Z42" s="22" t="s">
        <v>52</v>
      </c>
      <c r="AA42" s="2" t="s">
        <v>1067</v>
      </c>
      <c r="AB42" s="2" t="s">
        <v>307</v>
      </c>
      <c r="AC42" s="2" t="s">
        <v>1068</v>
      </c>
      <c r="AD42" s="44" t="s">
        <v>64</v>
      </c>
      <c r="AE42" s="2" t="s">
        <v>1069</v>
      </c>
      <c r="AF42" s="16" t="s">
        <v>1070</v>
      </c>
      <c r="AG42" s="22"/>
      <c r="AH42" s="16" t="s">
        <v>1071</v>
      </c>
      <c r="AI42" s="16" t="s">
        <v>1072</v>
      </c>
      <c r="AJ42" s="3" t="s">
        <v>270</v>
      </c>
      <c r="AK42" s="2" t="s">
        <v>774</v>
      </c>
    </row>
    <row r="43" spans="1:37" ht="160.05000000000001" customHeight="1">
      <c r="A43" s="22" t="s">
        <v>1073</v>
      </c>
      <c r="B43" s="22" t="s">
        <v>177</v>
      </c>
      <c r="C43" s="2" t="s">
        <v>1074</v>
      </c>
      <c r="D43" s="2" t="s">
        <v>568</v>
      </c>
      <c r="E43" s="2" t="s">
        <v>569</v>
      </c>
      <c r="F43" s="2" t="s">
        <v>1075</v>
      </c>
      <c r="G43" s="2" t="s">
        <v>1076</v>
      </c>
      <c r="H43" s="41" t="s">
        <v>1077</v>
      </c>
      <c r="I43" s="2" t="s">
        <v>1078</v>
      </c>
      <c r="J43" s="42">
        <v>-33.851129999999998</v>
      </c>
      <c r="K43" s="42">
        <v>150.95507000000001</v>
      </c>
      <c r="L43" s="2" t="s">
        <v>86</v>
      </c>
      <c r="M43" s="43">
        <v>68</v>
      </c>
      <c r="N43" s="2" t="s">
        <v>71</v>
      </c>
      <c r="O43" s="43">
        <v>34</v>
      </c>
      <c r="P43" s="2" t="s">
        <v>1079</v>
      </c>
      <c r="Q43" s="5" t="s">
        <v>31</v>
      </c>
      <c r="R43" s="2" t="s">
        <v>59</v>
      </c>
      <c r="S43" s="2"/>
      <c r="T43" s="22" t="s">
        <v>1080</v>
      </c>
      <c r="U43" s="2" t="s">
        <v>1081</v>
      </c>
      <c r="V43" s="22" t="s">
        <v>1010</v>
      </c>
      <c r="W43" s="2" t="s">
        <v>1082</v>
      </c>
      <c r="X43" s="2" t="s">
        <v>47</v>
      </c>
      <c r="Y43" s="2" t="s">
        <v>1083</v>
      </c>
      <c r="Z43" s="22" t="s">
        <v>54</v>
      </c>
      <c r="AA43" s="2" t="s">
        <v>1084</v>
      </c>
      <c r="AB43" s="2" t="s">
        <v>1085</v>
      </c>
      <c r="AC43" s="2" t="s">
        <v>1086</v>
      </c>
      <c r="AD43" s="44" t="s">
        <v>64</v>
      </c>
      <c r="AE43" s="2" t="s">
        <v>1087</v>
      </c>
      <c r="AF43" s="16" t="s">
        <v>1088</v>
      </c>
      <c r="AG43" s="22"/>
      <c r="AH43" s="16" t="s">
        <v>1089</v>
      </c>
      <c r="AI43" s="16" t="s">
        <v>1090</v>
      </c>
      <c r="AJ43" s="3" t="s">
        <v>270</v>
      </c>
      <c r="AK43" s="2" t="s">
        <v>294</v>
      </c>
    </row>
    <row r="44" spans="1:37" ht="160.05000000000001" customHeight="1">
      <c r="A44" s="22" t="s">
        <v>1091</v>
      </c>
      <c r="B44" s="22" t="s">
        <v>177</v>
      </c>
      <c r="C44" s="2" t="s">
        <v>1092</v>
      </c>
      <c r="D44" s="2" t="s">
        <v>1093</v>
      </c>
      <c r="E44" s="2" t="s">
        <v>1094</v>
      </c>
      <c r="F44" s="2" t="s">
        <v>1095</v>
      </c>
      <c r="G44" s="2" t="s">
        <v>1096</v>
      </c>
      <c r="H44" s="41" t="s">
        <v>1097</v>
      </c>
      <c r="I44" s="2" t="s">
        <v>1098</v>
      </c>
      <c r="J44" s="42">
        <v>-33.808529999999998</v>
      </c>
      <c r="K44" s="42">
        <v>151.14528999999999</v>
      </c>
      <c r="L44" s="2" t="s">
        <v>86</v>
      </c>
      <c r="M44" s="43">
        <v>45</v>
      </c>
      <c r="N44" s="2" t="s">
        <v>79</v>
      </c>
      <c r="O44" s="22"/>
      <c r="P44" s="2" t="s">
        <v>1099</v>
      </c>
      <c r="Q44" s="5" t="s">
        <v>31</v>
      </c>
      <c r="R44" s="2" t="s">
        <v>59</v>
      </c>
      <c r="S44" s="2"/>
      <c r="T44" s="22" t="s">
        <v>1100</v>
      </c>
      <c r="U44" s="2" t="s">
        <v>1101</v>
      </c>
      <c r="V44" s="22" t="s">
        <v>1102</v>
      </c>
      <c r="W44" s="2" t="s">
        <v>1103</v>
      </c>
      <c r="X44" s="2" t="s">
        <v>47</v>
      </c>
      <c r="Y44" s="2" t="s">
        <v>1104</v>
      </c>
      <c r="Z44" s="22" t="s">
        <v>54</v>
      </c>
      <c r="AA44" s="2" t="s">
        <v>1105</v>
      </c>
      <c r="AB44" s="2" t="s">
        <v>287</v>
      </c>
      <c r="AC44" s="2" t="s">
        <v>1106</v>
      </c>
      <c r="AD44" s="44" t="s">
        <v>64</v>
      </c>
      <c r="AE44" s="2" t="s">
        <v>1107</v>
      </c>
      <c r="AF44" s="16" t="s">
        <v>1108</v>
      </c>
      <c r="AG44" s="22"/>
      <c r="AH44" s="16" t="s">
        <v>1109</v>
      </c>
      <c r="AI44" s="16" t="s">
        <v>1110</v>
      </c>
      <c r="AJ44" s="3" t="s">
        <v>270</v>
      </c>
      <c r="AK44" s="2" t="s">
        <v>294</v>
      </c>
    </row>
    <row r="45" spans="1:37" ht="160.05000000000001" customHeight="1">
      <c r="A45" s="22" t="s">
        <v>1111</v>
      </c>
      <c r="B45" s="22" t="s">
        <v>177</v>
      </c>
      <c r="C45" s="2" t="s">
        <v>1112</v>
      </c>
      <c r="D45" s="2" t="s">
        <v>1113</v>
      </c>
      <c r="E45" s="2" t="s">
        <v>652</v>
      </c>
      <c r="F45" s="2" t="s">
        <v>1114</v>
      </c>
      <c r="G45" s="2" t="s">
        <v>277</v>
      </c>
      <c r="H45" s="41" t="s">
        <v>278</v>
      </c>
      <c r="I45" s="2" t="s">
        <v>279</v>
      </c>
      <c r="J45" s="42">
        <v>-33.780999999999999</v>
      </c>
      <c r="K45" s="42">
        <v>151.12299999999999</v>
      </c>
      <c r="L45" s="2" t="s">
        <v>86</v>
      </c>
      <c r="M45" s="43">
        <v>34.299999999999997</v>
      </c>
      <c r="N45" s="2" t="s">
        <v>71</v>
      </c>
      <c r="O45" s="22"/>
      <c r="P45" s="2" t="s">
        <v>1115</v>
      </c>
      <c r="Q45" s="5" t="s">
        <v>31</v>
      </c>
      <c r="R45" s="2" t="s">
        <v>59</v>
      </c>
      <c r="S45" s="2"/>
      <c r="T45" s="22" t="s">
        <v>1116</v>
      </c>
      <c r="U45" s="2" t="s">
        <v>1117</v>
      </c>
      <c r="V45" s="22" t="s">
        <v>657</v>
      </c>
      <c r="W45" s="2" t="s">
        <v>1118</v>
      </c>
      <c r="X45" s="2" t="s">
        <v>47</v>
      </c>
      <c r="Y45" s="2" t="s">
        <v>1119</v>
      </c>
      <c r="Z45" s="22" t="s">
        <v>54</v>
      </c>
      <c r="AA45" s="2" t="s">
        <v>1120</v>
      </c>
      <c r="AB45" s="2" t="s">
        <v>287</v>
      </c>
      <c r="AC45" s="2" t="s">
        <v>1121</v>
      </c>
      <c r="AD45" s="44" t="s">
        <v>64</v>
      </c>
      <c r="AE45" s="2" t="s">
        <v>1122</v>
      </c>
      <c r="AF45" s="16" t="s">
        <v>1123</v>
      </c>
      <c r="AG45" s="22"/>
      <c r="AH45" s="22"/>
      <c r="AI45" s="16" t="s">
        <v>1123</v>
      </c>
      <c r="AJ45" s="3" t="s">
        <v>270</v>
      </c>
      <c r="AK45" s="2" t="s">
        <v>294</v>
      </c>
    </row>
    <row r="46" spans="1:37" ht="160.05000000000001" customHeight="1">
      <c r="A46" s="32" t="s">
        <v>1124</v>
      </c>
      <c r="B46" s="32" t="s">
        <v>177</v>
      </c>
      <c r="C46" s="33" t="s">
        <v>1125</v>
      </c>
      <c r="D46" s="33" t="s">
        <v>1126</v>
      </c>
      <c r="E46" s="33" t="s">
        <v>1127</v>
      </c>
      <c r="F46" s="33" t="s">
        <v>1128</v>
      </c>
      <c r="G46" s="33" t="s">
        <v>1129</v>
      </c>
      <c r="H46" s="34" t="s">
        <v>1130</v>
      </c>
      <c r="I46" s="33" t="s">
        <v>1131</v>
      </c>
      <c r="J46" s="35">
        <v>-33.823588000000001</v>
      </c>
      <c r="K46" s="35">
        <v>151.03355199999999</v>
      </c>
      <c r="L46" s="33" t="s">
        <v>86</v>
      </c>
      <c r="M46" s="36">
        <v>31.2</v>
      </c>
      <c r="N46" s="33" t="s">
        <v>81</v>
      </c>
      <c r="O46" s="32"/>
      <c r="P46" s="33" t="s">
        <v>1132</v>
      </c>
      <c r="Q46" s="53" t="s">
        <v>31</v>
      </c>
      <c r="R46" s="9" t="s">
        <v>61</v>
      </c>
      <c r="S46" s="33" t="s">
        <v>1133</v>
      </c>
      <c r="T46" s="32" t="s">
        <v>1134</v>
      </c>
      <c r="U46" s="33" t="s">
        <v>1135</v>
      </c>
      <c r="V46" s="32" t="s">
        <v>1136</v>
      </c>
      <c r="W46" s="33" t="s">
        <v>1137</v>
      </c>
      <c r="X46" s="33" t="s">
        <v>47</v>
      </c>
      <c r="Y46" s="33" t="s">
        <v>1138</v>
      </c>
      <c r="Z46" s="32" t="s">
        <v>56</v>
      </c>
      <c r="AA46" s="33" t="s">
        <v>1139</v>
      </c>
      <c r="AB46" s="33" t="s">
        <v>307</v>
      </c>
      <c r="AC46" s="33" t="s">
        <v>1140</v>
      </c>
      <c r="AD46" s="38" t="s">
        <v>66</v>
      </c>
      <c r="AE46" s="33" t="s">
        <v>1141</v>
      </c>
      <c r="AF46" s="39" t="s">
        <v>1142</v>
      </c>
      <c r="AG46" s="39" t="s">
        <v>1143</v>
      </c>
      <c r="AH46" s="39" t="s">
        <v>1144</v>
      </c>
      <c r="AI46" s="39" t="s">
        <v>1145</v>
      </c>
      <c r="AJ46" s="40" t="s">
        <v>270</v>
      </c>
      <c r="AK46" s="33" t="s">
        <v>527</v>
      </c>
    </row>
    <row r="47" spans="1:37" ht="160.05000000000001" customHeight="1">
      <c r="A47" s="22" t="s">
        <v>1146</v>
      </c>
      <c r="B47" s="22" t="s">
        <v>177</v>
      </c>
      <c r="C47" s="2" t="s">
        <v>1147</v>
      </c>
      <c r="D47" s="2" t="s">
        <v>1148</v>
      </c>
      <c r="E47" s="2" t="s">
        <v>1149</v>
      </c>
      <c r="F47" s="2" t="s">
        <v>1150</v>
      </c>
      <c r="G47" s="2" t="s">
        <v>1151</v>
      </c>
      <c r="H47" s="41" t="s">
        <v>925</v>
      </c>
      <c r="I47" s="2" t="s">
        <v>1152</v>
      </c>
      <c r="J47" s="42">
        <v>-35.381399999999999</v>
      </c>
      <c r="K47" s="42">
        <v>149.1935</v>
      </c>
      <c r="L47" s="2" t="s">
        <v>86</v>
      </c>
      <c r="M47" s="43">
        <v>20</v>
      </c>
      <c r="N47" s="2" t="s">
        <v>71</v>
      </c>
      <c r="O47" s="43">
        <v>8</v>
      </c>
      <c r="P47" s="2" t="s">
        <v>1153</v>
      </c>
      <c r="Q47" s="5" t="s">
        <v>31</v>
      </c>
      <c r="R47" s="2" t="s">
        <v>59</v>
      </c>
      <c r="S47" s="2"/>
      <c r="T47" s="22" t="s">
        <v>1154</v>
      </c>
      <c r="U47" s="2" t="s">
        <v>1155</v>
      </c>
      <c r="V47" s="22" t="s">
        <v>1010</v>
      </c>
      <c r="W47" s="2" t="s">
        <v>307</v>
      </c>
      <c r="X47" s="2" t="s">
        <v>47</v>
      </c>
      <c r="Y47" s="2" t="s">
        <v>261</v>
      </c>
      <c r="Z47" s="22" t="s">
        <v>52</v>
      </c>
      <c r="AA47" s="2" t="s">
        <v>1156</v>
      </c>
      <c r="AB47" s="2" t="s">
        <v>1157</v>
      </c>
      <c r="AC47" s="2" t="s">
        <v>1158</v>
      </c>
      <c r="AD47" s="44" t="s">
        <v>64</v>
      </c>
      <c r="AE47" s="2" t="s">
        <v>1159</v>
      </c>
      <c r="AF47" s="16" t="s">
        <v>1160</v>
      </c>
      <c r="AG47" s="22"/>
      <c r="AH47" s="16" t="s">
        <v>1161</v>
      </c>
      <c r="AI47" s="16" t="s">
        <v>1162</v>
      </c>
      <c r="AJ47" s="3" t="s">
        <v>270</v>
      </c>
      <c r="AK47" s="2" t="s">
        <v>1163</v>
      </c>
    </row>
    <row r="48" spans="1:37" ht="160.05000000000001" customHeight="1">
      <c r="A48" s="32" t="s">
        <v>1164</v>
      </c>
      <c r="B48" s="32" t="s">
        <v>185</v>
      </c>
      <c r="C48" s="33" t="s">
        <v>1165</v>
      </c>
      <c r="D48" s="33" t="s">
        <v>1166</v>
      </c>
      <c r="E48" s="33" t="s">
        <v>1167</v>
      </c>
      <c r="F48" s="33" t="s">
        <v>1168</v>
      </c>
      <c r="G48" s="33" t="s">
        <v>1169</v>
      </c>
      <c r="H48" s="34" t="s">
        <v>1170</v>
      </c>
      <c r="I48" s="33" t="s">
        <v>1171</v>
      </c>
      <c r="J48" s="35">
        <v>-34.810479999999998</v>
      </c>
      <c r="K48" s="35">
        <v>138.61117899999999</v>
      </c>
      <c r="L48" s="33" t="s">
        <v>92</v>
      </c>
      <c r="M48" s="36">
        <v>8</v>
      </c>
      <c r="N48" s="33" t="s">
        <v>71</v>
      </c>
      <c r="O48" s="32"/>
      <c r="P48" s="33"/>
      <c r="Q48" s="53" t="s">
        <v>31</v>
      </c>
      <c r="R48" s="9" t="s">
        <v>61</v>
      </c>
      <c r="S48" s="33" t="s">
        <v>1172</v>
      </c>
      <c r="T48" s="32" t="s">
        <v>1173</v>
      </c>
      <c r="U48" s="33" t="s">
        <v>1174</v>
      </c>
      <c r="V48" s="32" t="s">
        <v>1175</v>
      </c>
      <c r="W48" s="33" t="s">
        <v>307</v>
      </c>
      <c r="X48" s="33" t="s">
        <v>47</v>
      </c>
      <c r="Y48" s="33" t="s">
        <v>1176</v>
      </c>
      <c r="Z48" s="32" t="s">
        <v>54</v>
      </c>
      <c r="AA48" s="33" t="s">
        <v>1177</v>
      </c>
      <c r="AB48" s="33" t="s">
        <v>287</v>
      </c>
      <c r="AC48" s="33" t="s">
        <v>1178</v>
      </c>
      <c r="AD48" s="47" t="s">
        <v>68</v>
      </c>
      <c r="AE48" s="33" t="s">
        <v>1179</v>
      </c>
      <c r="AF48" s="32"/>
      <c r="AG48" s="39" t="s">
        <v>1180</v>
      </c>
      <c r="AH48" s="39" t="s">
        <v>1181</v>
      </c>
      <c r="AI48" s="39" t="s">
        <v>1182</v>
      </c>
      <c r="AJ48" s="40" t="s">
        <v>270</v>
      </c>
      <c r="AK48" s="33" t="s">
        <v>708</v>
      </c>
    </row>
    <row r="49" spans="1:37" ht="134.55000000000001" customHeight="1">
      <c r="A49" s="22" t="s">
        <v>1183</v>
      </c>
      <c r="B49" s="22" t="s">
        <v>177</v>
      </c>
      <c r="C49" s="2" t="s">
        <v>1184</v>
      </c>
      <c r="D49" s="2" t="s">
        <v>318</v>
      </c>
      <c r="E49" s="2" t="s">
        <v>1185</v>
      </c>
      <c r="F49" s="2" t="s">
        <v>320</v>
      </c>
      <c r="G49" s="2" t="s">
        <v>321</v>
      </c>
      <c r="H49" s="41" t="s">
        <v>322</v>
      </c>
      <c r="I49" s="2" t="s">
        <v>323</v>
      </c>
      <c r="J49" s="42">
        <v>-34.515334000000003</v>
      </c>
      <c r="K49" s="42">
        <v>150.369822</v>
      </c>
      <c r="L49" s="2" t="s">
        <v>88</v>
      </c>
      <c r="M49" s="48" t="s">
        <v>307</v>
      </c>
      <c r="N49" s="2" t="s">
        <v>81</v>
      </c>
      <c r="O49" s="22"/>
      <c r="P49" s="2" t="s">
        <v>1186</v>
      </c>
      <c r="Q49" s="5" t="s">
        <v>31</v>
      </c>
      <c r="R49" s="2" t="s">
        <v>59</v>
      </c>
      <c r="S49" s="2"/>
      <c r="T49" s="22" t="s">
        <v>1187</v>
      </c>
      <c r="U49" s="2" t="s">
        <v>1188</v>
      </c>
      <c r="V49" s="22" t="s">
        <v>1010</v>
      </c>
      <c r="W49" s="2" t="s">
        <v>1189</v>
      </c>
      <c r="X49" s="2" t="s">
        <v>47</v>
      </c>
      <c r="Y49" s="2" t="s">
        <v>1190</v>
      </c>
      <c r="Z49" s="22" t="s">
        <v>52</v>
      </c>
      <c r="AA49" s="2" t="s">
        <v>1191</v>
      </c>
      <c r="AB49" s="2" t="s">
        <v>331</v>
      </c>
      <c r="AC49" s="2" t="s">
        <v>1192</v>
      </c>
      <c r="AD49" s="46" t="s">
        <v>66</v>
      </c>
      <c r="AE49" s="2" t="s">
        <v>1193</v>
      </c>
      <c r="AF49" s="16" t="s">
        <v>1194</v>
      </c>
      <c r="AG49" s="16" t="s">
        <v>1195</v>
      </c>
      <c r="AH49" s="16" t="s">
        <v>336</v>
      </c>
      <c r="AI49" s="16" t="s">
        <v>1196</v>
      </c>
      <c r="AJ49" s="3" t="s">
        <v>270</v>
      </c>
      <c r="AK49" s="2" t="s">
        <v>377</v>
      </c>
    </row>
    <row r="50" spans="1:37" ht="160.05000000000001" customHeight="1">
      <c r="A50" s="32" t="s">
        <v>1197</v>
      </c>
      <c r="B50" s="32" t="s">
        <v>179</v>
      </c>
      <c r="C50" s="33" t="s">
        <v>1198</v>
      </c>
      <c r="D50" s="33" t="s">
        <v>1199</v>
      </c>
      <c r="E50" s="33" t="s">
        <v>1200</v>
      </c>
      <c r="F50" s="33" t="s">
        <v>1201</v>
      </c>
      <c r="G50" s="33" t="s">
        <v>1202</v>
      </c>
      <c r="H50" s="34" t="s">
        <v>1203</v>
      </c>
      <c r="I50" s="33" t="s">
        <v>1204</v>
      </c>
      <c r="J50" s="35">
        <v>-37.681717999999996</v>
      </c>
      <c r="K50" s="35">
        <v>144.87396899999999</v>
      </c>
      <c r="L50" s="33" t="s">
        <v>90</v>
      </c>
      <c r="M50" s="54" t="s">
        <v>307</v>
      </c>
      <c r="N50" s="33" t="s">
        <v>81</v>
      </c>
      <c r="O50" s="32"/>
      <c r="P50" s="33" t="s">
        <v>1205</v>
      </c>
      <c r="Q50" s="53" t="s">
        <v>31</v>
      </c>
      <c r="R50" s="9" t="s">
        <v>61</v>
      </c>
      <c r="S50" s="33" t="s">
        <v>1206</v>
      </c>
      <c r="T50" s="32" t="s">
        <v>1207</v>
      </c>
      <c r="U50" s="33" t="s">
        <v>1208</v>
      </c>
      <c r="V50" s="32" t="s">
        <v>307</v>
      </c>
      <c r="W50" s="33" t="s">
        <v>307</v>
      </c>
      <c r="X50" s="33" t="s">
        <v>47</v>
      </c>
      <c r="Y50" s="33" t="s">
        <v>261</v>
      </c>
      <c r="Z50" s="32" t="s">
        <v>56</v>
      </c>
      <c r="AA50" s="33" t="s">
        <v>1209</v>
      </c>
      <c r="AB50" s="33" t="s">
        <v>307</v>
      </c>
      <c r="AC50" s="33" t="s">
        <v>1210</v>
      </c>
      <c r="AD50" s="47" t="s">
        <v>68</v>
      </c>
      <c r="AE50" s="33" t="s">
        <v>1211</v>
      </c>
      <c r="AF50" s="39" t="s">
        <v>1212</v>
      </c>
      <c r="AG50" s="32"/>
      <c r="AH50" s="39" t="s">
        <v>1213</v>
      </c>
      <c r="AI50" s="39" t="s">
        <v>1214</v>
      </c>
      <c r="AJ50" s="40" t="s">
        <v>270</v>
      </c>
      <c r="AK50" s="33" t="s">
        <v>271</v>
      </c>
    </row>
    <row r="51" spans="1:37" ht="160.05000000000001" customHeight="1">
      <c r="A51" s="32" t="s">
        <v>1215</v>
      </c>
      <c r="B51" s="32" t="s">
        <v>179</v>
      </c>
      <c r="C51" s="33" t="s">
        <v>1216</v>
      </c>
      <c r="D51" s="33" t="s">
        <v>1217</v>
      </c>
      <c r="E51" s="33" t="s">
        <v>1218</v>
      </c>
      <c r="F51" s="33" t="s">
        <v>1219</v>
      </c>
      <c r="G51" s="33" t="s">
        <v>875</v>
      </c>
      <c r="H51" s="34" t="s">
        <v>253</v>
      </c>
      <c r="I51" s="33" t="s">
        <v>876</v>
      </c>
      <c r="J51" s="35">
        <v>-37.801296000000001</v>
      </c>
      <c r="K51" s="35">
        <v>144.869798</v>
      </c>
      <c r="L51" s="33" t="s">
        <v>88</v>
      </c>
      <c r="M51" s="54" t="s">
        <v>307</v>
      </c>
      <c r="N51" s="33" t="s">
        <v>81</v>
      </c>
      <c r="O51" s="32"/>
      <c r="P51" s="33" t="s">
        <v>1220</v>
      </c>
      <c r="Q51" s="53" t="s">
        <v>31</v>
      </c>
      <c r="R51" s="9" t="s">
        <v>61</v>
      </c>
      <c r="S51" s="33" t="s">
        <v>1221</v>
      </c>
      <c r="T51" s="32" t="s">
        <v>1222</v>
      </c>
      <c r="U51" s="33" t="s">
        <v>1223</v>
      </c>
      <c r="V51" s="32" t="s">
        <v>307</v>
      </c>
      <c r="W51" s="33" t="s">
        <v>307</v>
      </c>
      <c r="X51" s="33" t="s">
        <v>47</v>
      </c>
      <c r="Y51" s="33" t="s">
        <v>261</v>
      </c>
      <c r="Z51" s="32" t="s">
        <v>56</v>
      </c>
      <c r="AA51" s="33" t="s">
        <v>1224</v>
      </c>
      <c r="AB51" s="33" t="s">
        <v>307</v>
      </c>
      <c r="AC51" s="33" t="s">
        <v>1225</v>
      </c>
      <c r="AD51" s="52" t="s">
        <v>64</v>
      </c>
      <c r="AE51" s="33" t="s">
        <v>1226</v>
      </c>
      <c r="AF51" s="39" t="s">
        <v>1227</v>
      </c>
      <c r="AG51" s="32"/>
      <c r="AH51" s="39" t="s">
        <v>1228</v>
      </c>
      <c r="AI51" s="39" t="s">
        <v>1229</v>
      </c>
      <c r="AJ51" s="40" t="s">
        <v>270</v>
      </c>
      <c r="AK51" s="33" t="s">
        <v>271</v>
      </c>
    </row>
    <row r="52" spans="1:37" ht="160.05000000000001" customHeight="1">
      <c r="A52" s="32" t="s">
        <v>1230</v>
      </c>
      <c r="B52" s="32" t="s">
        <v>179</v>
      </c>
      <c r="C52" s="33" t="s">
        <v>1231</v>
      </c>
      <c r="D52" s="33" t="s">
        <v>1232</v>
      </c>
      <c r="E52" s="33" t="s">
        <v>1233</v>
      </c>
      <c r="F52" s="33" t="s">
        <v>1234</v>
      </c>
      <c r="G52" s="33" t="s">
        <v>1235</v>
      </c>
      <c r="H52" s="34" t="s">
        <v>384</v>
      </c>
      <c r="I52" s="33" t="s">
        <v>385</v>
      </c>
      <c r="J52" s="35">
        <v>-37.802318</v>
      </c>
      <c r="K52" s="35">
        <v>144.671661</v>
      </c>
      <c r="L52" s="33" t="s">
        <v>90</v>
      </c>
      <c r="M52" s="54" t="s">
        <v>307</v>
      </c>
      <c r="N52" s="33" t="s">
        <v>81</v>
      </c>
      <c r="O52" s="32"/>
      <c r="P52" s="33" t="s">
        <v>1236</v>
      </c>
      <c r="Q52" s="53" t="s">
        <v>31</v>
      </c>
      <c r="R52" s="9" t="s">
        <v>61</v>
      </c>
      <c r="S52" s="33" t="s">
        <v>1237</v>
      </c>
      <c r="T52" s="32" t="s">
        <v>1238</v>
      </c>
      <c r="U52" s="33" t="s">
        <v>1239</v>
      </c>
      <c r="V52" s="32" t="s">
        <v>307</v>
      </c>
      <c r="W52" s="33" t="s">
        <v>307</v>
      </c>
      <c r="X52" s="33" t="s">
        <v>47</v>
      </c>
      <c r="Y52" s="33" t="s">
        <v>261</v>
      </c>
      <c r="Z52" s="32" t="s">
        <v>56</v>
      </c>
      <c r="AA52" s="33" t="s">
        <v>1240</v>
      </c>
      <c r="AB52" s="33" t="s">
        <v>307</v>
      </c>
      <c r="AC52" s="33" t="s">
        <v>1241</v>
      </c>
      <c r="AD52" s="47" t="s">
        <v>68</v>
      </c>
      <c r="AE52" s="33" t="s">
        <v>1242</v>
      </c>
      <c r="AF52" s="39" t="s">
        <v>1243</v>
      </c>
      <c r="AG52" s="32"/>
      <c r="AH52" s="39" t="s">
        <v>1244</v>
      </c>
      <c r="AI52" s="39" t="s">
        <v>1245</v>
      </c>
      <c r="AJ52" s="40" t="s">
        <v>270</v>
      </c>
      <c r="AK52" s="33" t="s">
        <v>271</v>
      </c>
    </row>
    <row r="53" spans="1:37" ht="160.05000000000001" customHeight="1">
      <c r="A53" s="22" t="s">
        <v>1246</v>
      </c>
      <c r="B53" s="22" t="s">
        <v>181</v>
      </c>
      <c r="C53" s="2" t="s">
        <v>1247</v>
      </c>
      <c r="D53" s="2" t="s">
        <v>1248</v>
      </c>
      <c r="E53" s="2" t="s">
        <v>1249</v>
      </c>
      <c r="F53" s="2" t="s">
        <v>1250</v>
      </c>
      <c r="G53" s="2" t="s">
        <v>1251</v>
      </c>
      <c r="H53" s="41" t="s">
        <v>1252</v>
      </c>
      <c r="I53" s="2" t="s">
        <v>1253</v>
      </c>
      <c r="J53" s="42">
        <v>-27.080832999999998</v>
      </c>
      <c r="K53" s="42">
        <v>150.92374100000001</v>
      </c>
      <c r="L53" s="2" t="s">
        <v>90</v>
      </c>
      <c r="M53" s="43">
        <v>1440</v>
      </c>
      <c r="N53" s="2" t="s">
        <v>71</v>
      </c>
      <c r="O53" s="43">
        <v>360</v>
      </c>
      <c r="P53" s="2" t="s">
        <v>1254</v>
      </c>
      <c r="Q53" s="8" t="s">
        <v>37</v>
      </c>
      <c r="R53" s="2" t="s">
        <v>59</v>
      </c>
      <c r="S53" s="2"/>
      <c r="T53" s="22" t="s">
        <v>1116</v>
      </c>
      <c r="U53" s="2" t="s">
        <v>1255</v>
      </c>
      <c r="V53" s="22" t="s">
        <v>1256</v>
      </c>
      <c r="W53" s="2" t="s">
        <v>1257</v>
      </c>
      <c r="X53" s="2" t="s">
        <v>47</v>
      </c>
      <c r="Y53" s="2" t="s">
        <v>1258</v>
      </c>
      <c r="Z53" s="22" t="s">
        <v>54</v>
      </c>
      <c r="AA53" s="2" t="s">
        <v>1259</v>
      </c>
      <c r="AB53" s="2" t="s">
        <v>1260</v>
      </c>
      <c r="AC53" s="2" t="s">
        <v>1261</v>
      </c>
      <c r="AD53" s="44" t="s">
        <v>64</v>
      </c>
      <c r="AE53" s="2" t="s">
        <v>1262</v>
      </c>
      <c r="AF53" s="16" t="s">
        <v>1263</v>
      </c>
      <c r="AG53" s="16" t="s">
        <v>1264</v>
      </c>
      <c r="AH53" s="16" t="s">
        <v>1265</v>
      </c>
      <c r="AI53" s="16" t="s">
        <v>1266</v>
      </c>
      <c r="AJ53" s="3" t="s">
        <v>270</v>
      </c>
      <c r="AK53" s="2" t="s">
        <v>1267</v>
      </c>
    </row>
    <row r="54" spans="1:37" ht="160.05000000000001" customHeight="1">
      <c r="A54" s="22" t="s">
        <v>1268</v>
      </c>
      <c r="B54" s="22" t="s">
        <v>177</v>
      </c>
      <c r="C54" s="2" t="s">
        <v>1269</v>
      </c>
      <c r="D54" s="2" t="s">
        <v>249</v>
      </c>
      <c r="E54" s="2" t="s">
        <v>1270</v>
      </c>
      <c r="F54" s="2" t="s">
        <v>1271</v>
      </c>
      <c r="G54" s="2" t="s">
        <v>1272</v>
      </c>
      <c r="H54" s="41" t="s">
        <v>1273</v>
      </c>
      <c r="I54" s="2" t="s">
        <v>1274</v>
      </c>
      <c r="J54" s="42">
        <v>-35.213070000000002</v>
      </c>
      <c r="K54" s="42">
        <v>147.38894999999999</v>
      </c>
      <c r="L54" s="2" t="s">
        <v>86</v>
      </c>
      <c r="M54" s="43">
        <v>1400</v>
      </c>
      <c r="N54" s="2" t="s">
        <v>79</v>
      </c>
      <c r="O54" s="22"/>
      <c r="P54" s="2" t="s">
        <v>1275</v>
      </c>
      <c r="Q54" s="8" t="s">
        <v>37</v>
      </c>
      <c r="R54" s="2" t="s">
        <v>59</v>
      </c>
      <c r="S54" s="2"/>
      <c r="T54" s="22" t="s">
        <v>409</v>
      </c>
      <c r="U54" s="2" t="s">
        <v>1276</v>
      </c>
      <c r="V54" s="22" t="s">
        <v>1277</v>
      </c>
      <c r="W54" s="2" t="s">
        <v>307</v>
      </c>
      <c r="X54" s="2" t="s">
        <v>47</v>
      </c>
      <c r="Y54" s="2" t="s">
        <v>261</v>
      </c>
      <c r="Z54" s="22" t="s">
        <v>52</v>
      </c>
      <c r="AA54" s="2" t="s">
        <v>1278</v>
      </c>
      <c r="AB54" s="2" t="s">
        <v>1157</v>
      </c>
      <c r="AC54" s="2" t="s">
        <v>1279</v>
      </c>
      <c r="AD54" s="44" t="s">
        <v>64</v>
      </c>
      <c r="AE54" s="2" t="s">
        <v>1280</v>
      </c>
      <c r="AF54" s="16" t="s">
        <v>1281</v>
      </c>
      <c r="AG54" s="16" t="s">
        <v>1282</v>
      </c>
      <c r="AH54" s="16" t="s">
        <v>1283</v>
      </c>
      <c r="AI54" s="16" t="s">
        <v>1284</v>
      </c>
      <c r="AJ54" s="3" t="s">
        <v>270</v>
      </c>
      <c r="AK54" s="2" t="s">
        <v>1285</v>
      </c>
    </row>
    <row r="55" spans="1:37" ht="160.05000000000001" customHeight="1">
      <c r="A55" s="22" t="s">
        <v>1286</v>
      </c>
      <c r="B55" s="22" t="s">
        <v>177</v>
      </c>
      <c r="C55" s="2" t="s">
        <v>1287</v>
      </c>
      <c r="D55" s="2" t="s">
        <v>1288</v>
      </c>
      <c r="E55" s="2" t="s">
        <v>1289</v>
      </c>
      <c r="F55" s="2" t="s">
        <v>1290</v>
      </c>
      <c r="G55" s="2" t="s">
        <v>1291</v>
      </c>
      <c r="H55" s="41" t="s">
        <v>1292</v>
      </c>
      <c r="I55" s="2" t="s">
        <v>1293</v>
      </c>
      <c r="J55" s="42">
        <v>-33.83379</v>
      </c>
      <c r="K55" s="42">
        <v>150.78483</v>
      </c>
      <c r="L55" s="2" t="s">
        <v>86</v>
      </c>
      <c r="M55" s="43">
        <v>1000</v>
      </c>
      <c r="N55" s="2" t="s">
        <v>79</v>
      </c>
      <c r="O55" s="22"/>
      <c r="P55" s="2" t="s">
        <v>1294</v>
      </c>
      <c r="Q55" s="8" t="s">
        <v>37</v>
      </c>
      <c r="R55" s="2" t="s">
        <v>59</v>
      </c>
      <c r="S55" s="2"/>
      <c r="T55" s="22" t="s">
        <v>1295</v>
      </c>
      <c r="U55" s="2" t="s">
        <v>1296</v>
      </c>
      <c r="V55" s="22" t="s">
        <v>1297</v>
      </c>
      <c r="W55" s="2" t="s">
        <v>307</v>
      </c>
      <c r="X55" s="2" t="s">
        <v>47</v>
      </c>
      <c r="Y55" s="2" t="s">
        <v>261</v>
      </c>
      <c r="Z55" s="22" t="s">
        <v>54</v>
      </c>
      <c r="AA55" s="2" t="s">
        <v>1298</v>
      </c>
      <c r="AB55" s="2" t="s">
        <v>641</v>
      </c>
      <c r="AC55" s="2" t="s">
        <v>1299</v>
      </c>
      <c r="AD55" s="44" t="s">
        <v>64</v>
      </c>
      <c r="AE55" s="2" t="s">
        <v>1300</v>
      </c>
      <c r="AF55" s="16" t="s">
        <v>1301</v>
      </c>
      <c r="AG55" s="22"/>
      <c r="AH55" s="16" t="s">
        <v>1302</v>
      </c>
      <c r="AI55" s="16" t="s">
        <v>1303</v>
      </c>
      <c r="AJ55" s="3" t="s">
        <v>270</v>
      </c>
      <c r="AK55" s="2" t="s">
        <v>1285</v>
      </c>
    </row>
    <row r="56" spans="1:37" ht="160.05000000000001" customHeight="1">
      <c r="A56" s="22" t="s">
        <v>1304</v>
      </c>
      <c r="B56" s="22" t="s">
        <v>177</v>
      </c>
      <c r="C56" s="2" t="s">
        <v>1305</v>
      </c>
      <c r="D56" s="2" t="s">
        <v>530</v>
      </c>
      <c r="E56" s="2" t="s">
        <v>1306</v>
      </c>
      <c r="F56" s="2" t="s">
        <v>1307</v>
      </c>
      <c r="G56" s="2" t="s">
        <v>590</v>
      </c>
      <c r="H56" s="41" t="s">
        <v>591</v>
      </c>
      <c r="I56" s="2" t="s">
        <v>512</v>
      </c>
      <c r="J56" s="42">
        <v>-33.8018</v>
      </c>
      <c r="K56" s="42">
        <v>150.82560000000001</v>
      </c>
      <c r="L56" s="2" t="s">
        <v>86</v>
      </c>
      <c r="M56" s="43">
        <v>612</v>
      </c>
      <c r="N56" s="2" t="s">
        <v>79</v>
      </c>
      <c r="O56" s="22"/>
      <c r="P56" s="2" t="s">
        <v>1308</v>
      </c>
      <c r="Q56" s="8" t="s">
        <v>37</v>
      </c>
      <c r="R56" s="2" t="s">
        <v>59</v>
      </c>
      <c r="S56" s="2"/>
      <c r="T56" s="22" t="s">
        <v>1309</v>
      </c>
      <c r="U56" s="2" t="s">
        <v>1310</v>
      </c>
      <c r="V56" s="22" t="s">
        <v>1311</v>
      </c>
      <c r="W56" s="2" t="s">
        <v>1312</v>
      </c>
      <c r="X56" s="2" t="s">
        <v>47</v>
      </c>
      <c r="Y56" s="2" t="s">
        <v>1313</v>
      </c>
      <c r="Z56" s="22" t="s">
        <v>54</v>
      </c>
      <c r="AA56" s="2" t="s">
        <v>1314</v>
      </c>
      <c r="AB56" s="2" t="s">
        <v>1315</v>
      </c>
      <c r="AC56" s="2" t="s">
        <v>1316</v>
      </c>
      <c r="AD56" s="44" t="s">
        <v>64</v>
      </c>
      <c r="AE56" s="2" t="s">
        <v>1317</v>
      </c>
      <c r="AF56" s="16" t="s">
        <v>1318</v>
      </c>
      <c r="AG56" s="22"/>
      <c r="AH56" s="16" t="s">
        <v>1319</v>
      </c>
      <c r="AI56" s="16" t="s">
        <v>1320</v>
      </c>
      <c r="AJ56" s="3" t="s">
        <v>270</v>
      </c>
      <c r="AK56" s="2" t="s">
        <v>294</v>
      </c>
    </row>
    <row r="57" spans="1:37" ht="160.05000000000001" customHeight="1">
      <c r="A57" s="22" t="s">
        <v>1321</v>
      </c>
      <c r="B57" s="22" t="s">
        <v>177</v>
      </c>
      <c r="C57" s="2" t="s">
        <v>1322</v>
      </c>
      <c r="D57" s="2" t="s">
        <v>1323</v>
      </c>
      <c r="E57" s="2" t="s">
        <v>1324</v>
      </c>
      <c r="F57" s="2" t="s">
        <v>1325</v>
      </c>
      <c r="G57" s="2" t="s">
        <v>1326</v>
      </c>
      <c r="H57" s="41" t="s">
        <v>1327</v>
      </c>
      <c r="I57" s="2" t="s">
        <v>1328</v>
      </c>
      <c r="J57" s="42">
        <v>-32.790799999999997</v>
      </c>
      <c r="K57" s="42">
        <v>151.47934000000001</v>
      </c>
      <c r="L57" s="2" t="s">
        <v>86</v>
      </c>
      <c r="M57" s="43">
        <v>540</v>
      </c>
      <c r="N57" s="2" t="s">
        <v>79</v>
      </c>
      <c r="O57" s="22"/>
      <c r="P57" s="2" t="s">
        <v>1329</v>
      </c>
      <c r="Q57" s="8" t="s">
        <v>37</v>
      </c>
      <c r="R57" s="2" t="s">
        <v>59</v>
      </c>
      <c r="S57" s="2"/>
      <c r="T57" s="22" t="s">
        <v>491</v>
      </c>
      <c r="U57" s="2" t="s">
        <v>1330</v>
      </c>
      <c r="V57" s="22" t="s">
        <v>1331</v>
      </c>
      <c r="W57" s="2" t="s">
        <v>1332</v>
      </c>
      <c r="X57" s="2" t="s">
        <v>47</v>
      </c>
      <c r="Y57" s="2" t="s">
        <v>1333</v>
      </c>
      <c r="Z57" s="22" t="s">
        <v>54</v>
      </c>
      <c r="AA57" s="2" t="s">
        <v>1334</v>
      </c>
      <c r="AB57" s="2" t="s">
        <v>287</v>
      </c>
      <c r="AC57" s="2" t="s">
        <v>1335</v>
      </c>
      <c r="AD57" s="44" t="s">
        <v>64</v>
      </c>
      <c r="AE57" s="2" t="s">
        <v>1336</v>
      </c>
      <c r="AF57" s="16" t="s">
        <v>1337</v>
      </c>
      <c r="AG57" s="22"/>
      <c r="AH57" s="16" t="s">
        <v>1338</v>
      </c>
      <c r="AI57" s="16" t="s">
        <v>1339</v>
      </c>
      <c r="AJ57" s="3" t="s">
        <v>270</v>
      </c>
      <c r="AK57" s="2" t="s">
        <v>605</v>
      </c>
    </row>
    <row r="58" spans="1:37" ht="160.05000000000001" customHeight="1">
      <c r="A58" s="22" t="s">
        <v>1340</v>
      </c>
      <c r="B58" s="22" t="s">
        <v>179</v>
      </c>
      <c r="C58" s="2" t="s">
        <v>1341</v>
      </c>
      <c r="D58" s="2" t="s">
        <v>1342</v>
      </c>
      <c r="E58" s="2" t="s">
        <v>1343</v>
      </c>
      <c r="F58" s="2" t="s">
        <v>1344</v>
      </c>
      <c r="G58" s="2" t="s">
        <v>1345</v>
      </c>
      <c r="H58" s="41" t="s">
        <v>1346</v>
      </c>
      <c r="I58" s="2" t="s">
        <v>1347</v>
      </c>
      <c r="J58" s="42">
        <v>-38.092843000000002</v>
      </c>
      <c r="K58" s="42">
        <v>145.32790800000001</v>
      </c>
      <c r="L58" s="2" t="s">
        <v>86</v>
      </c>
      <c r="M58" s="43">
        <v>488</v>
      </c>
      <c r="N58" s="2" t="s">
        <v>71</v>
      </c>
      <c r="O58" s="22"/>
      <c r="P58" s="2" t="s">
        <v>1348</v>
      </c>
      <c r="Q58" s="8" t="s">
        <v>37</v>
      </c>
      <c r="R58" s="2" t="s">
        <v>59</v>
      </c>
      <c r="S58" s="2"/>
      <c r="T58" s="22" t="s">
        <v>1349</v>
      </c>
      <c r="U58" s="2" t="s">
        <v>1350</v>
      </c>
      <c r="V58" s="22" t="s">
        <v>1351</v>
      </c>
      <c r="W58" s="2" t="s">
        <v>307</v>
      </c>
      <c r="X58" s="2" t="s">
        <v>47</v>
      </c>
      <c r="Y58" s="2" t="s">
        <v>1352</v>
      </c>
      <c r="Z58" s="22" t="s">
        <v>54</v>
      </c>
      <c r="AA58" s="2" t="s">
        <v>1353</v>
      </c>
      <c r="AB58" s="2" t="s">
        <v>307</v>
      </c>
      <c r="AC58" s="2" t="s">
        <v>1354</v>
      </c>
      <c r="AD58" s="44" t="s">
        <v>64</v>
      </c>
      <c r="AE58" s="2" t="s">
        <v>1355</v>
      </c>
      <c r="AF58" s="16" t="s">
        <v>1356</v>
      </c>
      <c r="AG58" s="22"/>
      <c r="AH58" s="16" t="s">
        <v>1357</v>
      </c>
      <c r="AI58" s="16" t="s">
        <v>1358</v>
      </c>
      <c r="AJ58" s="3" t="s">
        <v>270</v>
      </c>
      <c r="AK58" s="2" t="s">
        <v>626</v>
      </c>
    </row>
    <row r="59" spans="1:37" ht="160.05000000000001" customHeight="1">
      <c r="A59" s="22" t="s">
        <v>1359</v>
      </c>
      <c r="B59" s="22" t="s">
        <v>177</v>
      </c>
      <c r="C59" s="2" t="s">
        <v>1360</v>
      </c>
      <c r="D59" s="2" t="s">
        <v>380</v>
      </c>
      <c r="E59" s="2" t="s">
        <v>1361</v>
      </c>
      <c r="F59" s="2" t="s">
        <v>1362</v>
      </c>
      <c r="G59" s="2" t="s">
        <v>1363</v>
      </c>
      <c r="H59" s="41" t="s">
        <v>1364</v>
      </c>
      <c r="I59" s="2" t="s">
        <v>1293</v>
      </c>
      <c r="J59" s="42">
        <v>-33.815187999999999</v>
      </c>
      <c r="K59" s="42">
        <v>150.811826</v>
      </c>
      <c r="L59" s="2" t="s">
        <v>86</v>
      </c>
      <c r="M59" s="43">
        <v>450</v>
      </c>
      <c r="N59" s="2" t="s">
        <v>81</v>
      </c>
      <c r="O59" s="22"/>
      <c r="P59" s="2" t="s">
        <v>1365</v>
      </c>
      <c r="Q59" s="8" t="s">
        <v>37</v>
      </c>
      <c r="R59" s="2" t="s">
        <v>59</v>
      </c>
      <c r="S59" s="2"/>
      <c r="T59" s="22" t="s">
        <v>719</v>
      </c>
      <c r="U59" s="2" t="s">
        <v>1366</v>
      </c>
      <c r="V59" s="22" t="s">
        <v>1297</v>
      </c>
      <c r="W59" s="2" t="s">
        <v>1367</v>
      </c>
      <c r="X59" s="2" t="s">
        <v>47</v>
      </c>
      <c r="Y59" s="2" t="s">
        <v>1368</v>
      </c>
      <c r="Z59" s="22" t="s">
        <v>52</v>
      </c>
      <c r="AA59" s="2" t="s">
        <v>1369</v>
      </c>
      <c r="AB59" s="2" t="s">
        <v>307</v>
      </c>
      <c r="AC59" s="2" t="s">
        <v>1370</v>
      </c>
      <c r="AD59" s="44" t="s">
        <v>64</v>
      </c>
      <c r="AE59" s="2" t="s">
        <v>1371</v>
      </c>
      <c r="AF59" s="16" t="s">
        <v>1372</v>
      </c>
      <c r="AG59" s="22"/>
      <c r="AH59" s="16" t="s">
        <v>1373</v>
      </c>
      <c r="AI59" s="16" t="s">
        <v>1374</v>
      </c>
      <c r="AJ59" s="3" t="s">
        <v>270</v>
      </c>
      <c r="AK59" s="2" t="s">
        <v>527</v>
      </c>
    </row>
    <row r="60" spans="1:37" ht="160.05000000000001" customHeight="1">
      <c r="A60" s="22" t="s">
        <v>1375</v>
      </c>
      <c r="B60" s="22" t="s">
        <v>179</v>
      </c>
      <c r="C60" s="2" t="s">
        <v>1376</v>
      </c>
      <c r="D60" s="2" t="s">
        <v>1377</v>
      </c>
      <c r="E60" s="2" t="s">
        <v>1378</v>
      </c>
      <c r="F60" s="2" t="s">
        <v>1379</v>
      </c>
      <c r="G60" s="2" t="s">
        <v>1380</v>
      </c>
      <c r="H60" s="41" t="s">
        <v>1381</v>
      </c>
      <c r="I60" s="2" t="s">
        <v>1382</v>
      </c>
      <c r="J60" s="42">
        <v>-38.035044999999997</v>
      </c>
      <c r="K60" s="42">
        <v>144.29100399999999</v>
      </c>
      <c r="L60" s="2" t="s">
        <v>86</v>
      </c>
      <c r="M60" s="43">
        <v>400</v>
      </c>
      <c r="N60" s="2" t="s">
        <v>81</v>
      </c>
      <c r="O60" s="22"/>
      <c r="P60" s="2" t="s">
        <v>1383</v>
      </c>
      <c r="Q60" s="8" t="s">
        <v>37</v>
      </c>
      <c r="R60" s="2" t="s">
        <v>59</v>
      </c>
      <c r="S60" s="2"/>
      <c r="T60" s="22" t="s">
        <v>1349</v>
      </c>
      <c r="U60" s="2" t="s">
        <v>1384</v>
      </c>
      <c r="V60" s="22" t="s">
        <v>1351</v>
      </c>
      <c r="W60" s="2" t="s">
        <v>307</v>
      </c>
      <c r="X60" s="2" t="s">
        <v>47</v>
      </c>
      <c r="Y60" s="2" t="s">
        <v>641</v>
      </c>
      <c r="Z60" s="22" t="s">
        <v>54</v>
      </c>
      <c r="AA60" s="2" t="s">
        <v>1385</v>
      </c>
      <c r="AB60" s="2" t="s">
        <v>307</v>
      </c>
      <c r="AC60" s="2" t="s">
        <v>1386</v>
      </c>
      <c r="AD60" s="44" t="s">
        <v>64</v>
      </c>
      <c r="AE60" s="2" t="s">
        <v>1387</v>
      </c>
      <c r="AF60" s="16" t="s">
        <v>1388</v>
      </c>
      <c r="AG60" s="22"/>
      <c r="AH60" s="16" t="s">
        <v>1389</v>
      </c>
      <c r="AI60" s="16" t="s">
        <v>1390</v>
      </c>
      <c r="AJ60" s="3" t="s">
        <v>270</v>
      </c>
      <c r="AK60" s="2" t="s">
        <v>626</v>
      </c>
    </row>
    <row r="61" spans="1:37" ht="160.05000000000001" customHeight="1">
      <c r="A61" s="22" t="s">
        <v>1391</v>
      </c>
      <c r="B61" s="22" t="s">
        <v>177</v>
      </c>
      <c r="C61" s="2" t="s">
        <v>1392</v>
      </c>
      <c r="D61" s="2" t="s">
        <v>1393</v>
      </c>
      <c r="E61" s="2" t="s">
        <v>1394</v>
      </c>
      <c r="F61" s="2" t="s">
        <v>1395</v>
      </c>
      <c r="G61" s="2" t="s">
        <v>590</v>
      </c>
      <c r="H61" s="41" t="s">
        <v>591</v>
      </c>
      <c r="I61" s="2" t="s">
        <v>512</v>
      </c>
      <c r="J61" s="42">
        <v>-33.81738</v>
      </c>
      <c r="K61" s="42">
        <v>150.83690000000001</v>
      </c>
      <c r="L61" s="2" t="s">
        <v>86</v>
      </c>
      <c r="M61" s="43">
        <v>348</v>
      </c>
      <c r="N61" s="2" t="s">
        <v>79</v>
      </c>
      <c r="O61" s="22"/>
      <c r="P61" s="2" t="s">
        <v>1396</v>
      </c>
      <c r="Q61" s="8" t="s">
        <v>37</v>
      </c>
      <c r="R61" s="2" t="s">
        <v>59</v>
      </c>
      <c r="S61" s="2"/>
      <c r="T61" s="22" t="s">
        <v>1397</v>
      </c>
      <c r="U61" s="2" t="s">
        <v>1398</v>
      </c>
      <c r="V61" s="22" t="s">
        <v>1399</v>
      </c>
      <c r="W61" s="2" t="s">
        <v>1400</v>
      </c>
      <c r="X61" s="2" t="s">
        <v>47</v>
      </c>
      <c r="Y61" s="2" t="s">
        <v>1401</v>
      </c>
      <c r="Z61" s="22" t="s">
        <v>54</v>
      </c>
      <c r="AA61" s="2" t="s">
        <v>1402</v>
      </c>
      <c r="AB61" s="2" t="s">
        <v>1403</v>
      </c>
      <c r="AC61" s="2" t="s">
        <v>1404</v>
      </c>
      <c r="AD61" s="44" t="s">
        <v>64</v>
      </c>
      <c r="AE61" s="2" t="s">
        <v>1405</v>
      </c>
      <c r="AF61" s="16" t="s">
        <v>1406</v>
      </c>
      <c r="AG61" s="22"/>
      <c r="AH61" s="16" t="s">
        <v>1407</v>
      </c>
      <c r="AI61" s="16" t="s">
        <v>1408</v>
      </c>
      <c r="AJ61" s="3" t="s">
        <v>270</v>
      </c>
      <c r="AK61" s="2" t="s">
        <v>294</v>
      </c>
    </row>
    <row r="62" spans="1:37" ht="160.05000000000001" customHeight="1">
      <c r="A62" s="22" t="s">
        <v>1409</v>
      </c>
      <c r="B62" s="22" t="s">
        <v>177</v>
      </c>
      <c r="C62" s="2" t="s">
        <v>1410</v>
      </c>
      <c r="D62" s="2" t="s">
        <v>1411</v>
      </c>
      <c r="E62" s="2" t="s">
        <v>1412</v>
      </c>
      <c r="F62" s="2" t="s">
        <v>1413</v>
      </c>
      <c r="G62" s="2" t="s">
        <v>1291</v>
      </c>
      <c r="H62" s="41" t="s">
        <v>1292</v>
      </c>
      <c r="I62" s="2" t="s">
        <v>1293</v>
      </c>
      <c r="J62" s="42">
        <v>-33.844332000000001</v>
      </c>
      <c r="K62" s="42">
        <v>150.798912</v>
      </c>
      <c r="L62" s="2" t="s">
        <v>90</v>
      </c>
      <c r="M62" s="43">
        <v>342</v>
      </c>
      <c r="N62" s="2" t="s">
        <v>71</v>
      </c>
      <c r="O62" s="22"/>
      <c r="P62" s="2" t="s">
        <v>1414</v>
      </c>
      <c r="Q62" s="8" t="s">
        <v>37</v>
      </c>
      <c r="R62" s="2" t="s">
        <v>59</v>
      </c>
      <c r="S62" s="2"/>
      <c r="T62" s="22" t="s">
        <v>409</v>
      </c>
      <c r="U62" s="2" t="s">
        <v>1415</v>
      </c>
      <c r="V62" s="22" t="s">
        <v>657</v>
      </c>
      <c r="W62" s="2" t="s">
        <v>1416</v>
      </c>
      <c r="X62" s="2" t="s">
        <v>47</v>
      </c>
      <c r="Y62" s="2" t="s">
        <v>807</v>
      </c>
      <c r="Z62" s="22" t="s">
        <v>54</v>
      </c>
      <c r="AA62" s="2" t="s">
        <v>1417</v>
      </c>
      <c r="AB62" s="2" t="s">
        <v>287</v>
      </c>
      <c r="AC62" s="2" t="s">
        <v>1418</v>
      </c>
      <c r="AD62" s="44" t="s">
        <v>64</v>
      </c>
      <c r="AE62" s="2" t="s">
        <v>1419</v>
      </c>
      <c r="AF62" s="16" t="s">
        <v>1420</v>
      </c>
      <c r="AG62" s="22"/>
      <c r="AH62" s="16" t="s">
        <v>1421</v>
      </c>
      <c r="AI62" s="16" t="s">
        <v>1422</v>
      </c>
      <c r="AJ62" s="3" t="s">
        <v>270</v>
      </c>
      <c r="AK62" s="2" t="s">
        <v>1423</v>
      </c>
    </row>
    <row r="63" spans="1:37" ht="160.05000000000001" customHeight="1">
      <c r="A63" s="22" t="s">
        <v>1424</v>
      </c>
      <c r="B63" s="22" t="s">
        <v>179</v>
      </c>
      <c r="C63" s="2" t="s">
        <v>1425</v>
      </c>
      <c r="D63" s="2" t="s">
        <v>1426</v>
      </c>
      <c r="E63" s="2" t="s">
        <v>1427</v>
      </c>
      <c r="F63" s="2" t="s">
        <v>1428</v>
      </c>
      <c r="G63" s="2" t="s">
        <v>1429</v>
      </c>
      <c r="H63" s="41" t="s">
        <v>1430</v>
      </c>
      <c r="I63" s="2" t="s">
        <v>1204</v>
      </c>
      <c r="J63" s="42">
        <v>-37.663162</v>
      </c>
      <c r="K63" s="42">
        <v>144.95097799999999</v>
      </c>
      <c r="L63" s="2" t="s">
        <v>86</v>
      </c>
      <c r="M63" s="43">
        <v>336</v>
      </c>
      <c r="N63" s="2" t="s">
        <v>81</v>
      </c>
      <c r="O63" s="43">
        <v>48</v>
      </c>
      <c r="P63" s="2" t="s">
        <v>1431</v>
      </c>
      <c r="Q63" s="8" t="s">
        <v>37</v>
      </c>
      <c r="R63" s="2" t="s">
        <v>59</v>
      </c>
      <c r="S63" s="2"/>
      <c r="T63" s="22" t="s">
        <v>1432</v>
      </c>
      <c r="U63" s="2" t="s">
        <v>1433</v>
      </c>
      <c r="V63" s="22" t="s">
        <v>1351</v>
      </c>
      <c r="W63" s="2" t="s">
        <v>1434</v>
      </c>
      <c r="X63" s="2" t="s">
        <v>47</v>
      </c>
      <c r="Y63" s="2" t="s">
        <v>1435</v>
      </c>
      <c r="Z63" s="22" t="s">
        <v>54</v>
      </c>
      <c r="AA63" s="2" t="s">
        <v>1436</v>
      </c>
      <c r="AB63" s="2" t="s">
        <v>307</v>
      </c>
      <c r="AC63" s="2" t="s">
        <v>1437</v>
      </c>
      <c r="AD63" s="44" t="s">
        <v>64</v>
      </c>
      <c r="AE63" s="2" t="s">
        <v>1438</v>
      </c>
      <c r="AF63" s="16" t="s">
        <v>1439</v>
      </c>
      <c r="AG63" s="22"/>
      <c r="AH63" s="16" t="s">
        <v>1440</v>
      </c>
      <c r="AI63" s="16" t="s">
        <v>1441</v>
      </c>
      <c r="AJ63" s="3" t="s">
        <v>270</v>
      </c>
      <c r="AK63" s="2" t="s">
        <v>774</v>
      </c>
    </row>
    <row r="64" spans="1:37" ht="160.05000000000001" customHeight="1">
      <c r="A64" s="22" t="s">
        <v>1442</v>
      </c>
      <c r="B64" s="22" t="s">
        <v>179</v>
      </c>
      <c r="C64" s="2" t="s">
        <v>1443</v>
      </c>
      <c r="D64" s="2" t="s">
        <v>1444</v>
      </c>
      <c r="E64" s="2" t="s">
        <v>1445</v>
      </c>
      <c r="F64" s="2" t="s">
        <v>1446</v>
      </c>
      <c r="G64" s="2" t="s">
        <v>252</v>
      </c>
      <c r="H64" s="41" t="s">
        <v>253</v>
      </c>
      <c r="I64" s="2" t="s">
        <v>1447</v>
      </c>
      <c r="J64" s="42">
        <v>-37.819052999999997</v>
      </c>
      <c r="K64" s="42">
        <v>144.85288399999999</v>
      </c>
      <c r="L64" s="2" t="s">
        <v>86</v>
      </c>
      <c r="M64" s="43">
        <v>250</v>
      </c>
      <c r="N64" s="2" t="s">
        <v>77</v>
      </c>
      <c r="O64" s="22"/>
      <c r="P64" s="2" t="s">
        <v>1448</v>
      </c>
      <c r="Q64" s="8" t="s">
        <v>37</v>
      </c>
      <c r="R64" s="2" t="s">
        <v>59</v>
      </c>
      <c r="S64" s="2"/>
      <c r="T64" s="22" t="s">
        <v>1449</v>
      </c>
      <c r="U64" s="2" t="s">
        <v>1450</v>
      </c>
      <c r="V64" s="22" t="s">
        <v>1351</v>
      </c>
      <c r="W64" s="2" t="s">
        <v>307</v>
      </c>
      <c r="X64" s="2" t="s">
        <v>47</v>
      </c>
      <c r="Y64" s="2" t="s">
        <v>261</v>
      </c>
      <c r="Z64" s="22" t="s">
        <v>54</v>
      </c>
      <c r="AA64" s="2" t="s">
        <v>1451</v>
      </c>
      <c r="AB64" s="2" t="s">
        <v>307</v>
      </c>
      <c r="AC64" s="2" t="s">
        <v>1452</v>
      </c>
      <c r="AD64" s="44" t="s">
        <v>64</v>
      </c>
      <c r="AE64" s="2" t="s">
        <v>1453</v>
      </c>
      <c r="AF64" s="16" t="s">
        <v>1454</v>
      </c>
      <c r="AG64" s="22"/>
      <c r="AH64" s="16" t="s">
        <v>1455</v>
      </c>
      <c r="AI64" s="16" t="s">
        <v>1456</v>
      </c>
      <c r="AJ64" s="3" t="s">
        <v>270</v>
      </c>
      <c r="AK64" s="2" t="s">
        <v>774</v>
      </c>
    </row>
    <row r="65" spans="1:37" ht="160.05000000000001" customHeight="1">
      <c r="A65" s="22" t="s">
        <v>1457</v>
      </c>
      <c r="B65" s="22" t="s">
        <v>179</v>
      </c>
      <c r="C65" s="2" t="s">
        <v>1458</v>
      </c>
      <c r="D65" s="2" t="s">
        <v>1459</v>
      </c>
      <c r="E65" s="2" t="s">
        <v>1460</v>
      </c>
      <c r="F65" s="2" t="s">
        <v>1461</v>
      </c>
      <c r="G65" s="2" t="s">
        <v>856</v>
      </c>
      <c r="H65" s="41" t="s">
        <v>301</v>
      </c>
      <c r="I65" s="2" t="s">
        <v>385</v>
      </c>
      <c r="J65" s="42">
        <v>-37.835414</v>
      </c>
      <c r="K65" s="42">
        <v>144.79639599999999</v>
      </c>
      <c r="L65" s="2" t="s">
        <v>86</v>
      </c>
      <c r="M65" s="43">
        <v>250</v>
      </c>
      <c r="N65" s="2" t="s">
        <v>77</v>
      </c>
      <c r="O65" s="22"/>
      <c r="P65" s="2" t="s">
        <v>1462</v>
      </c>
      <c r="Q65" s="8" t="s">
        <v>37</v>
      </c>
      <c r="R65" s="2" t="s">
        <v>59</v>
      </c>
      <c r="S65" s="2"/>
      <c r="T65" s="22" t="s">
        <v>1463</v>
      </c>
      <c r="U65" s="2" t="s">
        <v>1464</v>
      </c>
      <c r="V65" s="22" t="s">
        <v>1351</v>
      </c>
      <c r="W65" s="2" t="s">
        <v>307</v>
      </c>
      <c r="X65" s="2" t="s">
        <v>47</v>
      </c>
      <c r="Y65" s="2" t="s">
        <v>261</v>
      </c>
      <c r="Z65" s="22" t="s">
        <v>54</v>
      </c>
      <c r="AA65" s="2" t="s">
        <v>1465</v>
      </c>
      <c r="AB65" s="2" t="s">
        <v>307</v>
      </c>
      <c r="AC65" s="2" t="s">
        <v>1466</v>
      </c>
      <c r="AD65" s="44" t="s">
        <v>64</v>
      </c>
      <c r="AE65" s="2" t="s">
        <v>1467</v>
      </c>
      <c r="AF65" s="16" t="s">
        <v>1468</v>
      </c>
      <c r="AG65" s="22"/>
      <c r="AH65" s="16" t="s">
        <v>1469</v>
      </c>
      <c r="AI65" s="16" t="s">
        <v>1470</v>
      </c>
      <c r="AJ65" s="3" t="s">
        <v>270</v>
      </c>
      <c r="AK65" s="2" t="s">
        <v>774</v>
      </c>
    </row>
    <row r="66" spans="1:37" ht="160.05000000000001" customHeight="1">
      <c r="A66" s="22" t="s">
        <v>1471</v>
      </c>
      <c r="B66" s="22" t="s">
        <v>179</v>
      </c>
      <c r="C66" s="2" t="s">
        <v>1472</v>
      </c>
      <c r="D66" s="2" t="s">
        <v>1473</v>
      </c>
      <c r="E66" s="2" t="s">
        <v>1474</v>
      </c>
      <c r="F66" s="2" t="s">
        <v>1475</v>
      </c>
      <c r="G66" s="2" t="s">
        <v>1476</v>
      </c>
      <c r="H66" s="41" t="s">
        <v>1477</v>
      </c>
      <c r="I66" s="2" t="s">
        <v>1478</v>
      </c>
      <c r="J66" s="42">
        <v>-37.827973999999998</v>
      </c>
      <c r="K66" s="42">
        <v>144.889532</v>
      </c>
      <c r="L66" s="2" t="s">
        <v>86</v>
      </c>
      <c r="M66" s="43">
        <v>240</v>
      </c>
      <c r="N66" s="2" t="s">
        <v>71</v>
      </c>
      <c r="O66" s="22"/>
      <c r="P66" s="2" t="s">
        <v>1479</v>
      </c>
      <c r="Q66" s="8" t="s">
        <v>37</v>
      </c>
      <c r="R66" s="2" t="s">
        <v>59</v>
      </c>
      <c r="S66" s="2"/>
      <c r="T66" s="22" t="s">
        <v>1480</v>
      </c>
      <c r="U66" s="2" t="s">
        <v>1481</v>
      </c>
      <c r="V66" s="22" t="s">
        <v>1351</v>
      </c>
      <c r="W66" s="2" t="s">
        <v>1482</v>
      </c>
      <c r="X66" s="2" t="s">
        <v>47</v>
      </c>
      <c r="Y66" s="2" t="s">
        <v>1483</v>
      </c>
      <c r="Z66" s="22" t="s">
        <v>54</v>
      </c>
      <c r="AA66" s="2" t="s">
        <v>1484</v>
      </c>
      <c r="AB66" s="2" t="s">
        <v>307</v>
      </c>
      <c r="AC66" s="2" t="s">
        <v>1485</v>
      </c>
      <c r="AD66" s="44" t="s">
        <v>64</v>
      </c>
      <c r="AE66" s="2" t="s">
        <v>1486</v>
      </c>
      <c r="AF66" s="16" t="s">
        <v>1487</v>
      </c>
      <c r="AG66" s="16" t="s">
        <v>1488</v>
      </c>
      <c r="AH66" s="16" t="s">
        <v>1489</v>
      </c>
      <c r="AI66" s="16" t="s">
        <v>1490</v>
      </c>
      <c r="AJ66" s="3" t="s">
        <v>270</v>
      </c>
      <c r="AK66" s="2" t="s">
        <v>626</v>
      </c>
    </row>
    <row r="67" spans="1:37" ht="160.05000000000001" customHeight="1">
      <c r="A67" s="22" t="s">
        <v>1491</v>
      </c>
      <c r="B67" s="22" t="s">
        <v>177</v>
      </c>
      <c r="C67" s="2" t="s">
        <v>1492</v>
      </c>
      <c r="D67" s="2" t="s">
        <v>1493</v>
      </c>
      <c r="E67" s="2" t="s">
        <v>1494</v>
      </c>
      <c r="F67" s="2" t="s">
        <v>1495</v>
      </c>
      <c r="G67" s="2" t="s">
        <v>1496</v>
      </c>
      <c r="H67" s="41" t="s">
        <v>278</v>
      </c>
      <c r="I67" s="2" t="s">
        <v>279</v>
      </c>
      <c r="J67" s="42">
        <v>-33.798462000000001</v>
      </c>
      <c r="K67" s="42">
        <v>151.14310399999999</v>
      </c>
      <c r="L67" s="2" t="s">
        <v>86</v>
      </c>
      <c r="M67" s="43">
        <v>169</v>
      </c>
      <c r="N67" s="2" t="s">
        <v>79</v>
      </c>
      <c r="O67" s="22"/>
      <c r="P67" s="2" t="s">
        <v>1497</v>
      </c>
      <c r="Q67" s="8" t="s">
        <v>37</v>
      </c>
      <c r="R67" s="2" t="s">
        <v>59</v>
      </c>
      <c r="S67" s="2"/>
      <c r="T67" s="22" t="s">
        <v>719</v>
      </c>
      <c r="U67" s="2" t="s">
        <v>1498</v>
      </c>
      <c r="V67" s="22" t="s">
        <v>1297</v>
      </c>
      <c r="W67" s="2" t="s">
        <v>1499</v>
      </c>
      <c r="X67" s="2" t="s">
        <v>47</v>
      </c>
      <c r="Y67" s="2" t="s">
        <v>1368</v>
      </c>
      <c r="Z67" s="22" t="s">
        <v>54</v>
      </c>
      <c r="AA67" s="2" t="s">
        <v>1500</v>
      </c>
      <c r="AB67" s="2" t="s">
        <v>307</v>
      </c>
      <c r="AC67" s="2" t="s">
        <v>1501</v>
      </c>
      <c r="AD67" s="44" t="s">
        <v>64</v>
      </c>
      <c r="AE67" s="2" t="s">
        <v>1502</v>
      </c>
      <c r="AF67" s="16" t="s">
        <v>1503</v>
      </c>
      <c r="AG67" s="22"/>
      <c r="AH67" s="16" t="s">
        <v>1504</v>
      </c>
      <c r="AI67" s="16" t="s">
        <v>1505</v>
      </c>
      <c r="AJ67" s="3" t="s">
        <v>270</v>
      </c>
      <c r="AK67" s="2" t="s">
        <v>1506</v>
      </c>
    </row>
    <row r="68" spans="1:37" ht="160.05000000000001" customHeight="1">
      <c r="A68" s="22" t="s">
        <v>1507</v>
      </c>
      <c r="B68" s="22" t="s">
        <v>177</v>
      </c>
      <c r="C68" s="2" t="s">
        <v>1508</v>
      </c>
      <c r="D68" s="2" t="s">
        <v>1509</v>
      </c>
      <c r="E68" s="2" t="s">
        <v>1510</v>
      </c>
      <c r="F68" s="2" t="s">
        <v>1511</v>
      </c>
      <c r="G68" s="2" t="s">
        <v>1291</v>
      </c>
      <c r="H68" s="41" t="s">
        <v>1292</v>
      </c>
      <c r="I68" s="2" t="s">
        <v>1293</v>
      </c>
      <c r="J68" s="42">
        <v>-33.847749999999998</v>
      </c>
      <c r="K68" s="42">
        <v>150.78215</v>
      </c>
      <c r="L68" s="2" t="s">
        <v>86</v>
      </c>
      <c r="M68" s="43">
        <v>144</v>
      </c>
      <c r="N68" s="2" t="s">
        <v>79</v>
      </c>
      <c r="O68" s="43">
        <v>144</v>
      </c>
      <c r="P68" s="2" t="s">
        <v>1512</v>
      </c>
      <c r="Q68" s="8" t="s">
        <v>37</v>
      </c>
      <c r="R68" s="2" t="s">
        <v>59</v>
      </c>
      <c r="S68" s="2"/>
      <c r="T68" s="22" t="s">
        <v>1309</v>
      </c>
      <c r="U68" s="2" t="s">
        <v>1513</v>
      </c>
      <c r="V68" s="22" t="s">
        <v>657</v>
      </c>
      <c r="W68" s="2" t="s">
        <v>307</v>
      </c>
      <c r="X68" s="2" t="s">
        <v>47</v>
      </c>
      <c r="Y68" s="2" t="s">
        <v>261</v>
      </c>
      <c r="Z68" s="22" t="s">
        <v>52</v>
      </c>
      <c r="AA68" s="2" t="s">
        <v>1514</v>
      </c>
      <c r="AB68" s="2" t="s">
        <v>287</v>
      </c>
      <c r="AC68" s="2" t="s">
        <v>1515</v>
      </c>
      <c r="AD68" s="44" t="s">
        <v>64</v>
      </c>
      <c r="AE68" s="2" t="s">
        <v>1516</v>
      </c>
      <c r="AF68" s="16" t="s">
        <v>1517</v>
      </c>
      <c r="AG68" s="22"/>
      <c r="AH68" s="16" t="s">
        <v>1518</v>
      </c>
      <c r="AI68" s="16" t="s">
        <v>1519</v>
      </c>
      <c r="AJ68" s="3" t="s">
        <v>270</v>
      </c>
      <c r="AK68" s="2" t="s">
        <v>605</v>
      </c>
    </row>
    <row r="69" spans="1:37" ht="160.05000000000001" customHeight="1">
      <c r="A69" s="32" t="s">
        <v>1520</v>
      </c>
      <c r="B69" s="32" t="s">
        <v>177</v>
      </c>
      <c r="C69" s="33" t="s">
        <v>1521</v>
      </c>
      <c r="D69" s="33" t="s">
        <v>1522</v>
      </c>
      <c r="E69" s="33" t="s">
        <v>56</v>
      </c>
      <c r="F69" s="33" t="s">
        <v>1523</v>
      </c>
      <c r="G69" s="33" t="s">
        <v>1096</v>
      </c>
      <c r="H69" s="34" t="s">
        <v>1097</v>
      </c>
      <c r="I69" s="33" t="s">
        <v>1098</v>
      </c>
      <c r="J69" s="35">
        <v>-33.808619999999998</v>
      </c>
      <c r="K69" s="35">
        <v>151.14580000000001</v>
      </c>
      <c r="L69" s="33" t="s">
        <v>86</v>
      </c>
      <c r="M69" s="36">
        <v>140</v>
      </c>
      <c r="N69" s="33" t="s">
        <v>71</v>
      </c>
      <c r="O69" s="32"/>
      <c r="P69" s="33" t="s">
        <v>1524</v>
      </c>
      <c r="Q69" s="51" t="s">
        <v>37</v>
      </c>
      <c r="R69" s="9" t="s">
        <v>61</v>
      </c>
      <c r="S69" s="33" t="s">
        <v>1525</v>
      </c>
      <c r="T69" s="32" t="s">
        <v>1309</v>
      </c>
      <c r="U69" s="33" t="s">
        <v>1526</v>
      </c>
      <c r="V69" s="32" t="s">
        <v>657</v>
      </c>
      <c r="W69" s="33" t="s">
        <v>307</v>
      </c>
      <c r="X69" s="33" t="s">
        <v>47</v>
      </c>
      <c r="Y69" s="33" t="s">
        <v>641</v>
      </c>
      <c r="Z69" s="32" t="s">
        <v>56</v>
      </c>
      <c r="AA69" s="33" t="s">
        <v>1527</v>
      </c>
      <c r="AB69" s="33" t="s">
        <v>287</v>
      </c>
      <c r="AC69" s="33" t="s">
        <v>1528</v>
      </c>
      <c r="AD69" s="38" t="s">
        <v>66</v>
      </c>
      <c r="AE69" s="33" t="s">
        <v>1529</v>
      </c>
      <c r="AF69" s="39" t="s">
        <v>1530</v>
      </c>
      <c r="AG69" s="32"/>
      <c r="AH69" s="39" t="s">
        <v>1531</v>
      </c>
      <c r="AI69" s="39" t="s">
        <v>1532</v>
      </c>
      <c r="AJ69" s="40" t="s">
        <v>270</v>
      </c>
      <c r="AK69" s="33" t="s">
        <v>294</v>
      </c>
    </row>
    <row r="70" spans="1:37" ht="148.94999999999999" customHeight="1">
      <c r="A70" s="22" t="s">
        <v>1533</v>
      </c>
      <c r="B70" s="22" t="s">
        <v>177</v>
      </c>
      <c r="C70" s="2" t="s">
        <v>1534</v>
      </c>
      <c r="D70" s="2" t="s">
        <v>530</v>
      </c>
      <c r="E70" s="2" t="s">
        <v>1535</v>
      </c>
      <c r="F70" s="2" t="s">
        <v>1536</v>
      </c>
      <c r="G70" s="2" t="s">
        <v>533</v>
      </c>
      <c r="H70" s="41" t="s">
        <v>534</v>
      </c>
      <c r="I70" s="2" t="s">
        <v>1537</v>
      </c>
      <c r="J70" s="42">
        <v>-33.831380000000003</v>
      </c>
      <c r="K70" s="42">
        <v>150.82622000000001</v>
      </c>
      <c r="L70" s="2" t="s">
        <v>86</v>
      </c>
      <c r="M70" s="43">
        <v>134.4</v>
      </c>
      <c r="N70" s="2" t="s">
        <v>79</v>
      </c>
      <c r="O70" s="22"/>
      <c r="P70" s="2" t="s">
        <v>1538</v>
      </c>
      <c r="Q70" s="8" t="s">
        <v>37</v>
      </c>
      <c r="R70" s="2" t="s">
        <v>59</v>
      </c>
      <c r="S70" s="2"/>
      <c r="T70" s="22" t="s">
        <v>1539</v>
      </c>
      <c r="U70" s="2" t="s">
        <v>1540</v>
      </c>
      <c r="V70" s="22" t="s">
        <v>657</v>
      </c>
      <c r="W70" s="2" t="s">
        <v>1541</v>
      </c>
      <c r="X70" s="2" t="s">
        <v>47</v>
      </c>
      <c r="Y70" s="2" t="s">
        <v>1542</v>
      </c>
      <c r="Z70" s="22" t="s">
        <v>52</v>
      </c>
      <c r="AA70" s="2" t="s">
        <v>1543</v>
      </c>
      <c r="AB70" s="2" t="s">
        <v>287</v>
      </c>
      <c r="AC70" s="2" t="s">
        <v>1544</v>
      </c>
      <c r="AD70" s="44" t="s">
        <v>64</v>
      </c>
      <c r="AE70" s="2" t="s">
        <v>1545</v>
      </c>
      <c r="AF70" s="16" t="s">
        <v>1546</v>
      </c>
      <c r="AG70" s="22"/>
      <c r="AH70" s="22"/>
      <c r="AI70" s="16" t="s">
        <v>1546</v>
      </c>
      <c r="AJ70" s="3" t="s">
        <v>270</v>
      </c>
      <c r="AK70" s="2" t="s">
        <v>294</v>
      </c>
    </row>
    <row r="71" spans="1:37" ht="160.05000000000001" customHeight="1">
      <c r="A71" s="22" t="s">
        <v>1547</v>
      </c>
      <c r="B71" s="22" t="s">
        <v>177</v>
      </c>
      <c r="C71" s="2" t="s">
        <v>1548</v>
      </c>
      <c r="D71" s="2" t="s">
        <v>1549</v>
      </c>
      <c r="E71" s="2" t="s">
        <v>1550</v>
      </c>
      <c r="F71" s="2" t="s">
        <v>486</v>
      </c>
      <c r="G71" s="2" t="s">
        <v>487</v>
      </c>
      <c r="H71" s="41" t="s">
        <v>488</v>
      </c>
      <c r="I71" s="2" t="s">
        <v>489</v>
      </c>
      <c r="J71" s="42">
        <v>-33.732526999999997</v>
      </c>
      <c r="K71" s="42">
        <v>150.96802199999999</v>
      </c>
      <c r="L71" s="2" t="s">
        <v>86</v>
      </c>
      <c r="M71" s="43">
        <v>96</v>
      </c>
      <c r="N71" s="2" t="s">
        <v>71</v>
      </c>
      <c r="O71" s="22"/>
      <c r="P71" s="2" t="s">
        <v>1551</v>
      </c>
      <c r="Q71" s="8" t="s">
        <v>37</v>
      </c>
      <c r="R71" s="2" t="s">
        <v>59</v>
      </c>
      <c r="S71" s="2"/>
      <c r="T71" s="22" t="s">
        <v>1080</v>
      </c>
      <c r="U71" s="2" t="s">
        <v>1552</v>
      </c>
      <c r="V71" s="22" t="s">
        <v>657</v>
      </c>
      <c r="W71" s="2" t="s">
        <v>1553</v>
      </c>
      <c r="X71" s="2" t="s">
        <v>47</v>
      </c>
      <c r="Y71" s="2" t="s">
        <v>1554</v>
      </c>
      <c r="Z71" s="22" t="s">
        <v>52</v>
      </c>
      <c r="AA71" s="2" t="s">
        <v>1555</v>
      </c>
      <c r="AB71" s="2" t="s">
        <v>287</v>
      </c>
      <c r="AC71" s="2" t="s">
        <v>1556</v>
      </c>
      <c r="AD71" s="44" t="s">
        <v>64</v>
      </c>
      <c r="AE71" s="2" t="s">
        <v>1557</v>
      </c>
      <c r="AF71" s="16" t="s">
        <v>1558</v>
      </c>
      <c r="AG71" s="16" t="s">
        <v>1559</v>
      </c>
      <c r="AH71" s="16" t="s">
        <v>1560</v>
      </c>
      <c r="AI71" s="16" t="s">
        <v>1561</v>
      </c>
      <c r="AJ71" s="3" t="s">
        <v>270</v>
      </c>
      <c r="AK71" s="2" t="s">
        <v>605</v>
      </c>
    </row>
    <row r="72" spans="1:37" ht="160.05000000000001" customHeight="1">
      <c r="A72" s="22" t="s">
        <v>1562</v>
      </c>
      <c r="B72" s="22" t="s">
        <v>177</v>
      </c>
      <c r="C72" s="2" t="s">
        <v>1563</v>
      </c>
      <c r="D72" s="2" t="s">
        <v>530</v>
      </c>
      <c r="E72" s="2" t="s">
        <v>1306</v>
      </c>
      <c r="F72" s="2" t="s">
        <v>1564</v>
      </c>
      <c r="G72" s="2" t="s">
        <v>277</v>
      </c>
      <c r="H72" s="41" t="s">
        <v>278</v>
      </c>
      <c r="I72" s="2" t="s">
        <v>279</v>
      </c>
      <c r="J72" s="42">
        <v>-33.786729999999999</v>
      </c>
      <c r="K72" s="42">
        <v>151.12788</v>
      </c>
      <c r="L72" s="2" t="s">
        <v>86</v>
      </c>
      <c r="M72" s="43">
        <v>90</v>
      </c>
      <c r="N72" s="2" t="s">
        <v>79</v>
      </c>
      <c r="O72" s="22"/>
      <c r="P72" s="2" t="s">
        <v>1565</v>
      </c>
      <c r="Q72" s="8" t="s">
        <v>37</v>
      </c>
      <c r="R72" s="2" t="s">
        <v>59</v>
      </c>
      <c r="S72" s="2"/>
      <c r="T72" s="22" t="s">
        <v>719</v>
      </c>
      <c r="U72" s="2" t="s">
        <v>1566</v>
      </c>
      <c r="V72" s="22" t="s">
        <v>657</v>
      </c>
      <c r="W72" s="2" t="s">
        <v>1567</v>
      </c>
      <c r="X72" s="2" t="s">
        <v>47</v>
      </c>
      <c r="Y72" s="2" t="s">
        <v>1568</v>
      </c>
      <c r="Z72" s="22" t="s">
        <v>52</v>
      </c>
      <c r="AA72" s="2" t="s">
        <v>1569</v>
      </c>
      <c r="AB72" s="2" t="s">
        <v>287</v>
      </c>
      <c r="AC72" s="2" t="s">
        <v>1570</v>
      </c>
      <c r="AD72" s="44" t="s">
        <v>64</v>
      </c>
      <c r="AE72" s="2" t="s">
        <v>1571</v>
      </c>
      <c r="AF72" s="16" t="s">
        <v>1572</v>
      </c>
      <c r="AG72" s="22"/>
      <c r="AH72" s="16" t="s">
        <v>1573</v>
      </c>
      <c r="AI72" s="16" t="s">
        <v>1574</v>
      </c>
      <c r="AJ72" s="3" t="s">
        <v>270</v>
      </c>
      <c r="AK72" s="2" t="s">
        <v>294</v>
      </c>
    </row>
    <row r="73" spans="1:37" ht="160.05000000000001" customHeight="1">
      <c r="A73" s="22" t="s">
        <v>1575</v>
      </c>
      <c r="B73" s="22" t="s">
        <v>177</v>
      </c>
      <c r="C73" s="2" t="s">
        <v>1576</v>
      </c>
      <c r="D73" s="2" t="s">
        <v>1577</v>
      </c>
      <c r="E73" s="2" t="s">
        <v>1578</v>
      </c>
      <c r="F73" s="2" t="s">
        <v>1579</v>
      </c>
      <c r="G73" s="2" t="s">
        <v>277</v>
      </c>
      <c r="H73" s="41" t="s">
        <v>278</v>
      </c>
      <c r="I73" s="2" t="s">
        <v>279</v>
      </c>
      <c r="J73" s="42">
        <v>-33.786749999999998</v>
      </c>
      <c r="K73" s="42">
        <v>151.13185999999999</v>
      </c>
      <c r="L73" s="2" t="s">
        <v>86</v>
      </c>
      <c r="M73" s="43">
        <v>70</v>
      </c>
      <c r="N73" s="2" t="s">
        <v>79</v>
      </c>
      <c r="O73" s="22"/>
      <c r="P73" s="2" t="s">
        <v>1580</v>
      </c>
      <c r="Q73" s="8" t="s">
        <v>37</v>
      </c>
      <c r="R73" s="2" t="s">
        <v>59</v>
      </c>
      <c r="S73" s="2"/>
      <c r="T73" s="22" t="s">
        <v>719</v>
      </c>
      <c r="U73" s="2" t="s">
        <v>1581</v>
      </c>
      <c r="V73" s="22" t="s">
        <v>1297</v>
      </c>
      <c r="W73" s="2" t="s">
        <v>1499</v>
      </c>
      <c r="X73" s="2" t="s">
        <v>47</v>
      </c>
      <c r="Y73" s="2" t="s">
        <v>1368</v>
      </c>
      <c r="Z73" s="22" t="s">
        <v>52</v>
      </c>
      <c r="AA73" s="2" t="s">
        <v>1582</v>
      </c>
      <c r="AB73" s="2" t="s">
        <v>307</v>
      </c>
      <c r="AC73" s="2" t="s">
        <v>1583</v>
      </c>
      <c r="AD73" s="46" t="s">
        <v>66</v>
      </c>
      <c r="AE73" s="2" t="s">
        <v>1584</v>
      </c>
      <c r="AF73" s="16" t="s">
        <v>1585</v>
      </c>
      <c r="AG73" s="22"/>
      <c r="AH73" s="16" t="s">
        <v>1586</v>
      </c>
      <c r="AI73" s="16" t="s">
        <v>1587</v>
      </c>
      <c r="AJ73" s="3" t="s">
        <v>270</v>
      </c>
      <c r="AK73" s="2" t="s">
        <v>527</v>
      </c>
    </row>
    <row r="74" spans="1:37" ht="160.05000000000001" customHeight="1">
      <c r="A74" s="32" t="s">
        <v>1588</v>
      </c>
      <c r="B74" s="32" t="s">
        <v>189</v>
      </c>
      <c r="C74" s="33" t="s">
        <v>1589</v>
      </c>
      <c r="D74" s="33" t="s">
        <v>441</v>
      </c>
      <c r="E74" s="33" t="s">
        <v>1590</v>
      </c>
      <c r="F74" s="33" t="s">
        <v>1591</v>
      </c>
      <c r="G74" s="33" t="s">
        <v>1592</v>
      </c>
      <c r="H74" s="34" t="s">
        <v>1593</v>
      </c>
      <c r="I74" s="33" t="s">
        <v>1594</v>
      </c>
      <c r="J74" s="35">
        <v>-41.176859</v>
      </c>
      <c r="K74" s="35">
        <v>146.449264</v>
      </c>
      <c r="L74" s="33" t="s">
        <v>86</v>
      </c>
      <c r="M74" s="36">
        <v>52</v>
      </c>
      <c r="N74" s="33" t="s">
        <v>79</v>
      </c>
      <c r="O74" s="36">
        <v>26</v>
      </c>
      <c r="P74" s="33" t="s">
        <v>1595</v>
      </c>
      <c r="Q74" s="51" t="s">
        <v>37</v>
      </c>
      <c r="R74" s="9" t="s">
        <v>61</v>
      </c>
      <c r="S74" s="33" t="s">
        <v>1596</v>
      </c>
      <c r="T74" s="32" t="s">
        <v>1597</v>
      </c>
      <c r="U74" s="33" t="s">
        <v>1598</v>
      </c>
      <c r="V74" s="32" t="s">
        <v>1599</v>
      </c>
      <c r="W74" s="33" t="s">
        <v>1600</v>
      </c>
      <c r="X74" s="33" t="s">
        <v>47</v>
      </c>
      <c r="Y74" s="33" t="s">
        <v>976</v>
      </c>
      <c r="Z74" s="32" t="s">
        <v>56</v>
      </c>
      <c r="AA74" s="33" t="s">
        <v>1601</v>
      </c>
      <c r="AB74" s="33" t="s">
        <v>1602</v>
      </c>
      <c r="AC74" s="33" t="s">
        <v>1603</v>
      </c>
      <c r="AD74" s="52" t="s">
        <v>64</v>
      </c>
      <c r="AE74" s="33" t="s">
        <v>1604</v>
      </c>
      <c r="AF74" s="39" t="s">
        <v>1605</v>
      </c>
      <c r="AG74" s="39" t="s">
        <v>1606</v>
      </c>
      <c r="AH74" s="39" t="s">
        <v>1607</v>
      </c>
      <c r="AI74" s="39" t="s">
        <v>1608</v>
      </c>
      <c r="AJ74" s="40" t="s">
        <v>270</v>
      </c>
      <c r="AK74" s="33" t="s">
        <v>462</v>
      </c>
    </row>
    <row r="75" spans="1:37" ht="160.05000000000001" customHeight="1">
      <c r="A75" s="22" t="s">
        <v>1609</v>
      </c>
      <c r="B75" s="22" t="s">
        <v>179</v>
      </c>
      <c r="C75" s="2" t="s">
        <v>1610</v>
      </c>
      <c r="D75" s="2" t="s">
        <v>1611</v>
      </c>
      <c r="E75" s="2" t="s">
        <v>1612</v>
      </c>
      <c r="F75" s="2" t="s">
        <v>1613</v>
      </c>
      <c r="G75" s="2" t="s">
        <v>1614</v>
      </c>
      <c r="H75" s="41" t="s">
        <v>1615</v>
      </c>
      <c r="I75" s="2" t="s">
        <v>1616</v>
      </c>
      <c r="J75" s="42">
        <v>-37.920755</v>
      </c>
      <c r="K75" s="42">
        <v>145.13193899999999</v>
      </c>
      <c r="L75" s="2" t="s">
        <v>86</v>
      </c>
      <c r="M75" s="43">
        <v>40</v>
      </c>
      <c r="N75" s="2" t="s">
        <v>81</v>
      </c>
      <c r="O75" s="22"/>
      <c r="P75" s="2" t="s">
        <v>1617</v>
      </c>
      <c r="Q75" s="8" t="s">
        <v>37</v>
      </c>
      <c r="R75" s="2" t="s">
        <v>59</v>
      </c>
      <c r="S75" s="2"/>
      <c r="T75" s="22" t="s">
        <v>878</v>
      </c>
      <c r="U75" s="2" t="s">
        <v>1618</v>
      </c>
      <c r="V75" s="22" t="s">
        <v>1619</v>
      </c>
      <c r="W75" s="2" t="s">
        <v>307</v>
      </c>
      <c r="X75" s="2" t="s">
        <v>47</v>
      </c>
      <c r="Y75" s="2" t="s">
        <v>261</v>
      </c>
      <c r="Z75" s="22" t="s">
        <v>52</v>
      </c>
      <c r="AA75" s="2" t="s">
        <v>1620</v>
      </c>
      <c r="AB75" s="2" t="s">
        <v>1621</v>
      </c>
      <c r="AC75" s="2" t="s">
        <v>1622</v>
      </c>
      <c r="AD75" s="46" t="s">
        <v>66</v>
      </c>
      <c r="AE75" s="2" t="s">
        <v>1623</v>
      </c>
      <c r="AF75" s="22"/>
      <c r="AG75" s="22"/>
      <c r="AH75" s="16" t="s">
        <v>1624</v>
      </c>
      <c r="AI75" s="16" t="s">
        <v>1625</v>
      </c>
      <c r="AJ75" s="3" t="s">
        <v>270</v>
      </c>
      <c r="AK75" s="2" t="s">
        <v>1626</v>
      </c>
    </row>
    <row r="76" spans="1:37" ht="160.05000000000001" customHeight="1">
      <c r="A76" s="32" t="s">
        <v>1627</v>
      </c>
      <c r="B76" s="32" t="s">
        <v>177</v>
      </c>
      <c r="C76" s="33" t="s">
        <v>1628</v>
      </c>
      <c r="D76" s="33" t="s">
        <v>1629</v>
      </c>
      <c r="E76" s="33" t="s">
        <v>1630</v>
      </c>
      <c r="F76" s="33" t="s">
        <v>1631</v>
      </c>
      <c r="G76" s="33" t="s">
        <v>1632</v>
      </c>
      <c r="H76" s="34" t="s">
        <v>1633</v>
      </c>
      <c r="I76" s="33" t="s">
        <v>673</v>
      </c>
      <c r="J76" s="35">
        <v>-33.908056000000002</v>
      </c>
      <c r="K76" s="35">
        <v>151.201257</v>
      </c>
      <c r="L76" s="33" t="s">
        <v>88</v>
      </c>
      <c r="M76" s="36">
        <v>38</v>
      </c>
      <c r="N76" s="33" t="s">
        <v>71</v>
      </c>
      <c r="O76" s="32"/>
      <c r="P76" s="33" t="s">
        <v>1634</v>
      </c>
      <c r="Q76" s="51" t="s">
        <v>37</v>
      </c>
      <c r="R76" s="9" t="s">
        <v>61</v>
      </c>
      <c r="S76" s="33" t="s">
        <v>1635</v>
      </c>
      <c r="T76" s="32" t="s">
        <v>1636</v>
      </c>
      <c r="U76" s="33" t="s">
        <v>1637</v>
      </c>
      <c r="V76" s="32" t="s">
        <v>657</v>
      </c>
      <c r="W76" s="33" t="s">
        <v>307</v>
      </c>
      <c r="X76" s="33" t="s">
        <v>47</v>
      </c>
      <c r="Y76" s="33" t="s">
        <v>261</v>
      </c>
      <c r="Z76" s="32" t="s">
        <v>56</v>
      </c>
      <c r="AA76" s="33" t="s">
        <v>1638</v>
      </c>
      <c r="AB76" s="33" t="s">
        <v>287</v>
      </c>
      <c r="AC76" s="33" t="s">
        <v>1639</v>
      </c>
      <c r="AD76" s="38" t="s">
        <v>66</v>
      </c>
      <c r="AE76" s="33" t="s">
        <v>1640</v>
      </c>
      <c r="AF76" s="39" t="s">
        <v>1641</v>
      </c>
      <c r="AG76" s="32"/>
      <c r="AH76" s="39" t="s">
        <v>1642</v>
      </c>
      <c r="AI76" s="39" t="s">
        <v>1643</v>
      </c>
      <c r="AJ76" s="40" t="s">
        <v>270</v>
      </c>
      <c r="AK76" s="33" t="s">
        <v>605</v>
      </c>
    </row>
    <row r="77" spans="1:37" ht="160.05000000000001" customHeight="1">
      <c r="A77" s="32" t="s">
        <v>1644</v>
      </c>
      <c r="B77" s="32" t="s">
        <v>181</v>
      </c>
      <c r="C77" s="33" t="s">
        <v>1645</v>
      </c>
      <c r="D77" s="33" t="s">
        <v>1646</v>
      </c>
      <c r="E77" s="33" t="s">
        <v>1647</v>
      </c>
      <c r="F77" s="33" t="s">
        <v>1648</v>
      </c>
      <c r="G77" s="33" t="s">
        <v>1649</v>
      </c>
      <c r="H77" s="34" t="s">
        <v>1650</v>
      </c>
      <c r="I77" s="33" t="s">
        <v>1651</v>
      </c>
      <c r="J77" s="35">
        <v>-27.661273999999999</v>
      </c>
      <c r="K77" s="35">
        <v>152.82412199999999</v>
      </c>
      <c r="L77" s="33" t="s">
        <v>92</v>
      </c>
      <c r="M77" s="54" t="s">
        <v>307</v>
      </c>
      <c r="N77" s="33" t="s">
        <v>81</v>
      </c>
      <c r="O77" s="32"/>
      <c r="P77" s="33" t="s">
        <v>1652</v>
      </c>
      <c r="Q77" s="51" t="s">
        <v>37</v>
      </c>
      <c r="R77" s="9" t="s">
        <v>61</v>
      </c>
      <c r="S77" s="33" t="s">
        <v>1653</v>
      </c>
      <c r="T77" s="32" t="s">
        <v>1046</v>
      </c>
      <c r="U77" s="33" t="s">
        <v>1654</v>
      </c>
      <c r="V77" s="32" t="s">
        <v>1297</v>
      </c>
      <c r="W77" s="33" t="s">
        <v>307</v>
      </c>
      <c r="X77" s="33" t="s">
        <v>47</v>
      </c>
      <c r="Y77" s="33"/>
      <c r="Z77" s="32" t="s">
        <v>56</v>
      </c>
      <c r="AA77" s="33" t="s">
        <v>1655</v>
      </c>
      <c r="AB77" s="33" t="s">
        <v>307</v>
      </c>
      <c r="AC77" s="33" t="s">
        <v>1656</v>
      </c>
      <c r="AD77" s="38" t="s">
        <v>66</v>
      </c>
      <c r="AE77" s="33" t="s">
        <v>1657</v>
      </c>
      <c r="AF77" s="32"/>
      <c r="AG77" s="32"/>
      <c r="AH77" s="39" t="s">
        <v>1658</v>
      </c>
      <c r="AI77" s="39" t="s">
        <v>1659</v>
      </c>
      <c r="AJ77" s="40" t="s">
        <v>270</v>
      </c>
      <c r="AK77" s="33" t="s">
        <v>1267</v>
      </c>
    </row>
    <row r="78" spans="1:37" ht="148.94999999999999" customHeight="1">
      <c r="A78" s="32" t="s">
        <v>1660</v>
      </c>
      <c r="B78" s="32" t="s">
        <v>179</v>
      </c>
      <c r="C78" s="33" t="s">
        <v>1661</v>
      </c>
      <c r="D78" s="33" t="s">
        <v>1662</v>
      </c>
      <c r="E78" s="33" t="s">
        <v>307</v>
      </c>
      <c r="F78" s="33" t="s">
        <v>1663</v>
      </c>
      <c r="G78" s="33" t="s">
        <v>1664</v>
      </c>
      <c r="H78" s="34" t="s">
        <v>1665</v>
      </c>
      <c r="I78" s="33" t="s">
        <v>1204</v>
      </c>
      <c r="J78" s="35">
        <v>-37.578530999999998</v>
      </c>
      <c r="K78" s="35">
        <v>144.94612599999999</v>
      </c>
      <c r="L78" s="33" t="s">
        <v>88</v>
      </c>
      <c r="M78" s="54" t="s">
        <v>307</v>
      </c>
      <c r="N78" s="33" t="s">
        <v>81</v>
      </c>
      <c r="O78" s="32"/>
      <c r="P78" s="33" t="s">
        <v>1666</v>
      </c>
      <c r="Q78" s="51" t="s">
        <v>37</v>
      </c>
      <c r="R78" s="9" t="s">
        <v>61</v>
      </c>
      <c r="S78" s="33" t="s">
        <v>1667</v>
      </c>
      <c r="T78" s="32" t="s">
        <v>719</v>
      </c>
      <c r="U78" s="33" t="s">
        <v>1668</v>
      </c>
      <c r="V78" s="32" t="s">
        <v>1351</v>
      </c>
      <c r="W78" s="33" t="s">
        <v>307</v>
      </c>
      <c r="X78" s="33" t="s">
        <v>47</v>
      </c>
      <c r="Y78" s="33"/>
      <c r="Z78" s="32" t="s">
        <v>56</v>
      </c>
      <c r="AA78" s="33" t="s">
        <v>1669</v>
      </c>
      <c r="AB78" s="33" t="s">
        <v>307</v>
      </c>
      <c r="AC78" s="33" t="s">
        <v>1670</v>
      </c>
      <c r="AD78" s="47" t="s">
        <v>68</v>
      </c>
      <c r="AE78" s="33" t="s">
        <v>1671</v>
      </c>
      <c r="AF78" s="39" t="s">
        <v>1672</v>
      </c>
      <c r="AG78" s="32"/>
      <c r="AH78" s="32"/>
      <c r="AI78" s="39" t="s">
        <v>1673</v>
      </c>
      <c r="AJ78" s="40" t="s">
        <v>270</v>
      </c>
      <c r="AK78" s="33" t="s">
        <v>918</v>
      </c>
    </row>
    <row r="79" spans="1:37" ht="160.05000000000001" customHeight="1">
      <c r="A79" s="32" t="s">
        <v>1674</v>
      </c>
      <c r="B79" s="32" t="s">
        <v>179</v>
      </c>
      <c r="C79" s="33" t="s">
        <v>1675</v>
      </c>
      <c r="D79" s="33" t="s">
        <v>1676</v>
      </c>
      <c r="E79" s="33" t="s">
        <v>1677</v>
      </c>
      <c r="F79" s="33" t="s">
        <v>1678</v>
      </c>
      <c r="G79" s="33" t="s">
        <v>1679</v>
      </c>
      <c r="H79" s="34" t="s">
        <v>1665</v>
      </c>
      <c r="I79" s="33" t="s">
        <v>1204</v>
      </c>
      <c r="J79" s="35">
        <v>-37.539906000000002</v>
      </c>
      <c r="K79" s="35">
        <v>144.93929600000001</v>
      </c>
      <c r="L79" s="33" t="s">
        <v>86</v>
      </c>
      <c r="M79" s="54" t="s">
        <v>307</v>
      </c>
      <c r="N79" s="33" t="s">
        <v>81</v>
      </c>
      <c r="O79" s="32"/>
      <c r="P79" s="33" t="s">
        <v>1680</v>
      </c>
      <c r="Q79" s="51" t="s">
        <v>37</v>
      </c>
      <c r="R79" s="9" t="s">
        <v>61</v>
      </c>
      <c r="S79" s="33" t="s">
        <v>1681</v>
      </c>
      <c r="T79" s="32" t="s">
        <v>1682</v>
      </c>
      <c r="U79" s="33" t="s">
        <v>1683</v>
      </c>
      <c r="V79" s="32" t="s">
        <v>1351</v>
      </c>
      <c r="W79" s="33" t="s">
        <v>307</v>
      </c>
      <c r="X79" s="33" t="s">
        <v>47</v>
      </c>
      <c r="Y79" s="33" t="s">
        <v>641</v>
      </c>
      <c r="Z79" s="32" t="s">
        <v>54</v>
      </c>
      <c r="AA79" s="33" t="s">
        <v>1684</v>
      </c>
      <c r="AB79" s="33" t="s">
        <v>307</v>
      </c>
      <c r="AC79" s="33" t="s">
        <v>1685</v>
      </c>
      <c r="AD79" s="38" t="s">
        <v>66</v>
      </c>
      <c r="AE79" s="33" t="s">
        <v>1686</v>
      </c>
      <c r="AF79" s="39" t="s">
        <v>1687</v>
      </c>
      <c r="AG79" s="32"/>
      <c r="AH79" s="39" t="s">
        <v>1688</v>
      </c>
      <c r="AI79" s="39" t="s">
        <v>1689</v>
      </c>
      <c r="AJ79" s="40" t="s">
        <v>270</v>
      </c>
      <c r="AK79" s="33" t="s">
        <v>626</v>
      </c>
    </row>
    <row r="80" spans="1:37" ht="160.05000000000001" customHeight="1">
      <c r="A80" s="22" t="s">
        <v>1690</v>
      </c>
      <c r="B80" s="22" t="s">
        <v>179</v>
      </c>
      <c r="C80" s="2" t="s">
        <v>1691</v>
      </c>
      <c r="D80" s="2" t="s">
        <v>530</v>
      </c>
      <c r="E80" s="2" t="s">
        <v>1692</v>
      </c>
      <c r="F80" s="2" t="s">
        <v>1693</v>
      </c>
      <c r="G80" s="2" t="s">
        <v>875</v>
      </c>
      <c r="H80" s="41" t="s">
        <v>253</v>
      </c>
      <c r="I80" s="2" t="s">
        <v>876</v>
      </c>
      <c r="J80" s="42">
        <v>-37.8033</v>
      </c>
      <c r="K80" s="42">
        <v>144.862279</v>
      </c>
      <c r="L80" s="2" t="s">
        <v>88</v>
      </c>
      <c r="M80" s="48" t="s">
        <v>307</v>
      </c>
      <c r="N80" s="2" t="s">
        <v>81</v>
      </c>
      <c r="O80" s="22"/>
      <c r="P80" s="2" t="s">
        <v>1694</v>
      </c>
      <c r="Q80" s="8" t="s">
        <v>37</v>
      </c>
      <c r="R80" s="2" t="s">
        <v>59</v>
      </c>
      <c r="S80" s="2"/>
      <c r="T80" s="22" t="s">
        <v>1349</v>
      </c>
      <c r="U80" s="2" t="s">
        <v>1695</v>
      </c>
      <c r="V80" s="22" t="s">
        <v>1351</v>
      </c>
      <c r="W80" s="2" t="s">
        <v>1696</v>
      </c>
      <c r="X80" s="2" t="s">
        <v>47</v>
      </c>
      <c r="Y80" s="2" t="s">
        <v>1697</v>
      </c>
      <c r="Z80" s="22" t="s">
        <v>54</v>
      </c>
      <c r="AA80" s="2" t="s">
        <v>1698</v>
      </c>
      <c r="AB80" s="2" t="s">
        <v>307</v>
      </c>
      <c r="AC80" s="2" t="s">
        <v>1699</v>
      </c>
      <c r="AD80" s="44" t="s">
        <v>64</v>
      </c>
      <c r="AE80" s="2" t="s">
        <v>1700</v>
      </c>
      <c r="AF80" s="16" t="s">
        <v>886</v>
      </c>
      <c r="AG80" s="22"/>
      <c r="AH80" s="16" t="s">
        <v>1701</v>
      </c>
      <c r="AI80" s="16" t="s">
        <v>1702</v>
      </c>
      <c r="AJ80" s="3" t="s">
        <v>270</v>
      </c>
      <c r="AK80" s="2" t="s">
        <v>918</v>
      </c>
    </row>
  </sheetData>
  <autoFilter ref="A1:AK80" xr:uid="{00000000-0009-0000-0000-000002000000}"/>
  <phoneticPr fontId="25" type="noConversion"/>
  <hyperlinks>
    <hyperlink ref="AF2" r:id="rId1" xr:uid="{00000000-0004-0000-0200-000000000000}"/>
    <hyperlink ref="AG2" r:id="rId2" xr:uid="{00000000-0004-0000-0200-000001000000}"/>
    <hyperlink ref="AH2" r:id="rId3" xr:uid="{00000000-0004-0000-0200-000002000000}"/>
    <hyperlink ref="AI2" r:id="rId4" xr:uid="{00000000-0004-0000-0200-000003000000}"/>
    <hyperlink ref="AJ2" r:id="rId5" xr:uid="{00000000-0004-0000-0200-000004000000}"/>
    <hyperlink ref="AF3" r:id="rId6" xr:uid="{00000000-0004-0000-0200-000005000000}"/>
    <hyperlink ref="AG3" r:id="rId7" xr:uid="{00000000-0004-0000-0200-000006000000}"/>
    <hyperlink ref="AH3" r:id="rId8" xr:uid="{00000000-0004-0000-0200-000007000000}"/>
    <hyperlink ref="AI3" r:id="rId9" xr:uid="{00000000-0004-0000-0200-000008000000}"/>
    <hyperlink ref="AJ3" r:id="rId10" xr:uid="{00000000-0004-0000-0200-000009000000}"/>
    <hyperlink ref="AF4" r:id="rId11" xr:uid="{00000000-0004-0000-0200-00000A000000}"/>
    <hyperlink ref="AG4" r:id="rId12" xr:uid="{00000000-0004-0000-0200-00000B000000}"/>
    <hyperlink ref="AH4" r:id="rId13" xr:uid="{00000000-0004-0000-0200-00000C000000}"/>
    <hyperlink ref="AI4" r:id="rId14" xr:uid="{00000000-0004-0000-0200-00000D000000}"/>
    <hyperlink ref="AJ4" r:id="rId15" xr:uid="{00000000-0004-0000-0200-00000E000000}"/>
    <hyperlink ref="AF5" r:id="rId16" xr:uid="{00000000-0004-0000-0200-00000F000000}"/>
    <hyperlink ref="AG5" r:id="rId17" xr:uid="{00000000-0004-0000-0200-000010000000}"/>
    <hyperlink ref="AH5" r:id="rId18" xr:uid="{00000000-0004-0000-0200-000011000000}"/>
    <hyperlink ref="AI5" r:id="rId19" xr:uid="{00000000-0004-0000-0200-000012000000}"/>
    <hyperlink ref="AJ5" r:id="rId20" xr:uid="{00000000-0004-0000-0200-000013000000}"/>
    <hyperlink ref="AG6" r:id="rId21" xr:uid="{00000000-0004-0000-0200-000014000000}"/>
    <hyperlink ref="AH6" r:id="rId22" xr:uid="{00000000-0004-0000-0200-000015000000}"/>
    <hyperlink ref="AI6" r:id="rId23" xr:uid="{00000000-0004-0000-0200-000016000000}"/>
    <hyperlink ref="AJ6" r:id="rId24" xr:uid="{00000000-0004-0000-0200-000017000000}"/>
    <hyperlink ref="AH7" r:id="rId25" xr:uid="{00000000-0004-0000-0200-000018000000}"/>
    <hyperlink ref="AI7" r:id="rId26" xr:uid="{00000000-0004-0000-0200-000019000000}"/>
    <hyperlink ref="AJ7" r:id="rId27" xr:uid="{00000000-0004-0000-0200-00001A000000}"/>
    <hyperlink ref="AF8" r:id="rId28" xr:uid="{00000000-0004-0000-0200-00001B000000}"/>
    <hyperlink ref="AG8" r:id="rId29" xr:uid="{00000000-0004-0000-0200-00001C000000}"/>
    <hyperlink ref="AH8" r:id="rId30" xr:uid="{00000000-0004-0000-0200-00001D000000}"/>
    <hyperlink ref="AI8" r:id="rId31" xr:uid="{00000000-0004-0000-0200-00001E000000}"/>
    <hyperlink ref="AJ8" r:id="rId32" xr:uid="{00000000-0004-0000-0200-00001F000000}"/>
    <hyperlink ref="AF9" r:id="rId33" xr:uid="{00000000-0004-0000-0200-000020000000}"/>
    <hyperlink ref="AG9" r:id="rId34" xr:uid="{00000000-0004-0000-0200-000021000000}"/>
    <hyperlink ref="AH9" r:id="rId35" xr:uid="{00000000-0004-0000-0200-000022000000}"/>
    <hyperlink ref="AI9" r:id="rId36" xr:uid="{00000000-0004-0000-0200-000023000000}"/>
    <hyperlink ref="AJ9" r:id="rId37" xr:uid="{00000000-0004-0000-0200-000024000000}"/>
    <hyperlink ref="AG10" r:id="rId38" xr:uid="{00000000-0004-0000-0200-000025000000}"/>
    <hyperlink ref="AH10" r:id="rId39" xr:uid="{00000000-0004-0000-0200-000026000000}"/>
    <hyperlink ref="AI10" r:id="rId40" xr:uid="{00000000-0004-0000-0200-000027000000}"/>
    <hyperlink ref="AJ10" r:id="rId41" xr:uid="{00000000-0004-0000-0200-000028000000}"/>
    <hyperlink ref="AF11" r:id="rId42" xr:uid="{00000000-0004-0000-0200-000029000000}"/>
    <hyperlink ref="AG11" r:id="rId43" xr:uid="{00000000-0004-0000-0200-00002A000000}"/>
    <hyperlink ref="AH11" r:id="rId44" xr:uid="{00000000-0004-0000-0200-00002B000000}"/>
    <hyperlink ref="AI11" r:id="rId45" xr:uid="{00000000-0004-0000-0200-00002C000000}"/>
    <hyperlink ref="AJ11" r:id="rId46" xr:uid="{00000000-0004-0000-0200-00002D000000}"/>
    <hyperlink ref="AF12" r:id="rId47" xr:uid="{00000000-0004-0000-0200-00002E000000}"/>
    <hyperlink ref="AG12" r:id="rId48" xr:uid="{00000000-0004-0000-0200-00002F000000}"/>
    <hyperlink ref="AH12" r:id="rId49" xr:uid="{00000000-0004-0000-0200-000030000000}"/>
    <hyperlink ref="AI12" r:id="rId50" xr:uid="{00000000-0004-0000-0200-000031000000}"/>
    <hyperlink ref="AJ12" r:id="rId51" xr:uid="{00000000-0004-0000-0200-000032000000}"/>
    <hyperlink ref="AF13" r:id="rId52" xr:uid="{00000000-0004-0000-0200-000033000000}"/>
    <hyperlink ref="AG13" r:id="rId53" xr:uid="{00000000-0004-0000-0200-000034000000}"/>
    <hyperlink ref="AH13" r:id="rId54" xr:uid="{00000000-0004-0000-0200-000035000000}"/>
    <hyperlink ref="AI13" r:id="rId55" xr:uid="{00000000-0004-0000-0200-000036000000}"/>
    <hyperlink ref="AJ13" r:id="rId56" xr:uid="{00000000-0004-0000-0200-000037000000}"/>
    <hyperlink ref="AF14" r:id="rId57" xr:uid="{00000000-0004-0000-0200-000038000000}"/>
    <hyperlink ref="AG14" r:id="rId58" xr:uid="{00000000-0004-0000-0200-000039000000}"/>
    <hyperlink ref="AH14" r:id="rId59" xr:uid="{00000000-0004-0000-0200-00003A000000}"/>
    <hyperlink ref="AI14" r:id="rId60" xr:uid="{00000000-0004-0000-0200-00003B000000}"/>
    <hyperlink ref="AJ14" r:id="rId61" xr:uid="{00000000-0004-0000-0200-00003C000000}"/>
    <hyperlink ref="AF15" r:id="rId62" xr:uid="{00000000-0004-0000-0200-00003D000000}"/>
    <hyperlink ref="AI15" r:id="rId63" xr:uid="{00000000-0004-0000-0200-00003E000000}"/>
    <hyperlink ref="AJ15" r:id="rId64" xr:uid="{00000000-0004-0000-0200-00003F000000}"/>
    <hyperlink ref="AF16" r:id="rId65" xr:uid="{00000000-0004-0000-0200-000040000000}"/>
    <hyperlink ref="AG16" r:id="rId66" xr:uid="{00000000-0004-0000-0200-000041000000}"/>
    <hyperlink ref="AH16" r:id="rId67" xr:uid="{00000000-0004-0000-0200-000042000000}"/>
    <hyperlink ref="AI16" r:id="rId68" xr:uid="{00000000-0004-0000-0200-000043000000}"/>
    <hyperlink ref="AJ16" r:id="rId69" xr:uid="{00000000-0004-0000-0200-000044000000}"/>
    <hyperlink ref="AF17" r:id="rId70" xr:uid="{00000000-0004-0000-0200-000045000000}"/>
    <hyperlink ref="AH17" r:id="rId71" xr:uid="{00000000-0004-0000-0200-000046000000}"/>
    <hyperlink ref="AI17" r:id="rId72" xr:uid="{00000000-0004-0000-0200-000047000000}"/>
    <hyperlink ref="AJ17" r:id="rId73" xr:uid="{00000000-0004-0000-0200-000048000000}"/>
    <hyperlink ref="AF18" r:id="rId74" xr:uid="{00000000-0004-0000-0200-000049000000}"/>
    <hyperlink ref="AG18" r:id="rId75" xr:uid="{00000000-0004-0000-0200-00004A000000}"/>
    <hyperlink ref="AH18" r:id="rId76" xr:uid="{00000000-0004-0000-0200-00004B000000}"/>
    <hyperlink ref="AI18" r:id="rId77" xr:uid="{00000000-0004-0000-0200-00004C000000}"/>
    <hyperlink ref="AJ18" r:id="rId78" xr:uid="{00000000-0004-0000-0200-00004D000000}"/>
    <hyperlink ref="AF19" r:id="rId79" xr:uid="{00000000-0004-0000-0200-00004E000000}"/>
    <hyperlink ref="AH19" r:id="rId80" xr:uid="{00000000-0004-0000-0200-00004F000000}"/>
    <hyperlink ref="AI19" r:id="rId81" xr:uid="{00000000-0004-0000-0200-000050000000}"/>
    <hyperlink ref="AJ19" r:id="rId82" xr:uid="{00000000-0004-0000-0200-000051000000}"/>
    <hyperlink ref="AF20" r:id="rId83" xr:uid="{00000000-0004-0000-0200-000052000000}"/>
    <hyperlink ref="AG20" r:id="rId84" xr:uid="{00000000-0004-0000-0200-000053000000}"/>
    <hyperlink ref="AH20" r:id="rId85" xr:uid="{00000000-0004-0000-0200-000054000000}"/>
    <hyperlink ref="AI20" r:id="rId86" xr:uid="{00000000-0004-0000-0200-000055000000}"/>
    <hyperlink ref="AJ20" r:id="rId87" xr:uid="{00000000-0004-0000-0200-000056000000}"/>
    <hyperlink ref="AF21" r:id="rId88" xr:uid="{00000000-0004-0000-0200-000057000000}"/>
    <hyperlink ref="AH21" r:id="rId89" xr:uid="{00000000-0004-0000-0200-000058000000}"/>
    <hyperlink ref="AI21" r:id="rId90" xr:uid="{00000000-0004-0000-0200-000059000000}"/>
    <hyperlink ref="AJ21" r:id="rId91" xr:uid="{00000000-0004-0000-0200-00005A000000}"/>
    <hyperlink ref="AF22" r:id="rId92" xr:uid="{00000000-0004-0000-0200-00005B000000}"/>
    <hyperlink ref="AH22" r:id="rId93" xr:uid="{00000000-0004-0000-0200-00005C000000}"/>
    <hyperlink ref="AI22" r:id="rId94" xr:uid="{00000000-0004-0000-0200-00005D000000}"/>
    <hyperlink ref="AJ22" r:id="rId95" xr:uid="{00000000-0004-0000-0200-00005E000000}"/>
    <hyperlink ref="AF23" r:id="rId96" xr:uid="{00000000-0004-0000-0200-00005F000000}"/>
    <hyperlink ref="AG23" r:id="rId97" xr:uid="{00000000-0004-0000-0200-000060000000}"/>
    <hyperlink ref="AH23" r:id="rId98" xr:uid="{00000000-0004-0000-0200-000061000000}"/>
    <hyperlink ref="AI23" r:id="rId99" xr:uid="{00000000-0004-0000-0200-000062000000}"/>
    <hyperlink ref="AJ23" r:id="rId100" xr:uid="{00000000-0004-0000-0200-000063000000}"/>
    <hyperlink ref="AF24" r:id="rId101" xr:uid="{00000000-0004-0000-0200-000064000000}"/>
    <hyperlink ref="AG24" r:id="rId102" xr:uid="{00000000-0004-0000-0200-000065000000}"/>
    <hyperlink ref="AH24" r:id="rId103" xr:uid="{00000000-0004-0000-0200-000066000000}"/>
    <hyperlink ref="AI24" r:id="rId104" xr:uid="{00000000-0004-0000-0200-000067000000}"/>
    <hyperlink ref="AJ24" r:id="rId105" xr:uid="{00000000-0004-0000-0200-000068000000}"/>
    <hyperlink ref="AF25" r:id="rId106" xr:uid="{00000000-0004-0000-0200-000069000000}"/>
    <hyperlink ref="AG25" r:id="rId107" xr:uid="{00000000-0004-0000-0200-00006A000000}"/>
    <hyperlink ref="AH25" r:id="rId108" xr:uid="{00000000-0004-0000-0200-00006B000000}"/>
    <hyperlink ref="AI25" r:id="rId109" xr:uid="{00000000-0004-0000-0200-00006C000000}"/>
    <hyperlink ref="AJ25" r:id="rId110" xr:uid="{00000000-0004-0000-0200-00006D000000}"/>
    <hyperlink ref="AF26" r:id="rId111" xr:uid="{00000000-0004-0000-0200-00006E000000}"/>
    <hyperlink ref="AH26" r:id="rId112" xr:uid="{00000000-0004-0000-0200-00006F000000}"/>
    <hyperlink ref="AI26" r:id="rId113" xr:uid="{00000000-0004-0000-0200-000070000000}"/>
    <hyperlink ref="AJ26" r:id="rId114" xr:uid="{00000000-0004-0000-0200-000071000000}"/>
    <hyperlink ref="AF27" r:id="rId115" xr:uid="{00000000-0004-0000-0200-000072000000}"/>
    <hyperlink ref="AG27" r:id="rId116" xr:uid="{00000000-0004-0000-0200-000073000000}"/>
    <hyperlink ref="AH27" r:id="rId117" xr:uid="{00000000-0004-0000-0200-000074000000}"/>
    <hyperlink ref="AI27" r:id="rId118" xr:uid="{00000000-0004-0000-0200-000075000000}"/>
    <hyperlink ref="AJ27" r:id="rId119" xr:uid="{00000000-0004-0000-0200-000076000000}"/>
    <hyperlink ref="AF28" r:id="rId120" xr:uid="{00000000-0004-0000-0200-000077000000}"/>
    <hyperlink ref="AH28" r:id="rId121" xr:uid="{00000000-0004-0000-0200-000078000000}"/>
    <hyperlink ref="AI28" r:id="rId122" xr:uid="{00000000-0004-0000-0200-000079000000}"/>
    <hyperlink ref="AJ28" r:id="rId123" xr:uid="{00000000-0004-0000-0200-00007A000000}"/>
    <hyperlink ref="AF29" r:id="rId124" xr:uid="{00000000-0004-0000-0200-00007B000000}"/>
    <hyperlink ref="AG29" r:id="rId125" xr:uid="{00000000-0004-0000-0200-00007C000000}"/>
    <hyperlink ref="AH29" r:id="rId126" xr:uid="{00000000-0004-0000-0200-00007D000000}"/>
    <hyperlink ref="AI29" r:id="rId127" xr:uid="{00000000-0004-0000-0200-00007E000000}"/>
    <hyperlink ref="AJ29" r:id="rId128" xr:uid="{00000000-0004-0000-0200-00007F000000}"/>
    <hyperlink ref="AF30" r:id="rId129" xr:uid="{00000000-0004-0000-0200-000080000000}"/>
    <hyperlink ref="AH30" r:id="rId130" xr:uid="{00000000-0004-0000-0200-000081000000}"/>
    <hyperlink ref="AI30" r:id="rId131" xr:uid="{00000000-0004-0000-0200-000082000000}"/>
    <hyperlink ref="AJ30" r:id="rId132" xr:uid="{00000000-0004-0000-0200-000083000000}"/>
    <hyperlink ref="AF31" r:id="rId133" xr:uid="{00000000-0004-0000-0200-000084000000}"/>
    <hyperlink ref="AG31" r:id="rId134" xr:uid="{00000000-0004-0000-0200-000085000000}"/>
    <hyperlink ref="AH31" r:id="rId135" xr:uid="{00000000-0004-0000-0200-000086000000}"/>
    <hyperlink ref="AI31" r:id="rId136" xr:uid="{00000000-0004-0000-0200-000087000000}"/>
    <hyperlink ref="AJ31" r:id="rId137" xr:uid="{00000000-0004-0000-0200-000088000000}"/>
    <hyperlink ref="AF32" r:id="rId138" xr:uid="{00000000-0004-0000-0200-000089000000}"/>
    <hyperlink ref="AG32" r:id="rId139" xr:uid="{00000000-0004-0000-0200-00008A000000}"/>
    <hyperlink ref="AH32" r:id="rId140" xr:uid="{00000000-0004-0000-0200-00008B000000}"/>
    <hyperlink ref="AI32" r:id="rId141" xr:uid="{00000000-0004-0000-0200-00008C000000}"/>
    <hyperlink ref="AJ32" r:id="rId142" xr:uid="{00000000-0004-0000-0200-00008D000000}"/>
    <hyperlink ref="AF33" r:id="rId143" xr:uid="{00000000-0004-0000-0200-00008E000000}"/>
    <hyperlink ref="AG33" r:id="rId144" xr:uid="{00000000-0004-0000-0200-00008F000000}"/>
    <hyperlink ref="AH33" r:id="rId145" xr:uid="{00000000-0004-0000-0200-000090000000}"/>
    <hyperlink ref="AI33" r:id="rId146" xr:uid="{00000000-0004-0000-0200-000091000000}"/>
    <hyperlink ref="AJ33" r:id="rId147" xr:uid="{00000000-0004-0000-0200-000092000000}"/>
    <hyperlink ref="AF34" r:id="rId148" xr:uid="{00000000-0004-0000-0200-000093000000}"/>
    <hyperlink ref="AG34" r:id="rId149" xr:uid="{00000000-0004-0000-0200-000094000000}"/>
    <hyperlink ref="AI34" r:id="rId150" xr:uid="{00000000-0004-0000-0200-000095000000}"/>
    <hyperlink ref="AJ34" r:id="rId151" xr:uid="{00000000-0004-0000-0200-000096000000}"/>
    <hyperlink ref="AF35" r:id="rId152" xr:uid="{00000000-0004-0000-0200-000097000000}"/>
    <hyperlink ref="AG35" r:id="rId153" xr:uid="{00000000-0004-0000-0200-000098000000}"/>
    <hyperlink ref="AH35" r:id="rId154" xr:uid="{00000000-0004-0000-0200-000099000000}"/>
    <hyperlink ref="AI35" r:id="rId155" xr:uid="{00000000-0004-0000-0200-00009A000000}"/>
    <hyperlink ref="AJ35" r:id="rId156" xr:uid="{00000000-0004-0000-0200-00009B000000}"/>
    <hyperlink ref="AF36" r:id="rId157" xr:uid="{00000000-0004-0000-0200-00009C000000}"/>
    <hyperlink ref="AG36" r:id="rId158" xr:uid="{00000000-0004-0000-0200-00009D000000}"/>
    <hyperlink ref="AH36" r:id="rId159" xr:uid="{00000000-0004-0000-0200-00009E000000}"/>
    <hyperlink ref="AI36" r:id="rId160" xr:uid="{00000000-0004-0000-0200-00009F000000}"/>
    <hyperlink ref="AJ36" r:id="rId161" xr:uid="{00000000-0004-0000-0200-0000A0000000}"/>
    <hyperlink ref="AF37" r:id="rId162" xr:uid="{00000000-0004-0000-0200-0000A1000000}"/>
    <hyperlink ref="AG37" r:id="rId163" xr:uid="{00000000-0004-0000-0200-0000A2000000}"/>
    <hyperlink ref="AH37" r:id="rId164" xr:uid="{00000000-0004-0000-0200-0000A3000000}"/>
    <hyperlink ref="AI37" r:id="rId165" xr:uid="{00000000-0004-0000-0200-0000A4000000}"/>
    <hyperlink ref="AJ37" r:id="rId166" xr:uid="{00000000-0004-0000-0200-0000A5000000}"/>
    <hyperlink ref="AF38" r:id="rId167" xr:uid="{00000000-0004-0000-0200-0000A6000000}"/>
    <hyperlink ref="AH38" r:id="rId168" xr:uid="{00000000-0004-0000-0200-0000A7000000}"/>
    <hyperlink ref="AI38" r:id="rId169" xr:uid="{00000000-0004-0000-0200-0000A8000000}"/>
    <hyperlink ref="AJ38" r:id="rId170" xr:uid="{00000000-0004-0000-0200-0000A9000000}"/>
    <hyperlink ref="AF39" r:id="rId171" xr:uid="{00000000-0004-0000-0200-0000AA000000}"/>
    <hyperlink ref="AH39" r:id="rId172" xr:uid="{00000000-0004-0000-0200-0000AB000000}"/>
    <hyperlink ref="AI39" r:id="rId173" xr:uid="{00000000-0004-0000-0200-0000AC000000}"/>
    <hyperlink ref="AJ39" r:id="rId174" xr:uid="{00000000-0004-0000-0200-0000AD000000}"/>
    <hyperlink ref="AF40" r:id="rId175" xr:uid="{00000000-0004-0000-0200-0000AE000000}"/>
    <hyperlink ref="AH40" r:id="rId176" xr:uid="{00000000-0004-0000-0200-0000AF000000}"/>
    <hyperlink ref="AI40" r:id="rId177" xr:uid="{00000000-0004-0000-0200-0000B0000000}"/>
    <hyperlink ref="AJ40" r:id="rId178" xr:uid="{00000000-0004-0000-0200-0000B1000000}"/>
    <hyperlink ref="AF41" r:id="rId179" xr:uid="{00000000-0004-0000-0200-0000B2000000}"/>
    <hyperlink ref="AG41" r:id="rId180" xr:uid="{00000000-0004-0000-0200-0000B3000000}"/>
    <hyperlink ref="AH41" r:id="rId181" xr:uid="{00000000-0004-0000-0200-0000B4000000}"/>
    <hyperlink ref="AI41" r:id="rId182" xr:uid="{00000000-0004-0000-0200-0000B5000000}"/>
    <hyperlink ref="AJ41" r:id="rId183" xr:uid="{00000000-0004-0000-0200-0000B6000000}"/>
    <hyperlink ref="AF42" r:id="rId184" xr:uid="{00000000-0004-0000-0200-0000B7000000}"/>
    <hyperlink ref="AH42" r:id="rId185" xr:uid="{00000000-0004-0000-0200-0000B8000000}"/>
    <hyperlink ref="AI42" r:id="rId186" xr:uid="{00000000-0004-0000-0200-0000B9000000}"/>
    <hyperlink ref="AJ42" r:id="rId187" xr:uid="{00000000-0004-0000-0200-0000BA000000}"/>
    <hyperlink ref="AF43" r:id="rId188" xr:uid="{00000000-0004-0000-0200-0000BB000000}"/>
    <hyperlink ref="AH43" r:id="rId189" xr:uid="{00000000-0004-0000-0200-0000BC000000}"/>
    <hyperlink ref="AI43" r:id="rId190" xr:uid="{00000000-0004-0000-0200-0000BD000000}"/>
    <hyperlink ref="AJ43" r:id="rId191" xr:uid="{00000000-0004-0000-0200-0000BE000000}"/>
    <hyperlink ref="AF44" r:id="rId192" xr:uid="{00000000-0004-0000-0200-0000BF000000}"/>
    <hyperlink ref="AH44" r:id="rId193" xr:uid="{00000000-0004-0000-0200-0000C0000000}"/>
    <hyperlink ref="AI44" r:id="rId194" xr:uid="{00000000-0004-0000-0200-0000C1000000}"/>
    <hyperlink ref="AJ44" r:id="rId195" xr:uid="{00000000-0004-0000-0200-0000C2000000}"/>
    <hyperlink ref="AF45" r:id="rId196" xr:uid="{00000000-0004-0000-0200-0000C3000000}"/>
    <hyperlink ref="AI45" r:id="rId197" xr:uid="{00000000-0004-0000-0200-0000C4000000}"/>
    <hyperlink ref="AJ45" r:id="rId198" xr:uid="{00000000-0004-0000-0200-0000C5000000}"/>
    <hyperlink ref="AF46" r:id="rId199" xr:uid="{00000000-0004-0000-0200-0000C6000000}"/>
    <hyperlink ref="AG46" r:id="rId200" xr:uid="{00000000-0004-0000-0200-0000C7000000}"/>
    <hyperlink ref="AH46" r:id="rId201" xr:uid="{00000000-0004-0000-0200-0000C8000000}"/>
    <hyperlink ref="AI46" r:id="rId202" xr:uid="{00000000-0004-0000-0200-0000C9000000}"/>
    <hyperlink ref="AJ46" r:id="rId203" xr:uid="{00000000-0004-0000-0200-0000CA000000}"/>
    <hyperlink ref="AF47" r:id="rId204" xr:uid="{00000000-0004-0000-0200-0000CB000000}"/>
    <hyperlink ref="AH47" r:id="rId205" xr:uid="{00000000-0004-0000-0200-0000CC000000}"/>
    <hyperlink ref="AI47" r:id="rId206" xr:uid="{00000000-0004-0000-0200-0000CD000000}"/>
    <hyperlink ref="AJ47" r:id="rId207" xr:uid="{00000000-0004-0000-0200-0000CE000000}"/>
    <hyperlink ref="AG48" r:id="rId208" xr:uid="{00000000-0004-0000-0200-0000CF000000}"/>
    <hyperlink ref="AH48" r:id="rId209" xr:uid="{00000000-0004-0000-0200-0000D0000000}"/>
    <hyperlink ref="AI48" r:id="rId210" xr:uid="{00000000-0004-0000-0200-0000D1000000}"/>
    <hyperlink ref="AJ48" r:id="rId211" xr:uid="{00000000-0004-0000-0200-0000D2000000}"/>
    <hyperlink ref="AF49" r:id="rId212" xr:uid="{00000000-0004-0000-0200-0000D3000000}"/>
    <hyperlink ref="AG49" r:id="rId213" xr:uid="{00000000-0004-0000-0200-0000D4000000}"/>
    <hyperlink ref="AH49" r:id="rId214" xr:uid="{00000000-0004-0000-0200-0000D5000000}"/>
    <hyperlink ref="AI49" r:id="rId215" xr:uid="{00000000-0004-0000-0200-0000D6000000}"/>
    <hyperlink ref="AJ49" r:id="rId216" xr:uid="{00000000-0004-0000-0200-0000D7000000}"/>
    <hyperlink ref="AF50" r:id="rId217" xr:uid="{00000000-0004-0000-0200-0000D8000000}"/>
    <hyperlink ref="AH50" r:id="rId218" xr:uid="{00000000-0004-0000-0200-0000D9000000}"/>
    <hyperlink ref="AI50" r:id="rId219" xr:uid="{00000000-0004-0000-0200-0000DA000000}"/>
    <hyperlink ref="AJ50" r:id="rId220" xr:uid="{00000000-0004-0000-0200-0000DB000000}"/>
    <hyperlink ref="AF51" r:id="rId221" xr:uid="{00000000-0004-0000-0200-0000DC000000}"/>
    <hyperlink ref="AH51" r:id="rId222" xr:uid="{00000000-0004-0000-0200-0000DD000000}"/>
    <hyperlink ref="AI51" r:id="rId223" xr:uid="{00000000-0004-0000-0200-0000DE000000}"/>
    <hyperlink ref="AJ51" r:id="rId224" xr:uid="{00000000-0004-0000-0200-0000DF000000}"/>
    <hyperlink ref="AF52" r:id="rId225" xr:uid="{00000000-0004-0000-0200-0000E0000000}"/>
    <hyperlink ref="AH52" r:id="rId226" xr:uid="{00000000-0004-0000-0200-0000E1000000}"/>
    <hyperlink ref="AI52" r:id="rId227" xr:uid="{00000000-0004-0000-0200-0000E2000000}"/>
    <hyperlink ref="AJ52" r:id="rId228" xr:uid="{00000000-0004-0000-0200-0000E3000000}"/>
    <hyperlink ref="AF53" r:id="rId229" xr:uid="{00000000-0004-0000-0200-0000E4000000}"/>
    <hyperlink ref="AG53" r:id="rId230" xr:uid="{00000000-0004-0000-0200-0000E5000000}"/>
    <hyperlink ref="AH53" r:id="rId231" xr:uid="{00000000-0004-0000-0200-0000E6000000}"/>
    <hyperlink ref="AI53" r:id="rId232" xr:uid="{00000000-0004-0000-0200-0000E7000000}"/>
    <hyperlink ref="AJ53" r:id="rId233" xr:uid="{00000000-0004-0000-0200-0000E8000000}"/>
    <hyperlink ref="AF54" r:id="rId234" xr:uid="{00000000-0004-0000-0200-0000E9000000}"/>
    <hyperlink ref="AG54" r:id="rId235" xr:uid="{00000000-0004-0000-0200-0000EA000000}"/>
    <hyperlink ref="AH54" r:id="rId236" xr:uid="{00000000-0004-0000-0200-0000EB000000}"/>
    <hyperlink ref="AI54" r:id="rId237" xr:uid="{00000000-0004-0000-0200-0000EC000000}"/>
    <hyperlink ref="AJ54" r:id="rId238" xr:uid="{00000000-0004-0000-0200-0000ED000000}"/>
    <hyperlink ref="AF55" r:id="rId239" xr:uid="{00000000-0004-0000-0200-0000EE000000}"/>
    <hyperlink ref="AH55" r:id="rId240" xr:uid="{00000000-0004-0000-0200-0000EF000000}"/>
    <hyperlink ref="AI55" r:id="rId241" xr:uid="{00000000-0004-0000-0200-0000F0000000}"/>
    <hyperlink ref="AJ55" r:id="rId242" xr:uid="{00000000-0004-0000-0200-0000F1000000}"/>
    <hyperlink ref="AF56" r:id="rId243" xr:uid="{00000000-0004-0000-0200-0000F2000000}"/>
    <hyperlink ref="AH56" r:id="rId244" xr:uid="{00000000-0004-0000-0200-0000F3000000}"/>
    <hyperlink ref="AI56" r:id="rId245" xr:uid="{00000000-0004-0000-0200-0000F4000000}"/>
    <hyperlink ref="AJ56" r:id="rId246" xr:uid="{00000000-0004-0000-0200-0000F5000000}"/>
    <hyperlink ref="AF57" r:id="rId247" xr:uid="{00000000-0004-0000-0200-0000F6000000}"/>
    <hyperlink ref="AH57" r:id="rId248" xr:uid="{00000000-0004-0000-0200-0000F7000000}"/>
    <hyperlink ref="AI57" r:id="rId249" xr:uid="{00000000-0004-0000-0200-0000F8000000}"/>
    <hyperlink ref="AJ57" r:id="rId250" xr:uid="{00000000-0004-0000-0200-0000F9000000}"/>
    <hyperlink ref="AF58" r:id="rId251" xr:uid="{00000000-0004-0000-0200-0000FA000000}"/>
    <hyperlink ref="AH58" r:id="rId252" xr:uid="{00000000-0004-0000-0200-0000FB000000}"/>
    <hyperlink ref="AI58" r:id="rId253" xr:uid="{00000000-0004-0000-0200-0000FC000000}"/>
    <hyperlink ref="AJ58" r:id="rId254" xr:uid="{00000000-0004-0000-0200-0000FD000000}"/>
    <hyperlink ref="AF59" r:id="rId255" xr:uid="{00000000-0004-0000-0200-0000FE000000}"/>
    <hyperlink ref="AH59" r:id="rId256" xr:uid="{00000000-0004-0000-0200-0000FF000000}"/>
    <hyperlink ref="AI59" r:id="rId257" xr:uid="{00000000-0004-0000-0200-000000010000}"/>
    <hyperlink ref="AJ59" r:id="rId258" xr:uid="{00000000-0004-0000-0200-000001010000}"/>
    <hyperlink ref="AF60" r:id="rId259" xr:uid="{00000000-0004-0000-0200-000002010000}"/>
    <hyperlink ref="AH60" r:id="rId260" xr:uid="{00000000-0004-0000-0200-000003010000}"/>
    <hyperlink ref="AI60" r:id="rId261" xr:uid="{00000000-0004-0000-0200-000004010000}"/>
    <hyperlink ref="AJ60" r:id="rId262" xr:uid="{00000000-0004-0000-0200-000005010000}"/>
    <hyperlink ref="AF61" r:id="rId263" xr:uid="{00000000-0004-0000-0200-000006010000}"/>
    <hyperlink ref="AH61" r:id="rId264" xr:uid="{00000000-0004-0000-0200-000007010000}"/>
    <hyperlink ref="AI61" r:id="rId265" xr:uid="{00000000-0004-0000-0200-000008010000}"/>
    <hyperlink ref="AJ61" r:id="rId266" xr:uid="{00000000-0004-0000-0200-000009010000}"/>
    <hyperlink ref="AF62" r:id="rId267" xr:uid="{00000000-0004-0000-0200-00000A010000}"/>
    <hyperlink ref="AH62" r:id="rId268" xr:uid="{00000000-0004-0000-0200-00000B010000}"/>
    <hyperlink ref="AI62" r:id="rId269" xr:uid="{00000000-0004-0000-0200-00000C010000}"/>
    <hyperlink ref="AJ62" r:id="rId270" xr:uid="{00000000-0004-0000-0200-00000D010000}"/>
    <hyperlink ref="AF63" r:id="rId271" xr:uid="{00000000-0004-0000-0200-00000E010000}"/>
    <hyperlink ref="AH63" r:id="rId272" xr:uid="{00000000-0004-0000-0200-00000F010000}"/>
    <hyperlink ref="AI63" r:id="rId273" xr:uid="{00000000-0004-0000-0200-000010010000}"/>
    <hyperlink ref="AJ63" r:id="rId274" xr:uid="{00000000-0004-0000-0200-000011010000}"/>
    <hyperlink ref="AF64" r:id="rId275" xr:uid="{00000000-0004-0000-0200-000012010000}"/>
    <hyperlink ref="AH64" r:id="rId276" xr:uid="{00000000-0004-0000-0200-000013010000}"/>
    <hyperlink ref="AI64" r:id="rId277" xr:uid="{00000000-0004-0000-0200-000014010000}"/>
    <hyperlink ref="AJ64" r:id="rId278" xr:uid="{00000000-0004-0000-0200-000015010000}"/>
    <hyperlink ref="AF65" r:id="rId279" xr:uid="{00000000-0004-0000-0200-000016010000}"/>
    <hyperlink ref="AH65" r:id="rId280" xr:uid="{00000000-0004-0000-0200-000017010000}"/>
    <hyperlink ref="AI65" r:id="rId281" xr:uid="{00000000-0004-0000-0200-000018010000}"/>
    <hyperlink ref="AJ65" r:id="rId282" xr:uid="{00000000-0004-0000-0200-000019010000}"/>
    <hyperlink ref="AF66" r:id="rId283" xr:uid="{00000000-0004-0000-0200-00001A010000}"/>
    <hyperlink ref="AG66" r:id="rId284" xr:uid="{00000000-0004-0000-0200-00001B010000}"/>
    <hyperlink ref="AH66" r:id="rId285" xr:uid="{00000000-0004-0000-0200-00001C010000}"/>
    <hyperlink ref="AI66" r:id="rId286" xr:uid="{00000000-0004-0000-0200-00001D010000}"/>
    <hyperlink ref="AJ66" r:id="rId287" xr:uid="{00000000-0004-0000-0200-00001E010000}"/>
    <hyperlink ref="AF67" r:id="rId288" xr:uid="{00000000-0004-0000-0200-00001F010000}"/>
    <hyperlink ref="AH67" r:id="rId289" xr:uid="{00000000-0004-0000-0200-000020010000}"/>
    <hyperlink ref="AI67" r:id="rId290" xr:uid="{00000000-0004-0000-0200-000021010000}"/>
    <hyperlink ref="AJ67" r:id="rId291" xr:uid="{00000000-0004-0000-0200-000022010000}"/>
    <hyperlink ref="AF68" r:id="rId292" xr:uid="{00000000-0004-0000-0200-000023010000}"/>
    <hyperlink ref="AH68" r:id="rId293" xr:uid="{00000000-0004-0000-0200-000024010000}"/>
    <hyperlink ref="AI68" r:id="rId294" xr:uid="{00000000-0004-0000-0200-000025010000}"/>
    <hyperlink ref="AJ68" r:id="rId295" xr:uid="{00000000-0004-0000-0200-000026010000}"/>
    <hyperlink ref="AF69" r:id="rId296" xr:uid="{00000000-0004-0000-0200-000027010000}"/>
    <hyperlink ref="AH69" r:id="rId297" xr:uid="{00000000-0004-0000-0200-000028010000}"/>
    <hyperlink ref="AI69" r:id="rId298" xr:uid="{00000000-0004-0000-0200-000029010000}"/>
    <hyperlink ref="AJ69" r:id="rId299" xr:uid="{00000000-0004-0000-0200-00002A010000}"/>
    <hyperlink ref="AF70" r:id="rId300" xr:uid="{00000000-0004-0000-0200-00002B010000}"/>
    <hyperlink ref="AI70" r:id="rId301" xr:uid="{00000000-0004-0000-0200-00002C010000}"/>
    <hyperlink ref="AJ70" r:id="rId302" xr:uid="{00000000-0004-0000-0200-00002D010000}"/>
    <hyperlink ref="AF71" r:id="rId303" xr:uid="{00000000-0004-0000-0200-00002E010000}"/>
    <hyperlink ref="AG71" r:id="rId304" xr:uid="{00000000-0004-0000-0200-00002F010000}"/>
    <hyperlink ref="AH71" r:id="rId305" xr:uid="{00000000-0004-0000-0200-000030010000}"/>
    <hyperlink ref="AI71" r:id="rId306" xr:uid="{00000000-0004-0000-0200-000031010000}"/>
    <hyperlink ref="AJ71" r:id="rId307" xr:uid="{00000000-0004-0000-0200-000032010000}"/>
    <hyperlink ref="AF72" r:id="rId308" xr:uid="{00000000-0004-0000-0200-000033010000}"/>
    <hyperlink ref="AH72" r:id="rId309" xr:uid="{00000000-0004-0000-0200-000034010000}"/>
    <hyperlink ref="AI72" r:id="rId310" xr:uid="{00000000-0004-0000-0200-000035010000}"/>
    <hyperlink ref="AJ72" r:id="rId311" xr:uid="{00000000-0004-0000-0200-000036010000}"/>
    <hyperlink ref="AF73" r:id="rId312" xr:uid="{00000000-0004-0000-0200-000037010000}"/>
    <hyperlink ref="AH73" r:id="rId313" xr:uid="{00000000-0004-0000-0200-000038010000}"/>
    <hyperlink ref="AI73" r:id="rId314" xr:uid="{00000000-0004-0000-0200-000039010000}"/>
    <hyperlink ref="AJ73" r:id="rId315" xr:uid="{00000000-0004-0000-0200-00003A010000}"/>
    <hyperlink ref="AF74" r:id="rId316" xr:uid="{00000000-0004-0000-0200-00003B010000}"/>
    <hyperlink ref="AG74" r:id="rId317" xr:uid="{00000000-0004-0000-0200-00003C010000}"/>
    <hyperlink ref="AH74" r:id="rId318" xr:uid="{00000000-0004-0000-0200-00003D010000}"/>
    <hyperlink ref="AI74" r:id="rId319" xr:uid="{00000000-0004-0000-0200-00003E010000}"/>
    <hyperlink ref="AJ74" r:id="rId320" xr:uid="{00000000-0004-0000-0200-00003F010000}"/>
    <hyperlink ref="AH75" r:id="rId321" xr:uid="{00000000-0004-0000-0200-000040010000}"/>
    <hyperlink ref="AI75" r:id="rId322" xr:uid="{00000000-0004-0000-0200-000041010000}"/>
    <hyperlink ref="AJ75" r:id="rId323" xr:uid="{00000000-0004-0000-0200-000042010000}"/>
    <hyperlink ref="AF76" r:id="rId324" xr:uid="{00000000-0004-0000-0200-000043010000}"/>
    <hyperlink ref="AH76" r:id="rId325" xr:uid="{00000000-0004-0000-0200-000044010000}"/>
    <hyperlink ref="AI76" r:id="rId326" xr:uid="{00000000-0004-0000-0200-000045010000}"/>
    <hyperlink ref="AJ76" r:id="rId327" xr:uid="{00000000-0004-0000-0200-000046010000}"/>
    <hyperlink ref="AH77" r:id="rId328" xr:uid="{00000000-0004-0000-0200-000047010000}"/>
    <hyperlink ref="AI77" r:id="rId329" xr:uid="{00000000-0004-0000-0200-000048010000}"/>
    <hyperlink ref="AJ77" r:id="rId330" xr:uid="{00000000-0004-0000-0200-000049010000}"/>
    <hyperlink ref="AF78" r:id="rId331" xr:uid="{00000000-0004-0000-0200-00004A010000}"/>
    <hyperlink ref="AI78" r:id="rId332" xr:uid="{00000000-0004-0000-0200-00004B010000}"/>
    <hyperlink ref="AJ78" r:id="rId333" xr:uid="{00000000-0004-0000-0200-00004C010000}"/>
    <hyperlink ref="AF79" r:id="rId334" xr:uid="{00000000-0004-0000-0200-00004D010000}"/>
    <hyperlink ref="AH79" r:id="rId335" xr:uid="{00000000-0004-0000-0200-00004E010000}"/>
    <hyperlink ref="AI79" r:id="rId336" xr:uid="{00000000-0004-0000-0200-00004F010000}"/>
    <hyperlink ref="AJ79" r:id="rId337" xr:uid="{00000000-0004-0000-0200-000050010000}"/>
    <hyperlink ref="AF80" r:id="rId338" xr:uid="{00000000-0004-0000-0200-000051010000}"/>
    <hyperlink ref="AH80" r:id="rId339" xr:uid="{00000000-0004-0000-0200-000052010000}"/>
    <hyperlink ref="AI80" r:id="rId340" xr:uid="{00000000-0004-0000-0200-000053010000}"/>
    <hyperlink ref="AJ80" r:id="rId341" xr:uid="{00000000-0004-0000-0200-000054010000}"/>
  </hyperlinks>
  <printOptions horizontalCentered="1"/>
  <pageMargins left="0.4" right="0.4" top="0.5" bottom="0.6" header="0.5" footer="0.5"/>
  <pageSetup paperSize="8" fitToHeight="0" orientation="landscape"/>
  <headerFooter>
    <oddFooter>&amp;C第 &amp;P 頁，共 &amp;N 頁</oddFooter>
  </headerFooter>
  <legacyDrawing r:id="rId34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4B4D6"/>
    <pageSetUpPr fitToPage="1"/>
  </sheetPr>
  <dimension ref="A1:O40"/>
  <sheetViews>
    <sheetView workbookViewId="0">
      <pane xSplit="2" ySplit="4" topLeftCell="C5" activePane="bottomRight" state="frozen"/>
      <selection pane="topRight"/>
      <selection pane="bottomLeft"/>
      <selection pane="bottomRight"/>
    </sheetView>
  </sheetViews>
  <sheetFormatPr defaultRowHeight="13.8"/>
  <cols>
    <col min="1" max="1" width="10" customWidth="1"/>
    <col min="2" max="2" width="24" customWidth="1"/>
    <col min="3" max="3" width="16" customWidth="1"/>
    <col min="4" max="4" width="30" customWidth="1"/>
    <col min="5" max="5" width="10" customWidth="1"/>
    <col min="6" max="6" width="16" customWidth="1"/>
    <col min="7" max="7" width="13" customWidth="1"/>
    <col min="8" max="8" width="24" customWidth="1"/>
    <col min="9" max="9" width="36" customWidth="1"/>
    <col min="10" max="10" width="16" customWidth="1"/>
    <col min="11" max="11" width="15" customWidth="1"/>
    <col min="12" max="12" width="10" customWidth="1"/>
    <col min="13" max="13" width="8" customWidth="1"/>
    <col min="14" max="14" width="36" customWidth="1"/>
    <col min="15" max="15" width="12" customWidth="1"/>
  </cols>
  <sheetData>
    <row r="1" spans="1:15" ht="27.15" customHeight="1">
      <c r="A1" s="73" t="s">
        <v>1703</v>
      </c>
      <c r="B1" s="71"/>
      <c r="C1" s="71"/>
      <c r="D1" s="71"/>
      <c r="E1" s="71"/>
      <c r="F1" s="71"/>
      <c r="G1" s="71"/>
      <c r="H1" s="71"/>
      <c r="I1" s="71"/>
      <c r="J1" s="71"/>
      <c r="K1" s="71"/>
      <c r="L1" s="71"/>
      <c r="M1" s="71"/>
      <c r="N1" s="71"/>
      <c r="O1" s="71"/>
    </row>
    <row r="2" spans="1:15" ht="19.95" customHeight="1">
      <c r="A2" s="78" t="str">
        <f>"主清單 "&amp;COUNTIFS(專案清單!$B$2:$B$80,"新南威爾斯州",專案清單!$R$2:$R$80,"主清單")&amp;" 件　｜　已知容量合計 "&amp;FIXED(SUMIFS(專案清單!$M$2:$M$80,專案清單!$B$2:$B$80,"新南威爾斯州",專案清單!$R$2:$R$80,"主清單"),1)&amp;" MW　｜　容量未公布 "&amp;COUNTIFS(專案清單!$B$2:$B$80,"新南威爾斯州",專案清單!$R$2:$R$80,"主清單",專案清單!$M$2:$M$80,"未公布")&amp;" 件　｜　另有觀察名單 "&amp;COUNTIFS(專案清單!$B$2:$B$80,"新南威爾斯州",專案清單!$R$2:$R$80,"觀察名單 (出租性待確認)")&amp;" 件（已知容量 "&amp;FIXED(SUMIFS(專案清單!$M$2:$M$80,專案清單!$B$2:$B$80,"新南威爾斯州",專案清單!$R$2:$R$80,"觀察名單 (出租性待確認)"),1)&amp;" MW）"</f>
        <v>主清單 33 件　｜　已知容量合計 7,526.6 MW　｜　容量未公布 2 件　｜　另有觀察名單 3 件（已知容量 209.2 MW）</v>
      </c>
      <c r="B2" s="71"/>
      <c r="C2" s="71"/>
      <c r="D2" s="71"/>
      <c r="E2" s="71"/>
      <c r="F2" s="71"/>
      <c r="G2" s="71"/>
      <c r="H2" s="71"/>
      <c r="I2" s="71"/>
      <c r="J2" s="71"/>
      <c r="K2" s="71"/>
      <c r="L2" s="71"/>
      <c r="M2" s="71"/>
      <c r="N2" s="71"/>
      <c r="O2" s="71"/>
    </row>
    <row r="4" spans="1:15" ht="31.95" customHeight="1">
      <c r="A4" s="20" t="s">
        <v>216</v>
      </c>
      <c r="B4" s="20" t="s">
        <v>217</v>
      </c>
      <c r="C4" s="20" t="s">
        <v>218</v>
      </c>
      <c r="D4" s="20" t="s">
        <v>220</v>
      </c>
      <c r="E4" s="20" t="s">
        <v>226</v>
      </c>
      <c r="F4" s="20" t="s">
        <v>101</v>
      </c>
      <c r="G4" s="20" t="s">
        <v>230</v>
      </c>
      <c r="H4" s="20" t="s">
        <v>231</v>
      </c>
      <c r="I4" s="20" t="s">
        <v>233</v>
      </c>
      <c r="J4" s="20" t="s">
        <v>235</v>
      </c>
      <c r="K4" s="20" t="s">
        <v>18</v>
      </c>
      <c r="L4" s="20" t="s">
        <v>51</v>
      </c>
      <c r="M4" s="20" t="s">
        <v>103</v>
      </c>
      <c r="N4" s="20" t="s">
        <v>1704</v>
      </c>
      <c r="O4" s="20" t="s">
        <v>245</v>
      </c>
    </row>
    <row r="5" spans="1:15" ht="134.55000000000001" customHeight="1">
      <c r="A5" s="22" t="s">
        <v>272</v>
      </c>
      <c r="B5" s="2" t="s">
        <v>273</v>
      </c>
      <c r="C5" s="2" t="s">
        <v>274</v>
      </c>
      <c r="D5" s="2" t="s">
        <v>276</v>
      </c>
      <c r="E5" s="43">
        <v>47</v>
      </c>
      <c r="F5" s="6" t="s">
        <v>33</v>
      </c>
      <c r="G5" s="2" t="s">
        <v>59</v>
      </c>
      <c r="H5" s="2"/>
      <c r="I5" s="2" t="s">
        <v>282</v>
      </c>
      <c r="J5" s="2" t="s">
        <v>284</v>
      </c>
      <c r="K5" s="2" t="s">
        <v>39</v>
      </c>
      <c r="L5" s="22" t="s">
        <v>52</v>
      </c>
      <c r="M5" s="44" t="s">
        <v>64</v>
      </c>
      <c r="N5" s="16" t="s">
        <v>1705</v>
      </c>
      <c r="O5" s="3" t="s">
        <v>270</v>
      </c>
    </row>
    <row r="6" spans="1:15" ht="148.94999999999999" customHeight="1">
      <c r="A6" s="22" t="s">
        <v>316</v>
      </c>
      <c r="B6" s="2" t="s">
        <v>317</v>
      </c>
      <c r="C6" s="2" t="s">
        <v>318</v>
      </c>
      <c r="D6" s="2" t="s">
        <v>320</v>
      </c>
      <c r="E6" s="43">
        <v>28</v>
      </c>
      <c r="F6" s="7" t="s">
        <v>35</v>
      </c>
      <c r="G6" s="2" t="s">
        <v>59</v>
      </c>
      <c r="H6" s="2"/>
      <c r="I6" s="2" t="s">
        <v>326</v>
      </c>
      <c r="J6" s="2" t="s">
        <v>328</v>
      </c>
      <c r="K6" s="2" t="s">
        <v>39</v>
      </c>
      <c r="L6" s="22" t="s">
        <v>52</v>
      </c>
      <c r="M6" s="46" t="s">
        <v>66</v>
      </c>
      <c r="N6" s="16" t="s">
        <v>1706</v>
      </c>
      <c r="O6" s="3" t="s">
        <v>270</v>
      </c>
    </row>
    <row r="7" spans="1:15" ht="91.05" customHeight="1">
      <c r="A7" s="22" t="s">
        <v>361</v>
      </c>
      <c r="B7" s="2" t="s">
        <v>362</v>
      </c>
      <c r="C7" s="2" t="s">
        <v>363</v>
      </c>
      <c r="D7" s="2" t="s">
        <v>365</v>
      </c>
      <c r="E7" s="48" t="s">
        <v>307</v>
      </c>
      <c r="F7" s="7" t="s">
        <v>35</v>
      </c>
      <c r="G7" s="2" t="s">
        <v>59</v>
      </c>
      <c r="H7" s="2"/>
      <c r="I7" s="2" t="s">
        <v>370</v>
      </c>
      <c r="J7" s="2" t="s">
        <v>371</v>
      </c>
      <c r="K7" s="2" t="s">
        <v>39</v>
      </c>
      <c r="L7" s="22" t="s">
        <v>52</v>
      </c>
      <c r="M7" s="49" t="s">
        <v>68</v>
      </c>
      <c r="N7" s="16" t="s">
        <v>1707</v>
      </c>
      <c r="O7" s="3" t="s">
        <v>270</v>
      </c>
    </row>
    <row r="8" spans="1:15" ht="134.55000000000001" customHeight="1">
      <c r="A8" s="22" t="s">
        <v>482</v>
      </c>
      <c r="B8" s="2" t="s">
        <v>483</v>
      </c>
      <c r="C8" s="2" t="s">
        <v>484</v>
      </c>
      <c r="D8" s="2" t="s">
        <v>486</v>
      </c>
      <c r="E8" s="43">
        <v>15</v>
      </c>
      <c r="F8" s="4" t="s">
        <v>29</v>
      </c>
      <c r="G8" s="2" t="s">
        <v>59</v>
      </c>
      <c r="H8" s="2"/>
      <c r="I8" s="2" t="s">
        <v>492</v>
      </c>
      <c r="J8" s="2" t="s">
        <v>494</v>
      </c>
      <c r="K8" s="2" t="s">
        <v>41</v>
      </c>
      <c r="L8" s="22" t="s">
        <v>52</v>
      </c>
      <c r="M8" s="46" t="s">
        <v>66</v>
      </c>
      <c r="N8" s="16" t="s">
        <v>1708</v>
      </c>
      <c r="O8" s="3" t="s">
        <v>270</v>
      </c>
    </row>
    <row r="9" spans="1:15" ht="160.05000000000001" customHeight="1">
      <c r="A9" s="22" t="s">
        <v>505</v>
      </c>
      <c r="B9" s="2" t="s">
        <v>506</v>
      </c>
      <c r="C9" s="2" t="s">
        <v>507</v>
      </c>
      <c r="D9" s="2" t="s">
        <v>509</v>
      </c>
      <c r="E9" s="43">
        <v>504</v>
      </c>
      <c r="F9" s="4" t="s">
        <v>29</v>
      </c>
      <c r="G9" s="2" t="s">
        <v>59</v>
      </c>
      <c r="H9" s="2"/>
      <c r="I9" s="2" t="s">
        <v>515</v>
      </c>
      <c r="J9" s="2" t="s">
        <v>517</v>
      </c>
      <c r="K9" s="2" t="s">
        <v>43</v>
      </c>
      <c r="L9" s="22" t="s">
        <v>54</v>
      </c>
      <c r="M9" s="44" t="s">
        <v>64</v>
      </c>
      <c r="N9" s="16" t="s">
        <v>1709</v>
      </c>
      <c r="O9" s="3" t="s">
        <v>270</v>
      </c>
    </row>
    <row r="10" spans="1:15" ht="160.05000000000001" customHeight="1">
      <c r="A10" s="22" t="s">
        <v>528</v>
      </c>
      <c r="B10" s="2" t="s">
        <v>529</v>
      </c>
      <c r="C10" s="2" t="s">
        <v>530</v>
      </c>
      <c r="D10" s="2" t="s">
        <v>532</v>
      </c>
      <c r="E10" s="43">
        <v>365</v>
      </c>
      <c r="F10" s="4" t="s">
        <v>29</v>
      </c>
      <c r="G10" s="2" t="s">
        <v>59</v>
      </c>
      <c r="H10" s="2"/>
      <c r="I10" s="2" t="s">
        <v>538</v>
      </c>
      <c r="J10" s="2" t="s">
        <v>540</v>
      </c>
      <c r="K10" s="2" t="s">
        <v>43</v>
      </c>
      <c r="L10" s="22" t="s">
        <v>52</v>
      </c>
      <c r="M10" s="44" t="s">
        <v>64</v>
      </c>
      <c r="N10" s="16" t="s">
        <v>1710</v>
      </c>
      <c r="O10" s="3" t="s">
        <v>270</v>
      </c>
    </row>
    <row r="11" spans="1:15" ht="160.05000000000001" customHeight="1">
      <c r="A11" s="22" t="s">
        <v>566</v>
      </c>
      <c r="B11" s="2" t="s">
        <v>567</v>
      </c>
      <c r="C11" s="2" t="s">
        <v>568</v>
      </c>
      <c r="D11" s="2" t="s">
        <v>570</v>
      </c>
      <c r="E11" s="43">
        <v>80</v>
      </c>
      <c r="F11" s="4" t="s">
        <v>29</v>
      </c>
      <c r="G11" s="2" t="s">
        <v>59</v>
      </c>
      <c r="H11" s="2"/>
      <c r="I11" s="2" t="s">
        <v>576</v>
      </c>
      <c r="J11" s="2" t="s">
        <v>578</v>
      </c>
      <c r="K11" s="2" t="s">
        <v>45</v>
      </c>
      <c r="L11" s="22" t="s">
        <v>54</v>
      </c>
      <c r="M11" s="44" t="s">
        <v>64</v>
      </c>
      <c r="N11" s="16" t="s">
        <v>1711</v>
      </c>
      <c r="O11" s="3" t="s">
        <v>270</v>
      </c>
    </row>
    <row r="12" spans="1:15" ht="148.94999999999999" customHeight="1">
      <c r="A12" s="22" t="s">
        <v>585</v>
      </c>
      <c r="B12" s="2" t="s">
        <v>586</v>
      </c>
      <c r="C12" s="2" t="s">
        <v>587</v>
      </c>
      <c r="D12" s="2" t="s">
        <v>589</v>
      </c>
      <c r="E12" s="43">
        <v>63</v>
      </c>
      <c r="F12" s="4" t="s">
        <v>29</v>
      </c>
      <c r="G12" s="2" t="s">
        <v>59</v>
      </c>
      <c r="H12" s="2"/>
      <c r="I12" s="2" t="s">
        <v>594</v>
      </c>
      <c r="J12" s="2" t="s">
        <v>596</v>
      </c>
      <c r="K12" s="2" t="s">
        <v>45</v>
      </c>
      <c r="L12" s="22" t="s">
        <v>52</v>
      </c>
      <c r="M12" s="44" t="s">
        <v>64</v>
      </c>
      <c r="N12" s="16" t="s">
        <v>1712</v>
      </c>
      <c r="O12" s="3" t="s">
        <v>270</v>
      </c>
    </row>
    <row r="13" spans="1:15" ht="91.05" customHeight="1">
      <c r="A13" s="22" t="s">
        <v>627</v>
      </c>
      <c r="B13" s="2" t="s">
        <v>628</v>
      </c>
      <c r="C13" s="2" t="s">
        <v>629</v>
      </c>
      <c r="D13" s="2" t="s">
        <v>631</v>
      </c>
      <c r="E13" s="43">
        <v>62</v>
      </c>
      <c r="F13" s="5" t="s">
        <v>31</v>
      </c>
      <c r="G13" s="2" t="s">
        <v>59</v>
      </c>
      <c r="H13" s="2"/>
      <c r="I13" s="2" t="s">
        <v>636</v>
      </c>
      <c r="J13" s="2" t="s">
        <v>638</v>
      </c>
      <c r="K13" s="2" t="s">
        <v>45</v>
      </c>
      <c r="L13" s="22" t="s">
        <v>52</v>
      </c>
      <c r="M13" s="46" t="s">
        <v>66</v>
      </c>
      <c r="N13" s="16" t="s">
        <v>1713</v>
      </c>
      <c r="O13" s="3" t="s">
        <v>270</v>
      </c>
    </row>
    <row r="14" spans="1:15" ht="105.45" customHeight="1">
      <c r="A14" s="22" t="s">
        <v>649</v>
      </c>
      <c r="B14" s="2" t="s">
        <v>650</v>
      </c>
      <c r="C14" s="2" t="s">
        <v>651</v>
      </c>
      <c r="D14" s="2" t="s">
        <v>653</v>
      </c>
      <c r="E14" s="43">
        <v>51.4</v>
      </c>
      <c r="F14" s="5" t="s">
        <v>31</v>
      </c>
      <c r="G14" s="2" t="s">
        <v>59</v>
      </c>
      <c r="H14" s="2"/>
      <c r="I14" s="2" t="s">
        <v>656</v>
      </c>
      <c r="J14" s="2" t="s">
        <v>658</v>
      </c>
      <c r="K14" s="2" t="s">
        <v>45</v>
      </c>
      <c r="L14" s="22" t="s">
        <v>54</v>
      </c>
      <c r="M14" s="44" t="s">
        <v>64</v>
      </c>
      <c r="N14" s="16" t="s">
        <v>1714</v>
      </c>
      <c r="O14" s="3" t="s">
        <v>270</v>
      </c>
    </row>
    <row r="15" spans="1:15" ht="134.55000000000001" customHeight="1">
      <c r="A15" s="22" t="s">
        <v>666</v>
      </c>
      <c r="B15" s="2" t="s">
        <v>667</v>
      </c>
      <c r="C15" s="2" t="s">
        <v>668</v>
      </c>
      <c r="D15" s="2" t="s">
        <v>670</v>
      </c>
      <c r="E15" s="43">
        <v>47.5</v>
      </c>
      <c r="F15" s="5" t="s">
        <v>31</v>
      </c>
      <c r="G15" s="2" t="s">
        <v>59</v>
      </c>
      <c r="H15" s="2"/>
      <c r="I15" s="2" t="s">
        <v>675</v>
      </c>
      <c r="J15" s="2" t="s">
        <v>677</v>
      </c>
      <c r="K15" s="2" t="s">
        <v>45</v>
      </c>
      <c r="L15" s="22" t="s">
        <v>54</v>
      </c>
      <c r="M15" s="44" t="s">
        <v>64</v>
      </c>
      <c r="N15" s="16" t="s">
        <v>1715</v>
      </c>
      <c r="O15" s="3" t="s">
        <v>270</v>
      </c>
    </row>
    <row r="16" spans="1:15" ht="76.5" customHeight="1">
      <c r="A16" s="22" t="s">
        <v>796</v>
      </c>
      <c r="B16" s="2" t="s">
        <v>797</v>
      </c>
      <c r="C16" s="2" t="s">
        <v>798</v>
      </c>
      <c r="D16" s="2" t="s">
        <v>800</v>
      </c>
      <c r="E16" s="43">
        <v>81</v>
      </c>
      <c r="F16" s="8" t="s">
        <v>37</v>
      </c>
      <c r="G16" s="2" t="s">
        <v>59</v>
      </c>
      <c r="H16" s="2"/>
      <c r="I16" s="2" t="s">
        <v>804</v>
      </c>
      <c r="J16" s="2" t="s">
        <v>806</v>
      </c>
      <c r="K16" s="2" t="s">
        <v>45</v>
      </c>
      <c r="L16" s="22" t="s">
        <v>54</v>
      </c>
      <c r="M16" s="44" t="s">
        <v>64</v>
      </c>
      <c r="N16" s="16" t="s">
        <v>1716</v>
      </c>
      <c r="O16" s="3" t="s">
        <v>270</v>
      </c>
    </row>
    <row r="17" spans="1:15" ht="160.05000000000001" customHeight="1">
      <c r="A17" s="22" t="s">
        <v>834</v>
      </c>
      <c r="B17" s="2" t="s">
        <v>835</v>
      </c>
      <c r="C17" s="2" t="s">
        <v>836</v>
      </c>
      <c r="D17" s="2" t="s">
        <v>838</v>
      </c>
      <c r="E17" s="43">
        <v>400</v>
      </c>
      <c r="F17" s="4" t="s">
        <v>29</v>
      </c>
      <c r="G17" s="2" t="s">
        <v>59</v>
      </c>
      <c r="H17" s="2"/>
      <c r="I17" s="2" t="s">
        <v>843</v>
      </c>
      <c r="J17" s="2" t="s">
        <v>845</v>
      </c>
      <c r="K17" s="2" t="s">
        <v>47</v>
      </c>
      <c r="L17" s="22" t="s">
        <v>52</v>
      </c>
      <c r="M17" s="44" t="s">
        <v>64</v>
      </c>
      <c r="N17" s="16" t="s">
        <v>1717</v>
      </c>
      <c r="O17" s="3" t="s">
        <v>270</v>
      </c>
    </row>
    <row r="18" spans="1:15" ht="134.55000000000001" customHeight="1">
      <c r="A18" s="22" t="s">
        <v>1002</v>
      </c>
      <c r="B18" s="2" t="s">
        <v>1003</v>
      </c>
      <c r="C18" s="2" t="s">
        <v>1004</v>
      </c>
      <c r="D18" s="2" t="s">
        <v>1006</v>
      </c>
      <c r="E18" s="43">
        <v>135</v>
      </c>
      <c r="F18" s="5" t="s">
        <v>31</v>
      </c>
      <c r="G18" s="2" t="s">
        <v>59</v>
      </c>
      <c r="H18" s="2"/>
      <c r="I18" s="2" t="s">
        <v>1009</v>
      </c>
      <c r="J18" s="2" t="s">
        <v>1011</v>
      </c>
      <c r="K18" s="2" t="s">
        <v>47</v>
      </c>
      <c r="L18" s="22" t="s">
        <v>54</v>
      </c>
      <c r="M18" s="44" t="s">
        <v>64</v>
      </c>
      <c r="N18" s="16" t="s">
        <v>1718</v>
      </c>
      <c r="O18" s="3" t="s">
        <v>270</v>
      </c>
    </row>
    <row r="19" spans="1:15" ht="160.05000000000001" customHeight="1">
      <c r="A19" s="22" t="s">
        <v>1020</v>
      </c>
      <c r="B19" s="2" t="s">
        <v>1021</v>
      </c>
      <c r="C19" s="2" t="s">
        <v>1004</v>
      </c>
      <c r="D19" s="2" t="s">
        <v>1023</v>
      </c>
      <c r="E19" s="43">
        <v>85</v>
      </c>
      <c r="F19" s="5" t="s">
        <v>31</v>
      </c>
      <c r="G19" s="2" t="s">
        <v>59</v>
      </c>
      <c r="H19" s="2"/>
      <c r="I19" s="2" t="s">
        <v>1029</v>
      </c>
      <c r="J19" s="2" t="s">
        <v>1030</v>
      </c>
      <c r="K19" s="2" t="s">
        <v>47</v>
      </c>
      <c r="L19" s="22" t="s">
        <v>54</v>
      </c>
      <c r="M19" s="44" t="s">
        <v>64</v>
      </c>
      <c r="N19" s="16" t="s">
        <v>1719</v>
      </c>
      <c r="O19" s="3" t="s">
        <v>270</v>
      </c>
    </row>
    <row r="20" spans="1:15" ht="91.05" customHeight="1">
      <c r="A20" s="22" t="s">
        <v>1073</v>
      </c>
      <c r="B20" s="2" t="s">
        <v>1074</v>
      </c>
      <c r="C20" s="2" t="s">
        <v>568</v>
      </c>
      <c r="D20" s="2" t="s">
        <v>1075</v>
      </c>
      <c r="E20" s="43">
        <v>68</v>
      </c>
      <c r="F20" s="5" t="s">
        <v>31</v>
      </c>
      <c r="G20" s="2" t="s">
        <v>59</v>
      </c>
      <c r="H20" s="2"/>
      <c r="I20" s="2" t="s">
        <v>1081</v>
      </c>
      <c r="J20" s="2" t="s">
        <v>1082</v>
      </c>
      <c r="K20" s="2" t="s">
        <v>47</v>
      </c>
      <c r="L20" s="22" t="s">
        <v>54</v>
      </c>
      <c r="M20" s="44" t="s">
        <v>64</v>
      </c>
      <c r="N20" s="16" t="s">
        <v>1720</v>
      </c>
      <c r="O20" s="3" t="s">
        <v>270</v>
      </c>
    </row>
    <row r="21" spans="1:15" ht="134.55000000000001" customHeight="1">
      <c r="A21" s="22" t="s">
        <v>1091</v>
      </c>
      <c r="B21" s="2" t="s">
        <v>1092</v>
      </c>
      <c r="C21" s="2" t="s">
        <v>1093</v>
      </c>
      <c r="D21" s="2" t="s">
        <v>1095</v>
      </c>
      <c r="E21" s="43">
        <v>45</v>
      </c>
      <c r="F21" s="5" t="s">
        <v>31</v>
      </c>
      <c r="G21" s="2" t="s">
        <v>59</v>
      </c>
      <c r="H21" s="2"/>
      <c r="I21" s="2" t="s">
        <v>1101</v>
      </c>
      <c r="J21" s="2" t="s">
        <v>1103</v>
      </c>
      <c r="K21" s="2" t="s">
        <v>47</v>
      </c>
      <c r="L21" s="22" t="s">
        <v>54</v>
      </c>
      <c r="M21" s="44" t="s">
        <v>64</v>
      </c>
      <c r="N21" s="16" t="s">
        <v>1721</v>
      </c>
      <c r="O21" s="3" t="s">
        <v>270</v>
      </c>
    </row>
    <row r="22" spans="1:15" ht="76.5" customHeight="1">
      <c r="A22" s="22" t="s">
        <v>1111</v>
      </c>
      <c r="B22" s="2" t="s">
        <v>1112</v>
      </c>
      <c r="C22" s="2" t="s">
        <v>1113</v>
      </c>
      <c r="D22" s="2" t="s">
        <v>1114</v>
      </c>
      <c r="E22" s="43">
        <v>34.299999999999997</v>
      </c>
      <c r="F22" s="5" t="s">
        <v>31</v>
      </c>
      <c r="G22" s="2" t="s">
        <v>59</v>
      </c>
      <c r="H22" s="2"/>
      <c r="I22" s="2" t="s">
        <v>1117</v>
      </c>
      <c r="J22" s="2" t="s">
        <v>1118</v>
      </c>
      <c r="K22" s="2" t="s">
        <v>47</v>
      </c>
      <c r="L22" s="22" t="s">
        <v>54</v>
      </c>
      <c r="M22" s="44" t="s">
        <v>64</v>
      </c>
      <c r="N22" s="16" t="s">
        <v>1722</v>
      </c>
      <c r="O22" s="3" t="s">
        <v>270</v>
      </c>
    </row>
    <row r="23" spans="1:15" ht="105.45" customHeight="1">
      <c r="A23" s="32" t="s">
        <v>1124</v>
      </c>
      <c r="B23" s="33" t="s">
        <v>1125</v>
      </c>
      <c r="C23" s="33" t="s">
        <v>1126</v>
      </c>
      <c r="D23" s="33" t="s">
        <v>1128</v>
      </c>
      <c r="E23" s="36">
        <v>31.2</v>
      </c>
      <c r="F23" s="53" t="s">
        <v>31</v>
      </c>
      <c r="G23" s="9" t="s">
        <v>61</v>
      </c>
      <c r="H23" s="33" t="s">
        <v>1133</v>
      </c>
      <c r="I23" s="33" t="s">
        <v>1135</v>
      </c>
      <c r="J23" s="33" t="s">
        <v>1137</v>
      </c>
      <c r="K23" s="33" t="s">
        <v>47</v>
      </c>
      <c r="L23" s="32" t="s">
        <v>56</v>
      </c>
      <c r="M23" s="38" t="s">
        <v>66</v>
      </c>
      <c r="N23" s="39" t="s">
        <v>1723</v>
      </c>
      <c r="O23" s="40" t="s">
        <v>270</v>
      </c>
    </row>
    <row r="24" spans="1:15" ht="120" customHeight="1">
      <c r="A24" s="22" t="s">
        <v>1146</v>
      </c>
      <c r="B24" s="2" t="s">
        <v>1147</v>
      </c>
      <c r="C24" s="2" t="s">
        <v>1148</v>
      </c>
      <c r="D24" s="2" t="s">
        <v>1150</v>
      </c>
      <c r="E24" s="43">
        <v>20</v>
      </c>
      <c r="F24" s="5" t="s">
        <v>31</v>
      </c>
      <c r="G24" s="2" t="s">
        <v>59</v>
      </c>
      <c r="H24" s="2"/>
      <c r="I24" s="2" t="s">
        <v>1155</v>
      </c>
      <c r="J24" s="2" t="s">
        <v>307</v>
      </c>
      <c r="K24" s="2" t="s">
        <v>47</v>
      </c>
      <c r="L24" s="22" t="s">
        <v>52</v>
      </c>
      <c r="M24" s="44" t="s">
        <v>64</v>
      </c>
      <c r="N24" s="16" t="s">
        <v>1724</v>
      </c>
      <c r="O24" s="3" t="s">
        <v>270</v>
      </c>
    </row>
    <row r="25" spans="1:15" ht="91.05" customHeight="1">
      <c r="A25" s="22" t="s">
        <v>1183</v>
      </c>
      <c r="B25" s="2" t="s">
        <v>1184</v>
      </c>
      <c r="C25" s="2" t="s">
        <v>318</v>
      </c>
      <c r="D25" s="2" t="s">
        <v>320</v>
      </c>
      <c r="E25" s="48" t="s">
        <v>307</v>
      </c>
      <c r="F25" s="5" t="s">
        <v>31</v>
      </c>
      <c r="G25" s="2" t="s">
        <v>59</v>
      </c>
      <c r="H25" s="2"/>
      <c r="I25" s="2" t="s">
        <v>1188</v>
      </c>
      <c r="J25" s="2" t="s">
        <v>1189</v>
      </c>
      <c r="K25" s="2" t="s">
        <v>47</v>
      </c>
      <c r="L25" s="22" t="s">
        <v>52</v>
      </c>
      <c r="M25" s="46" t="s">
        <v>66</v>
      </c>
      <c r="N25" s="16" t="s">
        <v>1706</v>
      </c>
      <c r="O25" s="3" t="s">
        <v>270</v>
      </c>
    </row>
    <row r="26" spans="1:15" ht="160.05000000000001" customHeight="1">
      <c r="A26" s="22" t="s">
        <v>1268</v>
      </c>
      <c r="B26" s="2" t="s">
        <v>1269</v>
      </c>
      <c r="C26" s="2" t="s">
        <v>249</v>
      </c>
      <c r="D26" s="2" t="s">
        <v>1271</v>
      </c>
      <c r="E26" s="43">
        <v>1400</v>
      </c>
      <c r="F26" s="8" t="s">
        <v>37</v>
      </c>
      <c r="G26" s="2" t="s">
        <v>59</v>
      </c>
      <c r="H26" s="2"/>
      <c r="I26" s="2" t="s">
        <v>1276</v>
      </c>
      <c r="J26" s="2" t="s">
        <v>307</v>
      </c>
      <c r="K26" s="2" t="s">
        <v>47</v>
      </c>
      <c r="L26" s="22" t="s">
        <v>52</v>
      </c>
      <c r="M26" s="44" t="s">
        <v>64</v>
      </c>
      <c r="N26" s="16" t="s">
        <v>1725</v>
      </c>
      <c r="O26" s="3" t="s">
        <v>270</v>
      </c>
    </row>
    <row r="27" spans="1:15" ht="76.5" customHeight="1">
      <c r="A27" s="22" t="s">
        <v>1286</v>
      </c>
      <c r="B27" s="2" t="s">
        <v>1287</v>
      </c>
      <c r="C27" s="2" t="s">
        <v>1288</v>
      </c>
      <c r="D27" s="2" t="s">
        <v>1290</v>
      </c>
      <c r="E27" s="43">
        <v>1000</v>
      </c>
      <c r="F27" s="8" t="s">
        <v>37</v>
      </c>
      <c r="G27" s="2" t="s">
        <v>59</v>
      </c>
      <c r="H27" s="2"/>
      <c r="I27" s="2" t="s">
        <v>1296</v>
      </c>
      <c r="J27" s="2" t="s">
        <v>307</v>
      </c>
      <c r="K27" s="2" t="s">
        <v>47</v>
      </c>
      <c r="L27" s="22" t="s">
        <v>54</v>
      </c>
      <c r="M27" s="44" t="s">
        <v>64</v>
      </c>
      <c r="N27" s="16" t="s">
        <v>1726</v>
      </c>
      <c r="O27" s="3" t="s">
        <v>270</v>
      </c>
    </row>
    <row r="28" spans="1:15" ht="160.05000000000001" customHeight="1">
      <c r="A28" s="22" t="s">
        <v>1304</v>
      </c>
      <c r="B28" s="2" t="s">
        <v>1305</v>
      </c>
      <c r="C28" s="2" t="s">
        <v>530</v>
      </c>
      <c r="D28" s="2" t="s">
        <v>1307</v>
      </c>
      <c r="E28" s="43">
        <v>612</v>
      </c>
      <c r="F28" s="8" t="s">
        <v>37</v>
      </c>
      <c r="G28" s="2" t="s">
        <v>59</v>
      </c>
      <c r="H28" s="2"/>
      <c r="I28" s="2" t="s">
        <v>1310</v>
      </c>
      <c r="J28" s="2" t="s">
        <v>1312</v>
      </c>
      <c r="K28" s="2" t="s">
        <v>47</v>
      </c>
      <c r="L28" s="22" t="s">
        <v>54</v>
      </c>
      <c r="M28" s="44" t="s">
        <v>64</v>
      </c>
      <c r="N28" s="16" t="s">
        <v>1727</v>
      </c>
      <c r="O28" s="3" t="s">
        <v>270</v>
      </c>
    </row>
    <row r="29" spans="1:15" ht="120" customHeight="1">
      <c r="A29" s="22" t="s">
        <v>1321</v>
      </c>
      <c r="B29" s="2" t="s">
        <v>1322</v>
      </c>
      <c r="C29" s="2" t="s">
        <v>1323</v>
      </c>
      <c r="D29" s="2" t="s">
        <v>1325</v>
      </c>
      <c r="E29" s="43">
        <v>540</v>
      </c>
      <c r="F29" s="8" t="s">
        <v>37</v>
      </c>
      <c r="G29" s="2" t="s">
        <v>59</v>
      </c>
      <c r="H29" s="2"/>
      <c r="I29" s="2" t="s">
        <v>1330</v>
      </c>
      <c r="J29" s="2" t="s">
        <v>1332</v>
      </c>
      <c r="K29" s="2" t="s">
        <v>47</v>
      </c>
      <c r="L29" s="22" t="s">
        <v>54</v>
      </c>
      <c r="M29" s="44" t="s">
        <v>64</v>
      </c>
      <c r="N29" s="16" t="s">
        <v>1728</v>
      </c>
      <c r="O29" s="3" t="s">
        <v>270</v>
      </c>
    </row>
    <row r="30" spans="1:15" ht="76.5" customHeight="1">
      <c r="A30" s="22" t="s">
        <v>1359</v>
      </c>
      <c r="B30" s="2" t="s">
        <v>1360</v>
      </c>
      <c r="C30" s="2" t="s">
        <v>380</v>
      </c>
      <c r="D30" s="2" t="s">
        <v>1362</v>
      </c>
      <c r="E30" s="43">
        <v>450</v>
      </c>
      <c r="F30" s="8" t="s">
        <v>37</v>
      </c>
      <c r="G30" s="2" t="s">
        <v>59</v>
      </c>
      <c r="H30" s="2"/>
      <c r="I30" s="2" t="s">
        <v>1366</v>
      </c>
      <c r="J30" s="2" t="s">
        <v>1367</v>
      </c>
      <c r="K30" s="2" t="s">
        <v>47</v>
      </c>
      <c r="L30" s="22" t="s">
        <v>52</v>
      </c>
      <c r="M30" s="44" t="s">
        <v>64</v>
      </c>
      <c r="N30" s="16" t="s">
        <v>1729</v>
      </c>
      <c r="O30" s="3" t="s">
        <v>270</v>
      </c>
    </row>
    <row r="31" spans="1:15" ht="76.5" customHeight="1">
      <c r="A31" s="22" t="s">
        <v>1391</v>
      </c>
      <c r="B31" s="2" t="s">
        <v>1392</v>
      </c>
      <c r="C31" s="2" t="s">
        <v>1393</v>
      </c>
      <c r="D31" s="2" t="s">
        <v>1395</v>
      </c>
      <c r="E31" s="43">
        <v>348</v>
      </c>
      <c r="F31" s="8" t="s">
        <v>37</v>
      </c>
      <c r="G31" s="2" t="s">
        <v>59</v>
      </c>
      <c r="H31" s="2"/>
      <c r="I31" s="2" t="s">
        <v>1398</v>
      </c>
      <c r="J31" s="2" t="s">
        <v>1400</v>
      </c>
      <c r="K31" s="2" t="s">
        <v>47</v>
      </c>
      <c r="L31" s="22" t="s">
        <v>54</v>
      </c>
      <c r="M31" s="44" t="s">
        <v>64</v>
      </c>
      <c r="N31" s="16" t="s">
        <v>1730</v>
      </c>
      <c r="O31" s="3" t="s">
        <v>270</v>
      </c>
    </row>
    <row r="32" spans="1:15" ht="91.05" customHeight="1">
      <c r="A32" s="22" t="s">
        <v>1409</v>
      </c>
      <c r="B32" s="2" t="s">
        <v>1410</v>
      </c>
      <c r="C32" s="2" t="s">
        <v>1411</v>
      </c>
      <c r="D32" s="2" t="s">
        <v>1413</v>
      </c>
      <c r="E32" s="43">
        <v>342</v>
      </c>
      <c r="F32" s="8" t="s">
        <v>37</v>
      </c>
      <c r="G32" s="2" t="s">
        <v>59</v>
      </c>
      <c r="H32" s="2"/>
      <c r="I32" s="2" t="s">
        <v>1415</v>
      </c>
      <c r="J32" s="2" t="s">
        <v>1416</v>
      </c>
      <c r="K32" s="2" t="s">
        <v>47</v>
      </c>
      <c r="L32" s="22" t="s">
        <v>54</v>
      </c>
      <c r="M32" s="44" t="s">
        <v>64</v>
      </c>
      <c r="N32" s="16" t="s">
        <v>1731</v>
      </c>
      <c r="O32" s="3" t="s">
        <v>270</v>
      </c>
    </row>
    <row r="33" spans="1:15" ht="61.95" customHeight="1">
      <c r="A33" s="22" t="s">
        <v>1491</v>
      </c>
      <c r="B33" s="2" t="s">
        <v>1492</v>
      </c>
      <c r="C33" s="2" t="s">
        <v>1493</v>
      </c>
      <c r="D33" s="2" t="s">
        <v>1495</v>
      </c>
      <c r="E33" s="43">
        <v>169</v>
      </c>
      <c r="F33" s="8" t="s">
        <v>37</v>
      </c>
      <c r="G33" s="2" t="s">
        <v>59</v>
      </c>
      <c r="H33" s="2"/>
      <c r="I33" s="2" t="s">
        <v>1498</v>
      </c>
      <c r="J33" s="2" t="s">
        <v>1499</v>
      </c>
      <c r="K33" s="2" t="s">
        <v>47</v>
      </c>
      <c r="L33" s="22" t="s">
        <v>54</v>
      </c>
      <c r="M33" s="44" t="s">
        <v>64</v>
      </c>
      <c r="N33" s="16" t="s">
        <v>1732</v>
      </c>
      <c r="O33" s="3" t="s">
        <v>270</v>
      </c>
    </row>
    <row r="34" spans="1:15" ht="61.95" customHeight="1">
      <c r="A34" s="22" t="s">
        <v>1507</v>
      </c>
      <c r="B34" s="2" t="s">
        <v>1508</v>
      </c>
      <c r="C34" s="2" t="s">
        <v>1509</v>
      </c>
      <c r="D34" s="2" t="s">
        <v>1511</v>
      </c>
      <c r="E34" s="43">
        <v>144</v>
      </c>
      <c r="F34" s="8" t="s">
        <v>37</v>
      </c>
      <c r="G34" s="2" t="s">
        <v>59</v>
      </c>
      <c r="H34" s="2"/>
      <c r="I34" s="2" t="s">
        <v>1513</v>
      </c>
      <c r="J34" s="2" t="s">
        <v>307</v>
      </c>
      <c r="K34" s="2" t="s">
        <v>47</v>
      </c>
      <c r="L34" s="22" t="s">
        <v>52</v>
      </c>
      <c r="M34" s="44" t="s">
        <v>64</v>
      </c>
      <c r="N34" s="16" t="s">
        <v>1733</v>
      </c>
      <c r="O34" s="3" t="s">
        <v>270</v>
      </c>
    </row>
    <row r="35" spans="1:15" ht="120" customHeight="1">
      <c r="A35" s="32" t="s">
        <v>1520</v>
      </c>
      <c r="B35" s="33" t="s">
        <v>1521</v>
      </c>
      <c r="C35" s="33" t="s">
        <v>1522</v>
      </c>
      <c r="D35" s="33" t="s">
        <v>1523</v>
      </c>
      <c r="E35" s="36">
        <v>140</v>
      </c>
      <c r="F35" s="51" t="s">
        <v>37</v>
      </c>
      <c r="G35" s="9" t="s">
        <v>61</v>
      </c>
      <c r="H35" s="33" t="s">
        <v>1525</v>
      </c>
      <c r="I35" s="33" t="s">
        <v>1526</v>
      </c>
      <c r="J35" s="33" t="s">
        <v>307</v>
      </c>
      <c r="K35" s="33" t="s">
        <v>47</v>
      </c>
      <c r="L35" s="32" t="s">
        <v>56</v>
      </c>
      <c r="M35" s="38" t="s">
        <v>66</v>
      </c>
      <c r="N35" s="39" t="s">
        <v>1734</v>
      </c>
      <c r="O35" s="40" t="s">
        <v>270</v>
      </c>
    </row>
    <row r="36" spans="1:15" ht="105.45" customHeight="1">
      <c r="A36" s="22" t="s">
        <v>1533</v>
      </c>
      <c r="B36" s="2" t="s">
        <v>1534</v>
      </c>
      <c r="C36" s="2" t="s">
        <v>530</v>
      </c>
      <c r="D36" s="2" t="s">
        <v>1536</v>
      </c>
      <c r="E36" s="43">
        <v>134.4</v>
      </c>
      <c r="F36" s="8" t="s">
        <v>37</v>
      </c>
      <c r="G36" s="2" t="s">
        <v>59</v>
      </c>
      <c r="H36" s="2"/>
      <c r="I36" s="2" t="s">
        <v>1540</v>
      </c>
      <c r="J36" s="2" t="s">
        <v>1541</v>
      </c>
      <c r="K36" s="2" t="s">
        <v>47</v>
      </c>
      <c r="L36" s="22" t="s">
        <v>52</v>
      </c>
      <c r="M36" s="44" t="s">
        <v>64</v>
      </c>
      <c r="N36" s="16" t="s">
        <v>1735</v>
      </c>
      <c r="O36" s="3" t="s">
        <v>270</v>
      </c>
    </row>
    <row r="37" spans="1:15" ht="76.5" customHeight="1">
      <c r="A37" s="22" t="s">
        <v>1547</v>
      </c>
      <c r="B37" s="2" t="s">
        <v>1548</v>
      </c>
      <c r="C37" s="2" t="s">
        <v>1549</v>
      </c>
      <c r="D37" s="2" t="s">
        <v>486</v>
      </c>
      <c r="E37" s="43">
        <v>96</v>
      </c>
      <c r="F37" s="8" t="s">
        <v>37</v>
      </c>
      <c r="G37" s="2" t="s">
        <v>59</v>
      </c>
      <c r="H37" s="2"/>
      <c r="I37" s="2" t="s">
        <v>1552</v>
      </c>
      <c r="J37" s="2" t="s">
        <v>1553</v>
      </c>
      <c r="K37" s="2" t="s">
        <v>47</v>
      </c>
      <c r="L37" s="22" t="s">
        <v>52</v>
      </c>
      <c r="M37" s="44" t="s">
        <v>64</v>
      </c>
      <c r="N37" s="16" t="s">
        <v>1708</v>
      </c>
      <c r="O37" s="3" t="s">
        <v>270</v>
      </c>
    </row>
    <row r="38" spans="1:15" ht="91.05" customHeight="1">
      <c r="A38" s="22" t="s">
        <v>1562</v>
      </c>
      <c r="B38" s="2" t="s">
        <v>1563</v>
      </c>
      <c r="C38" s="2" t="s">
        <v>530</v>
      </c>
      <c r="D38" s="2" t="s">
        <v>1564</v>
      </c>
      <c r="E38" s="43">
        <v>90</v>
      </c>
      <c r="F38" s="8" t="s">
        <v>37</v>
      </c>
      <c r="G38" s="2" t="s">
        <v>59</v>
      </c>
      <c r="H38" s="2"/>
      <c r="I38" s="2" t="s">
        <v>1566</v>
      </c>
      <c r="J38" s="2" t="s">
        <v>1567</v>
      </c>
      <c r="K38" s="2" t="s">
        <v>47</v>
      </c>
      <c r="L38" s="22" t="s">
        <v>52</v>
      </c>
      <c r="M38" s="44" t="s">
        <v>64</v>
      </c>
      <c r="N38" s="16" t="s">
        <v>1736</v>
      </c>
      <c r="O38" s="3" t="s">
        <v>270</v>
      </c>
    </row>
    <row r="39" spans="1:15" ht="76.5" customHeight="1">
      <c r="A39" s="22" t="s">
        <v>1575</v>
      </c>
      <c r="B39" s="2" t="s">
        <v>1576</v>
      </c>
      <c r="C39" s="2" t="s">
        <v>1577</v>
      </c>
      <c r="D39" s="2" t="s">
        <v>1579</v>
      </c>
      <c r="E39" s="43">
        <v>70</v>
      </c>
      <c r="F39" s="8" t="s">
        <v>37</v>
      </c>
      <c r="G39" s="2" t="s">
        <v>59</v>
      </c>
      <c r="H39" s="2"/>
      <c r="I39" s="2" t="s">
        <v>1581</v>
      </c>
      <c r="J39" s="2" t="s">
        <v>1499</v>
      </c>
      <c r="K39" s="2" t="s">
        <v>47</v>
      </c>
      <c r="L39" s="22" t="s">
        <v>52</v>
      </c>
      <c r="M39" s="46" t="s">
        <v>66</v>
      </c>
      <c r="N39" s="16" t="s">
        <v>1737</v>
      </c>
      <c r="O39" s="3" t="s">
        <v>270</v>
      </c>
    </row>
    <row r="40" spans="1:15" ht="105.45" customHeight="1">
      <c r="A40" s="32" t="s">
        <v>1627</v>
      </c>
      <c r="B40" s="33" t="s">
        <v>1628</v>
      </c>
      <c r="C40" s="33" t="s">
        <v>1629</v>
      </c>
      <c r="D40" s="33" t="s">
        <v>1631</v>
      </c>
      <c r="E40" s="36">
        <v>38</v>
      </c>
      <c r="F40" s="51" t="s">
        <v>37</v>
      </c>
      <c r="G40" s="9" t="s">
        <v>61</v>
      </c>
      <c r="H40" s="33" t="s">
        <v>1635</v>
      </c>
      <c r="I40" s="33" t="s">
        <v>1637</v>
      </c>
      <c r="J40" s="33" t="s">
        <v>307</v>
      </c>
      <c r="K40" s="33" t="s">
        <v>47</v>
      </c>
      <c r="L40" s="32" t="s">
        <v>56</v>
      </c>
      <c r="M40" s="38" t="s">
        <v>66</v>
      </c>
      <c r="N40" s="39" t="s">
        <v>1738</v>
      </c>
      <c r="O40" s="40" t="s">
        <v>270</v>
      </c>
    </row>
  </sheetData>
  <autoFilter ref="A4:O40" xr:uid="{00000000-0009-0000-0000-000003000000}"/>
  <mergeCells count="2">
    <mergeCell ref="A1:O1"/>
    <mergeCell ref="A2:O2"/>
  </mergeCells>
  <phoneticPr fontId="25" type="noConversion"/>
  <hyperlinks>
    <hyperlink ref="N5" r:id="rId1" xr:uid="{00000000-0004-0000-0300-000000000000}"/>
    <hyperlink ref="O5" r:id="rId2" xr:uid="{00000000-0004-0000-0300-000001000000}"/>
    <hyperlink ref="N6" r:id="rId3" xr:uid="{00000000-0004-0000-0300-000002000000}"/>
    <hyperlink ref="O6" r:id="rId4" xr:uid="{00000000-0004-0000-0300-000003000000}"/>
    <hyperlink ref="N7" r:id="rId5" xr:uid="{00000000-0004-0000-0300-000004000000}"/>
    <hyperlink ref="O7" r:id="rId6" xr:uid="{00000000-0004-0000-0300-000005000000}"/>
    <hyperlink ref="N8" r:id="rId7" xr:uid="{00000000-0004-0000-0300-000006000000}"/>
    <hyperlink ref="O8" r:id="rId8" xr:uid="{00000000-0004-0000-0300-000007000000}"/>
    <hyperlink ref="N9" r:id="rId9" xr:uid="{00000000-0004-0000-0300-000008000000}"/>
    <hyperlink ref="O9" r:id="rId10" xr:uid="{00000000-0004-0000-0300-000009000000}"/>
    <hyperlink ref="N10" r:id="rId11" xr:uid="{00000000-0004-0000-0300-00000A000000}"/>
    <hyperlink ref="O10" r:id="rId12" xr:uid="{00000000-0004-0000-0300-00000B000000}"/>
    <hyperlink ref="N11" r:id="rId13" xr:uid="{00000000-0004-0000-0300-00000C000000}"/>
    <hyperlink ref="O11" r:id="rId14" xr:uid="{00000000-0004-0000-0300-00000D000000}"/>
    <hyperlink ref="N12" r:id="rId15" xr:uid="{00000000-0004-0000-0300-00000E000000}"/>
    <hyperlink ref="O12" r:id="rId16" xr:uid="{00000000-0004-0000-0300-00000F000000}"/>
    <hyperlink ref="N13" r:id="rId17" xr:uid="{00000000-0004-0000-0300-000010000000}"/>
    <hyperlink ref="O13" r:id="rId18" xr:uid="{00000000-0004-0000-0300-000011000000}"/>
    <hyperlink ref="N14" r:id="rId19" xr:uid="{00000000-0004-0000-0300-000012000000}"/>
    <hyperlink ref="O14" r:id="rId20" xr:uid="{00000000-0004-0000-0300-000013000000}"/>
    <hyperlink ref="N15" r:id="rId21" xr:uid="{00000000-0004-0000-0300-000014000000}"/>
    <hyperlink ref="O15" r:id="rId22" xr:uid="{00000000-0004-0000-0300-000015000000}"/>
    <hyperlink ref="N16" r:id="rId23" xr:uid="{00000000-0004-0000-0300-000016000000}"/>
    <hyperlink ref="O16" r:id="rId24" xr:uid="{00000000-0004-0000-0300-000017000000}"/>
    <hyperlink ref="N17" r:id="rId25" xr:uid="{00000000-0004-0000-0300-000018000000}"/>
    <hyperlink ref="O17" r:id="rId26" xr:uid="{00000000-0004-0000-0300-000019000000}"/>
    <hyperlink ref="N18" r:id="rId27" xr:uid="{00000000-0004-0000-0300-00001A000000}"/>
    <hyperlink ref="O18" r:id="rId28" xr:uid="{00000000-0004-0000-0300-00001B000000}"/>
    <hyperlink ref="N19" r:id="rId29" xr:uid="{00000000-0004-0000-0300-00001C000000}"/>
    <hyperlink ref="O19" r:id="rId30" xr:uid="{00000000-0004-0000-0300-00001D000000}"/>
    <hyperlink ref="N20" r:id="rId31" xr:uid="{00000000-0004-0000-0300-00001E000000}"/>
    <hyperlink ref="O20" r:id="rId32" xr:uid="{00000000-0004-0000-0300-00001F000000}"/>
    <hyperlink ref="N21" r:id="rId33" xr:uid="{00000000-0004-0000-0300-000020000000}"/>
    <hyperlink ref="O21" r:id="rId34" xr:uid="{00000000-0004-0000-0300-000021000000}"/>
    <hyperlink ref="N22" r:id="rId35" xr:uid="{00000000-0004-0000-0300-000022000000}"/>
    <hyperlink ref="O22" r:id="rId36" xr:uid="{00000000-0004-0000-0300-000023000000}"/>
    <hyperlink ref="N23" r:id="rId37" xr:uid="{00000000-0004-0000-0300-000024000000}"/>
    <hyperlink ref="O23" r:id="rId38" xr:uid="{00000000-0004-0000-0300-000025000000}"/>
    <hyperlink ref="N24" r:id="rId39" xr:uid="{00000000-0004-0000-0300-000026000000}"/>
    <hyperlink ref="O24" r:id="rId40" xr:uid="{00000000-0004-0000-0300-000027000000}"/>
    <hyperlink ref="N25" r:id="rId41" xr:uid="{00000000-0004-0000-0300-000028000000}"/>
    <hyperlink ref="O25" r:id="rId42" xr:uid="{00000000-0004-0000-0300-000029000000}"/>
    <hyperlink ref="N26" r:id="rId43" xr:uid="{00000000-0004-0000-0300-00002A000000}"/>
    <hyperlink ref="O26" r:id="rId44" xr:uid="{00000000-0004-0000-0300-00002B000000}"/>
    <hyperlink ref="N27" r:id="rId45" xr:uid="{00000000-0004-0000-0300-00002C000000}"/>
    <hyperlink ref="O27" r:id="rId46" xr:uid="{00000000-0004-0000-0300-00002D000000}"/>
    <hyperlink ref="N28" r:id="rId47" xr:uid="{00000000-0004-0000-0300-00002E000000}"/>
    <hyperlink ref="O28" r:id="rId48" xr:uid="{00000000-0004-0000-0300-00002F000000}"/>
    <hyperlink ref="N29" r:id="rId49" xr:uid="{00000000-0004-0000-0300-000030000000}"/>
    <hyperlink ref="O29" r:id="rId50" xr:uid="{00000000-0004-0000-0300-000031000000}"/>
    <hyperlink ref="N30" r:id="rId51" xr:uid="{00000000-0004-0000-0300-000032000000}"/>
    <hyperlink ref="O30" r:id="rId52" xr:uid="{00000000-0004-0000-0300-000033000000}"/>
    <hyperlink ref="N31" r:id="rId53" xr:uid="{00000000-0004-0000-0300-000034000000}"/>
    <hyperlink ref="O31" r:id="rId54" xr:uid="{00000000-0004-0000-0300-000035000000}"/>
    <hyperlink ref="N32" r:id="rId55" xr:uid="{00000000-0004-0000-0300-000036000000}"/>
    <hyperlink ref="O32" r:id="rId56" xr:uid="{00000000-0004-0000-0300-000037000000}"/>
    <hyperlink ref="N33" r:id="rId57" xr:uid="{00000000-0004-0000-0300-000038000000}"/>
    <hyperlink ref="O33" r:id="rId58" xr:uid="{00000000-0004-0000-0300-000039000000}"/>
    <hyperlink ref="N34" r:id="rId59" xr:uid="{00000000-0004-0000-0300-00003A000000}"/>
    <hyperlink ref="O34" r:id="rId60" xr:uid="{00000000-0004-0000-0300-00003B000000}"/>
    <hyperlink ref="N35" r:id="rId61" xr:uid="{00000000-0004-0000-0300-00003C000000}"/>
    <hyperlink ref="O35" r:id="rId62" xr:uid="{00000000-0004-0000-0300-00003D000000}"/>
    <hyperlink ref="N36" r:id="rId63" xr:uid="{00000000-0004-0000-0300-00003E000000}"/>
    <hyperlink ref="O36" r:id="rId64" xr:uid="{00000000-0004-0000-0300-00003F000000}"/>
    <hyperlink ref="N37" r:id="rId65" xr:uid="{00000000-0004-0000-0300-000040000000}"/>
    <hyperlink ref="O37" r:id="rId66" xr:uid="{00000000-0004-0000-0300-000041000000}"/>
    <hyperlink ref="N38" r:id="rId67" xr:uid="{00000000-0004-0000-0300-000042000000}"/>
    <hyperlink ref="O38" r:id="rId68" xr:uid="{00000000-0004-0000-0300-000043000000}"/>
    <hyperlink ref="N39" r:id="rId69" xr:uid="{00000000-0004-0000-0300-000044000000}"/>
    <hyperlink ref="O39" r:id="rId70" xr:uid="{00000000-0004-0000-0300-000045000000}"/>
    <hyperlink ref="N40" r:id="rId71" xr:uid="{00000000-0004-0000-0300-000046000000}"/>
    <hyperlink ref="O40" r:id="rId72" xr:uid="{00000000-0004-0000-0300-000047000000}"/>
  </hyperlinks>
  <printOptions horizontalCentered="1"/>
  <pageMargins left="0.4" right="0.4" top="0.5" bottom="0.6" header="0.5" footer="0.5"/>
  <pageSetup paperSize="9" fitToHeight="0" orientation="landscape"/>
  <headerFooter>
    <oddFooter>&amp;C第 &amp;P 頁，共 &amp;N 頁</oddFooter>
  </headerFooter>
  <legacyDrawing r:id="rId7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4B4D6"/>
    <pageSetUpPr fitToPage="1"/>
  </sheetPr>
  <dimension ref="A1:O33"/>
  <sheetViews>
    <sheetView workbookViewId="0">
      <pane xSplit="2" ySplit="4" topLeftCell="C5" activePane="bottomRight" state="frozen"/>
      <selection pane="topRight"/>
      <selection pane="bottomLeft"/>
      <selection pane="bottomRight"/>
    </sheetView>
  </sheetViews>
  <sheetFormatPr defaultRowHeight="13.8"/>
  <cols>
    <col min="1" max="1" width="10" customWidth="1"/>
    <col min="2" max="2" width="24" customWidth="1"/>
    <col min="3" max="3" width="16" customWidth="1"/>
    <col min="4" max="4" width="30" customWidth="1"/>
    <col min="5" max="5" width="10" customWidth="1"/>
    <col min="6" max="6" width="16" customWidth="1"/>
    <col min="7" max="7" width="13" customWidth="1"/>
    <col min="8" max="8" width="24" customWidth="1"/>
    <col min="9" max="9" width="36" customWidth="1"/>
    <col min="10" max="10" width="16" customWidth="1"/>
    <col min="11" max="11" width="15" customWidth="1"/>
    <col min="12" max="12" width="10" customWidth="1"/>
    <col min="13" max="13" width="8" customWidth="1"/>
    <col min="14" max="14" width="36" customWidth="1"/>
    <col min="15" max="15" width="12" customWidth="1"/>
  </cols>
  <sheetData>
    <row r="1" spans="1:15" ht="27.15" customHeight="1">
      <c r="A1" s="73" t="s">
        <v>1739</v>
      </c>
      <c r="B1" s="71"/>
      <c r="C1" s="71"/>
      <c r="D1" s="71"/>
      <c r="E1" s="71"/>
      <c r="F1" s="71"/>
      <c r="G1" s="71"/>
      <c r="H1" s="71"/>
      <c r="I1" s="71"/>
      <c r="J1" s="71"/>
      <c r="K1" s="71"/>
      <c r="L1" s="71"/>
      <c r="M1" s="71"/>
      <c r="N1" s="71"/>
      <c r="O1" s="71"/>
    </row>
    <row r="2" spans="1:15" ht="19.95" customHeight="1">
      <c r="A2" s="78" t="str">
        <f>"主清單 "&amp;COUNTIFS(專案清單!$B$2:$B$80,"維多利亞州",專案清單!$R$2:$R$80,"主清單")&amp;" 件　｜　已知容量合計 "&amp;FIXED(SUMIFS(專案清單!$M$2:$M$80,專案清單!$B$2:$B$80,"維多利亞州",專案清單!$R$2:$R$80,"主清單"),1)&amp;" MW　｜　容量未公布 "&amp;COUNTIFS(專案清單!$B$2:$B$80,"維多利亞州",專案清單!$R$2:$R$80,"主清單",專案清單!$M$2:$M$80,"未公布")&amp;" 件　｜　另有觀察名單 "&amp;COUNTIFS(專案清單!$B$2:$B$80,"維多利亞州",專案清單!$R$2:$R$80,"觀察名單 (出租性待確認)")&amp;" 件（已知容量 "&amp;FIXED(SUMIFS(專案清單!$M$2:$M$80,專案清單!$B$2:$B$80,"維多利亞州",專案清單!$R$2:$R$80,"觀察名單 (出租性待確認)"),1)&amp;" MW）"</f>
        <v>主清單 21 件　｜　已知容量合計 4,233.0 MW　｜　容量未公布 2 件　｜　另有觀察名單 8 件（已知容量 443.0 MW）</v>
      </c>
      <c r="B2" s="71"/>
      <c r="C2" s="71"/>
      <c r="D2" s="71"/>
      <c r="E2" s="71"/>
      <c r="F2" s="71"/>
      <c r="G2" s="71"/>
      <c r="H2" s="71"/>
      <c r="I2" s="71"/>
      <c r="J2" s="71"/>
      <c r="K2" s="71"/>
      <c r="L2" s="71"/>
      <c r="M2" s="71"/>
      <c r="N2" s="71"/>
      <c r="O2" s="71"/>
    </row>
    <row r="4" spans="1:15" ht="31.95" customHeight="1">
      <c r="A4" s="20" t="s">
        <v>216</v>
      </c>
      <c r="B4" s="20" t="s">
        <v>217</v>
      </c>
      <c r="C4" s="20" t="s">
        <v>218</v>
      </c>
      <c r="D4" s="20" t="s">
        <v>220</v>
      </c>
      <c r="E4" s="20" t="s">
        <v>226</v>
      </c>
      <c r="F4" s="20" t="s">
        <v>101</v>
      </c>
      <c r="G4" s="20" t="s">
        <v>230</v>
      </c>
      <c r="H4" s="20" t="s">
        <v>231</v>
      </c>
      <c r="I4" s="20" t="s">
        <v>233</v>
      </c>
      <c r="J4" s="20" t="s">
        <v>235</v>
      </c>
      <c r="K4" s="20" t="s">
        <v>18</v>
      </c>
      <c r="L4" s="20" t="s">
        <v>51</v>
      </c>
      <c r="M4" s="20" t="s">
        <v>103</v>
      </c>
      <c r="N4" s="20" t="s">
        <v>1704</v>
      </c>
      <c r="O4" s="20" t="s">
        <v>245</v>
      </c>
    </row>
    <row r="5" spans="1:15" ht="160.05000000000001" customHeight="1">
      <c r="A5" s="32" t="s">
        <v>247</v>
      </c>
      <c r="B5" s="33" t="s">
        <v>248</v>
      </c>
      <c r="C5" s="33" t="s">
        <v>249</v>
      </c>
      <c r="D5" s="33" t="s">
        <v>251</v>
      </c>
      <c r="E5" s="36">
        <v>155</v>
      </c>
      <c r="F5" s="37" t="s">
        <v>33</v>
      </c>
      <c r="G5" s="9" t="s">
        <v>61</v>
      </c>
      <c r="H5" s="33" t="s">
        <v>256</v>
      </c>
      <c r="I5" s="33" t="s">
        <v>258</v>
      </c>
      <c r="J5" s="33" t="s">
        <v>260</v>
      </c>
      <c r="K5" s="33" t="s">
        <v>39</v>
      </c>
      <c r="L5" s="32" t="s">
        <v>56</v>
      </c>
      <c r="M5" s="38" t="s">
        <v>66</v>
      </c>
      <c r="N5" s="39" t="s">
        <v>1740</v>
      </c>
      <c r="O5" s="40" t="s">
        <v>270</v>
      </c>
    </row>
    <row r="6" spans="1:15" ht="160.05000000000001" customHeight="1">
      <c r="A6" s="32" t="s">
        <v>295</v>
      </c>
      <c r="B6" s="33" t="s">
        <v>296</v>
      </c>
      <c r="C6" s="33" t="s">
        <v>297</v>
      </c>
      <c r="D6" s="33" t="s">
        <v>299</v>
      </c>
      <c r="E6" s="36">
        <v>276</v>
      </c>
      <c r="F6" s="45" t="s">
        <v>35</v>
      </c>
      <c r="G6" s="9" t="s">
        <v>61</v>
      </c>
      <c r="H6" s="33" t="s">
        <v>304</v>
      </c>
      <c r="I6" s="33" t="s">
        <v>306</v>
      </c>
      <c r="J6" s="33" t="s">
        <v>307</v>
      </c>
      <c r="K6" s="33" t="s">
        <v>39</v>
      </c>
      <c r="L6" s="32" t="s">
        <v>56</v>
      </c>
      <c r="M6" s="38" t="s">
        <v>66</v>
      </c>
      <c r="N6" s="39" t="s">
        <v>1741</v>
      </c>
      <c r="O6" s="40" t="s">
        <v>270</v>
      </c>
    </row>
    <row r="7" spans="1:15" ht="134.55000000000001" customHeight="1">
      <c r="A7" s="32" t="s">
        <v>339</v>
      </c>
      <c r="B7" s="33" t="s">
        <v>340</v>
      </c>
      <c r="C7" s="33" t="s">
        <v>341</v>
      </c>
      <c r="D7" s="33" t="s">
        <v>343</v>
      </c>
      <c r="E7" s="36">
        <v>12</v>
      </c>
      <c r="F7" s="45" t="s">
        <v>35</v>
      </c>
      <c r="G7" s="9" t="s">
        <v>61</v>
      </c>
      <c r="H7" s="33" t="s">
        <v>348</v>
      </c>
      <c r="I7" s="33" t="s">
        <v>350</v>
      </c>
      <c r="J7" s="33" t="s">
        <v>352</v>
      </c>
      <c r="K7" s="33" t="s">
        <v>39</v>
      </c>
      <c r="L7" s="32" t="s">
        <v>56</v>
      </c>
      <c r="M7" s="47" t="s">
        <v>68</v>
      </c>
      <c r="N7" s="39" t="s">
        <v>1742</v>
      </c>
      <c r="O7" s="40" t="s">
        <v>270</v>
      </c>
    </row>
    <row r="8" spans="1:15" ht="160.05000000000001" customHeight="1">
      <c r="A8" s="22" t="s">
        <v>378</v>
      </c>
      <c r="B8" s="2" t="s">
        <v>379</v>
      </c>
      <c r="C8" s="2" t="s">
        <v>380</v>
      </c>
      <c r="D8" s="2" t="s">
        <v>382</v>
      </c>
      <c r="E8" s="43">
        <v>252</v>
      </c>
      <c r="F8" s="4" t="s">
        <v>29</v>
      </c>
      <c r="G8" s="2" t="s">
        <v>59</v>
      </c>
      <c r="H8" s="2"/>
      <c r="I8" s="2" t="s">
        <v>388</v>
      </c>
      <c r="J8" s="2" t="s">
        <v>390</v>
      </c>
      <c r="K8" s="2" t="s">
        <v>41</v>
      </c>
      <c r="L8" s="22" t="s">
        <v>52</v>
      </c>
      <c r="M8" s="46" t="s">
        <v>66</v>
      </c>
      <c r="N8" s="16" t="s">
        <v>1743</v>
      </c>
      <c r="O8" s="3" t="s">
        <v>270</v>
      </c>
    </row>
    <row r="9" spans="1:15" ht="160.05000000000001" customHeight="1">
      <c r="A9" s="22" t="s">
        <v>423</v>
      </c>
      <c r="B9" s="2" t="s">
        <v>424</v>
      </c>
      <c r="C9" s="2" t="s">
        <v>380</v>
      </c>
      <c r="D9" s="2" t="s">
        <v>426</v>
      </c>
      <c r="E9" s="43">
        <v>108</v>
      </c>
      <c r="F9" s="4" t="s">
        <v>29</v>
      </c>
      <c r="G9" s="2" t="s">
        <v>59</v>
      </c>
      <c r="H9" s="2"/>
      <c r="I9" s="2" t="s">
        <v>429</v>
      </c>
      <c r="J9" s="2" t="s">
        <v>431</v>
      </c>
      <c r="K9" s="2" t="s">
        <v>41</v>
      </c>
      <c r="L9" s="22" t="s">
        <v>52</v>
      </c>
      <c r="M9" s="46" t="s">
        <v>66</v>
      </c>
      <c r="N9" s="16" t="s">
        <v>1744</v>
      </c>
      <c r="O9" s="3" t="s">
        <v>270</v>
      </c>
    </row>
    <row r="10" spans="1:15" ht="160.05000000000001" customHeight="1">
      <c r="A10" s="22" t="s">
        <v>463</v>
      </c>
      <c r="B10" s="2" t="s">
        <v>464</v>
      </c>
      <c r="C10" s="2" t="s">
        <v>465</v>
      </c>
      <c r="D10" s="2" t="s">
        <v>467</v>
      </c>
      <c r="E10" s="43">
        <v>64</v>
      </c>
      <c r="F10" s="4" t="s">
        <v>29</v>
      </c>
      <c r="G10" s="2" t="s">
        <v>59</v>
      </c>
      <c r="H10" s="2"/>
      <c r="I10" s="2" t="s">
        <v>473</v>
      </c>
      <c r="J10" s="2" t="s">
        <v>474</v>
      </c>
      <c r="K10" s="2" t="s">
        <v>41</v>
      </c>
      <c r="L10" s="22" t="s">
        <v>54</v>
      </c>
      <c r="M10" s="46" t="s">
        <v>66</v>
      </c>
      <c r="N10" s="16" t="s">
        <v>1741</v>
      </c>
      <c r="O10" s="3" t="s">
        <v>270</v>
      </c>
    </row>
    <row r="11" spans="1:15" ht="160.05000000000001" customHeight="1">
      <c r="A11" s="22" t="s">
        <v>547</v>
      </c>
      <c r="B11" s="2" t="s">
        <v>548</v>
      </c>
      <c r="C11" s="2" t="s">
        <v>549</v>
      </c>
      <c r="D11" s="2" t="s">
        <v>551</v>
      </c>
      <c r="E11" s="43">
        <v>354</v>
      </c>
      <c r="F11" s="5" t="s">
        <v>31</v>
      </c>
      <c r="G11" s="2" t="s">
        <v>59</v>
      </c>
      <c r="H11" s="2"/>
      <c r="I11" s="2" t="s">
        <v>555</v>
      </c>
      <c r="J11" s="2" t="s">
        <v>557</v>
      </c>
      <c r="K11" s="2" t="s">
        <v>43</v>
      </c>
      <c r="L11" s="22" t="s">
        <v>54</v>
      </c>
      <c r="M11" s="44" t="s">
        <v>64</v>
      </c>
      <c r="N11" s="16" t="s">
        <v>1745</v>
      </c>
      <c r="O11" s="3" t="s">
        <v>270</v>
      </c>
    </row>
    <row r="12" spans="1:15" ht="134.55000000000001" customHeight="1">
      <c r="A12" s="22" t="s">
        <v>606</v>
      </c>
      <c r="B12" s="2" t="s">
        <v>607</v>
      </c>
      <c r="C12" s="2" t="s">
        <v>608</v>
      </c>
      <c r="D12" s="2" t="s">
        <v>610</v>
      </c>
      <c r="E12" s="43">
        <v>120</v>
      </c>
      <c r="F12" s="5" t="s">
        <v>31</v>
      </c>
      <c r="G12" s="2" t="s">
        <v>59</v>
      </c>
      <c r="H12" s="2"/>
      <c r="I12" s="2" t="s">
        <v>616</v>
      </c>
      <c r="J12" s="2" t="s">
        <v>618</v>
      </c>
      <c r="K12" s="2" t="s">
        <v>45</v>
      </c>
      <c r="L12" s="22" t="s">
        <v>54</v>
      </c>
      <c r="M12" s="44" t="s">
        <v>64</v>
      </c>
      <c r="N12" s="16" t="s">
        <v>1746</v>
      </c>
      <c r="O12" s="3" t="s">
        <v>270</v>
      </c>
    </row>
    <row r="13" spans="1:15" ht="91.05" customHeight="1">
      <c r="A13" s="22" t="s">
        <v>757</v>
      </c>
      <c r="B13" s="2" t="s">
        <v>758</v>
      </c>
      <c r="C13" s="2" t="s">
        <v>759</v>
      </c>
      <c r="D13" s="2" t="s">
        <v>761</v>
      </c>
      <c r="E13" s="43">
        <v>200</v>
      </c>
      <c r="F13" s="8" t="s">
        <v>37</v>
      </c>
      <c r="G13" s="2" t="s">
        <v>59</v>
      </c>
      <c r="H13" s="2"/>
      <c r="I13" s="2" t="s">
        <v>764</v>
      </c>
      <c r="J13" s="2" t="s">
        <v>766</v>
      </c>
      <c r="K13" s="2" t="s">
        <v>45</v>
      </c>
      <c r="L13" s="22" t="s">
        <v>54</v>
      </c>
      <c r="M13" s="44" t="s">
        <v>64</v>
      </c>
      <c r="N13" s="16" t="s">
        <v>1747</v>
      </c>
      <c r="O13" s="3" t="s">
        <v>270</v>
      </c>
    </row>
    <row r="14" spans="1:15" ht="91.05" customHeight="1">
      <c r="A14" s="22" t="s">
        <v>815</v>
      </c>
      <c r="B14" s="2" t="s">
        <v>816</v>
      </c>
      <c r="C14" s="2" t="s">
        <v>817</v>
      </c>
      <c r="D14" s="2" t="s">
        <v>819</v>
      </c>
      <c r="E14" s="48" t="s">
        <v>307</v>
      </c>
      <c r="F14" s="8" t="s">
        <v>37</v>
      </c>
      <c r="G14" s="2" t="s">
        <v>59</v>
      </c>
      <c r="H14" s="2"/>
      <c r="I14" s="2" t="s">
        <v>823</v>
      </c>
      <c r="J14" s="2" t="s">
        <v>825</v>
      </c>
      <c r="K14" s="2" t="s">
        <v>45</v>
      </c>
      <c r="L14" s="22" t="s">
        <v>54</v>
      </c>
      <c r="M14" s="46" t="s">
        <v>66</v>
      </c>
      <c r="N14" s="16" t="s">
        <v>1748</v>
      </c>
      <c r="O14" s="3" t="s">
        <v>270</v>
      </c>
    </row>
    <row r="15" spans="1:15" ht="160.05000000000001" customHeight="1">
      <c r="A15" s="22" t="s">
        <v>852</v>
      </c>
      <c r="B15" s="2" t="s">
        <v>853</v>
      </c>
      <c r="C15" s="2" t="s">
        <v>402</v>
      </c>
      <c r="D15" s="2" t="s">
        <v>855</v>
      </c>
      <c r="E15" s="43">
        <v>400</v>
      </c>
      <c r="F15" s="4" t="s">
        <v>29</v>
      </c>
      <c r="G15" s="2" t="s">
        <v>59</v>
      </c>
      <c r="H15" s="2"/>
      <c r="I15" s="2" t="s">
        <v>859</v>
      </c>
      <c r="J15" s="2" t="s">
        <v>861</v>
      </c>
      <c r="K15" s="2" t="s">
        <v>47</v>
      </c>
      <c r="L15" s="22" t="s">
        <v>52</v>
      </c>
      <c r="M15" s="44" t="s">
        <v>64</v>
      </c>
      <c r="N15" s="16" t="s">
        <v>1749</v>
      </c>
      <c r="O15" s="3" t="s">
        <v>270</v>
      </c>
    </row>
    <row r="16" spans="1:15" ht="105.45" customHeight="1">
      <c r="A16" s="22" t="s">
        <v>871</v>
      </c>
      <c r="B16" s="2" t="s">
        <v>872</v>
      </c>
      <c r="C16" s="2" t="s">
        <v>530</v>
      </c>
      <c r="D16" s="2" t="s">
        <v>874</v>
      </c>
      <c r="E16" s="43">
        <v>207</v>
      </c>
      <c r="F16" s="4" t="s">
        <v>29</v>
      </c>
      <c r="G16" s="2" t="s">
        <v>59</v>
      </c>
      <c r="H16" s="2"/>
      <c r="I16" s="2" t="s">
        <v>879</v>
      </c>
      <c r="J16" s="2" t="s">
        <v>881</v>
      </c>
      <c r="K16" s="2" t="s">
        <v>47</v>
      </c>
      <c r="L16" s="22" t="s">
        <v>54</v>
      </c>
      <c r="M16" s="44" t="s">
        <v>64</v>
      </c>
      <c r="N16" s="16" t="s">
        <v>1750</v>
      </c>
      <c r="O16" s="3" t="s">
        <v>270</v>
      </c>
    </row>
    <row r="17" spans="1:15" ht="91.05" customHeight="1">
      <c r="A17" s="22" t="s">
        <v>890</v>
      </c>
      <c r="B17" s="2" t="s">
        <v>891</v>
      </c>
      <c r="C17" s="2" t="s">
        <v>530</v>
      </c>
      <c r="D17" s="2" t="s">
        <v>893</v>
      </c>
      <c r="E17" s="43">
        <v>162</v>
      </c>
      <c r="F17" s="4" t="s">
        <v>29</v>
      </c>
      <c r="G17" s="2" t="s">
        <v>59</v>
      </c>
      <c r="H17" s="2"/>
      <c r="I17" s="2" t="s">
        <v>899</v>
      </c>
      <c r="J17" s="2" t="s">
        <v>307</v>
      </c>
      <c r="K17" s="2" t="s">
        <v>47</v>
      </c>
      <c r="L17" s="22" t="s">
        <v>54</v>
      </c>
      <c r="M17" s="44" t="s">
        <v>64</v>
      </c>
      <c r="N17" s="16" t="s">
        <v>1751</v>
      </c>
      <c r="O17" s="3" t="s">
        <v>270</v>
      </c>
    </row>
    <row r="18" spans="1:15" ht="120" customHeight="1">
      <c r="A18" s="22" t="s">
        <v>907</v>
      </c>
      <c r="B18" s="2" t="s">
        <v>908</v>
      </c>
      <c r="C18" s="2" t="s">
        <v>530</v>
      </c>
      <c r="D18" s="2" t="s">
        <v>909</v>
      </c>
      <c r="E18" s="43">
        <v>72</v>
      </c>
      <c r="F18" s="4" t="s">
        <v>29</v>
      </c>
      <c r="G18" s="2" t="s">
        <v>59</v>
      </c>
      <c r="H18" s="2"/>
      <c r="I18" s="2" t="s">
        <v>911</v>
      </c>
      <c r="J18" s="2" t="s">
        <v>912</v>
      </c>
      <c r="K18" s="2" t="s">
        <v>47</v>
      </c>
      <c r="L18" s="22" t="s">
        <v>54</v>
      </c>
      <c r="M18" s="44" t="s">
        <v>64</v>
      </c>
      <c r="N18" s="16" t="s">
        <v>1741</v>
      </c>
      <c r="O18" s="3" t="s">
        <v>270</v>
      </c>
    </row>
    <row r="19" spans="1:15" ht="160.05000000000001" customHeight="1">
      <c r="A19" s="22" t="s">
        <v>985</v>
      </c>
      <c r="B19" s="2" t="s">
        <v>986</v>
      </c>
      <c r="C19" s="2" t="s">
        <v>987</v>
      </c>
      <c r="D19" s="2" t="s">
        <v>989</v>
      </c>
      <c r="E19" s="43">
        <v>210</v>
      </c>
      <c r="F19" s="5" t="s">
        <v>31</v>
      </c>
      <c r="G19" s="2" t="s">
        <v>59</v>
      </c>
      <c r="H19" s="2"/>
      <c r="I19" s="2" t="s">
        <v>992</v>
      </c>
      <c r="J19" s="2" t="s">
        <v>994</v>
      </c>
      <c r="K19" s="2" t="s">
        <v>47</v>
      </c>
      <c r="L19" s="22" t="s">
        <v>54</v>
      </c>
      <c r="M19" s="46" t="s">
        <v>66</v>
      </c>
      <c r="N19" s="16" t="s">
        <v>1752</v>
      </c>
      <c r="O19" s="3" t="s">
        <v>270</v>
      </c>
    </row>
    <row r="20" spans="1:15" ht="148.94999999999999" customHeight="1">
      <c r="A20" s="22" t="s">
        <v>1059</v>
      </c>
      <c r="B20" s="2" t="s">
        <v>1060</v>
      </c>
      <c r="C20" s="2" t="s">
        <v>1061</v>
      </c>
      <c r="D20" s="2" t="s">
        <v>1063</v>
      </c>
      <c r="E20" s="43">
        <v>80</v>
      </c>
      <c r="F20" s="5" t="s">
        <v>31</v>
      </c>
      <c r="G20" s="2" t="s">
        <v>59</v>
      </c>
      <c r="H20" s="2"/>
      <c r="I20" s="2" t="s">
        <v>1066</v>
      </c>
      <c r="J20" s="2" t="s">
        <v>307</v>
      </c>
      <c r="K20" s="2" t="s">
        <v>47</v>
      </c>
      <c r="L20" s="22" t="s">
        <v>52</v>
      </c>
      <c r="M20" s="44" t="s">
        <v>64</v>
      </c>
      <c r="N20" s="16" t="s">
        <v>1753</v>
      </c>
      <c r="O20" s="3" t="s">
        <v>270</v>
      </c>
    </row>
    <row r="21" spans="1:15" ht="91.05" customHeight="1">
      <c r="A21" s="32" t="s">
        <v>1197</v>
      </c>
      <c r="B21" s="33" t="s">
        <v>1198</v>
      </c>
      <c r="C21" s="33" t="s">
        <v>1199</v>
      </c>
      <c r="D21" s="33" t="s">
        <v>1201</v>
      </c>
      <c r="E21" s="54" t="s">
        <v>307</v>
      </c>
      <c r="F21" s="53" t="s">
        <v>31</v>
      </c>
      <c r="G21" s="9" t="s">
        <v>61</v>
      </c>
      <c r="H21" s="33" t="s">
        <v>1206</v>
      </c>
      <c r="I21" s="33" t="s">
        <v>1208</v>
      </c>
      <c r="J21" s="33" t="s">
        <v>307</v>
      </c>
      <c r="K21" s="33" t="s">
        <v>47</v>
      </c>
      <c r="L21" s="32" t="s">
        <v>56</v>
      </c>
      <c r="M21" s="47" t="s">
        <v>68</v>
      </c>
      <c r="N21" s="39" t="s">
        <v>1754</v>
      </c>
      <c r="O21" s="40" t="s">
        <v>270</v>
      </c>
    </row>
    <row r="22" spans="1:15" ht="120" customHeight="1">
      <c r="A22" s="32" t="s">
        <v>1215</v>
      </c>
      <c r="B22" s="33" t="s">
        <v>1216</v>
      </c>
      <c r="C22" s="33" t="s">
        <v>1217</v>
      </c>
      <c r="D22" s="33" t="s">
        <v>1219</v>
      </c>
      <c r="E22" s="54" t="s">
        <v>307</v>
      </c>
      <c r="F22" s="53" t="s">
        <v>31</v>
      </c>
      <c r="G22" s="9" t="s">
        <v>61</v>
      </c>
      <c r="H22" s="33" t="s">
        <v>1221</v>
      </c>
      <c r="I22" s="33" t="s">
        <v>1223</v>
      </c>
      <c r="J22" s="33" t="s">
        <v>307</v>
      </c>
      <c r="K22" s="33" t="s">
        <v>47</v>
      </c>
      <c r="L22" s="32" t="s">
        <v>56</v>
      </c>
      <c r="M22" s="52" t="s">
        <v>64</v>
      </c>
      <c r="N22" s="39" t="s">
        <v>1755</v>
      </c>
      <c r="O22" s="40" t="s">
        <v>270</v>
      </c>
    </row>
    <row r="23" spans="1:15" ht="91.05" customHeight="1">
      <c r="A23" s="32" t="s">
        <v>1230</v>
      </c>
      <c r="B23" s="33" t="s">
        <v>1231</v>
      </c>
      <c r="C23" s="33" t="s">
        <v>1232</v>
      </c>
      <c r="D23" s="33" t="s">
        <v>1234</v>
      </c>
      <c r="E23" s="54" t="s">
        <v>307</v>
      </c>
      <c r="F23" s="53" t="s">
        <v>31</v>
      </c>
      <c r="G23" s="9" t="s">
        <v>61</v>
      </c>
      <c r="H23" s="33" t="s">
        <v>1237</v>
      </c>
      <c r="I23" s="33" t="s">
        <v>1239</v>
      </c>
      <c r="J23" s="33" t="s">
        <v>307</v>
      </c>
      <c r="K23" s="33" t="s">
        <v>47</v>
      </c>
      <c r="L23" s="32" t="s">
        <v>56</v>
      </c>
      <c r="M23" s="47" t="s">
        <v>68</v>
      </c>
      <c r="N23" s="39" t="s">
        <v>1756</v>
      </c>
      <c r="O23" s="40" t="s">
        <v>270</v>
      </c>
    </row>
    <row r="24" spans="1:15" ht="148.94999999999999" customHeight="1">
      <c r="A24" s="22" t="s">
        <v>1340</v>
      </c>
      <c r="B24" s="2" t="s">
        <v>1341</v>
      </c>
      <c r="C24" s="2" t="s">
        <v>1342</v>
      </c>
      <c r="D24" s="2" t="s">
        <v>1344</v>
      </c>
      <c r="E24" s="43">
        <v>488</v>
      </c>
      <c r="F24" s="8" t="s">
        <v>37</v>
      </c>
      <c r="G24" s="2" t="s">
        <v>59</v>
      </c>
      <c r="H24" s="2"/>
      <c r="I24" s="2" t="s">
        <v>1350</v>
      </c>
      <c r="J24" s="2" t="s">
        <v>307</v>
      </c>
      <c r="K24" s="2" t="s">
        <v>47</v>
      </c>
      <c r="L24" s="22" t="s">
        <v>54</v>
      </c>
      <c r="M24" s="44" t="s">
        <v>64</v>
      </c>
      <c r="N24" s="16" t="s">
        <v>1757</v>
      </c>
      <c r="O24" s="3" t="s">
        <v>270</v>
      </c>
    </row>
    <row r="25" spans="1:15" ht="120" customHeight="1">
      <c r="A25" s="22" t="s">
        <v>1375</v>
      </c>
      <c r="B25" s="2" t="s">
        <v>1376</v>
      </c>
      <c r="C25" s="2" t="s">
        <v>1377</v>
      </c>
      <c r="D25" s="2" t="s">
        <v>1379</v>
      </c>
      <c r="E25" s="43">
        <v>400</v>
      </c>
      <c r="F25" s="8" t="s">
        <v>37</v>
      </c>
      <c r="G25" s="2" t="s">
        <v>59</v>
      </c>
      <c r="H25" s="2"/>
      <c r="I25" s="2" t="s">
        <v>1384</v>
      </c>
      <c r="J25" s="2" t="s">
        <v>307</v>
      </c>
      <c r="K25" s="2" t="s">
        <v>47</v>
      </c>
      <c r="L25" s="22" t="s">
        <v>54</v>
      </c>
      <c r="M25" s="44" t="s">
        <v>64</v>
      </c>
      <c r="N25" s="16" t="s">
        <v>1758</v>
      </c>
      <c r="O25" s="3" t="s">
        <v>270</v>
      </c>
    </row>
    <row r="26" spans="1:15" ht="91.05" customHeight="1">
      <c r="A26" s="22" t="s">
        <v>1424</v>
      </c>
      <c r="B26" s="2" t="s">
        <v>1425</v>
      </c>
      <c r="C26" s="2" t="s">
        <v>1426</v>
      </c>
      <c r="D26" s="2" t="s">
        <v>1428</v>
      </c>
      <c r="E26" s="43">
        <v>336</v>
      </c>
      <c r="F26" s="8" t="s">
        <v>37</v>
      </c>
      <c r="G26" s="2" t="s">
        <v>59</v>
      </c>
      <c r="H26" s="2"/>
      <c r="I26" s="2" t="s">
        <v>1433</v>
      </c>
      <c r="J26" s="2" t="s">
        <v>1434</v>
      </c>
      <c r="K26" s="2" t="s">
        <v>47</v>
      </c>
      <c r="L26" s="22" t="s">
        <v>54</v>
      </c>
      <c r="M26" s="44" t="s">
        <v>64</v>
      </c>
      <c r="N26" s="16" t="s">
        <v>1759</v>
      </c>
      <c r="O26" s="3" t="s">
        <v>270</v>
      </c>
    </row>
    <row r="27" spans="1:15" ht="120" customHeight="1">
      <c r="A27" s="22" t="s">
        <v>1442</v>
      </c>
      <c r="B27" s="2" t="s">
        <v>1443</v>
      </c>
      <c r="C27" s="2" t="s">
        <v>1444</v>
      </c>
      <c r="D27" s="2" t="s">
        <v>1446</v>
      </c>
      <c r="E27" s="43">
        <v>250</v>
      </c>
      <c r="F27" s="8" t="s">
        <v>37</v>
      </c>
      <c r="G27" s="2" t="s">
        <v>59</v>
      </c>
      <c r="H27" s="2"/>
      <c r="I27" s="2" t="s">
        <v>1450</v>
      </c>
      <c r="J27" s="2" t="s">
        <v>307</v>
      </c>
      <c r="K27" s="2" t="s">
        <v>47</v>
      </c>
      <c r="L27" s="22" t="s">
        <v>54</v>
      </c>
      <c r="M27" s="44" t="s">
        <v>64</v>
      </c>
      <c r="N27" s="16" t="s">
        <v>1760</v>
      </c>
      <c r="O27" s="3" t="s">
        <v>270</v>
      </c>
    </row>
    <row r="28" spans="1:15" ht="105.45" customHeight="1">
      <c r="A28" s="22" t="s">
        <v>1457</v>
      </c>
      <c r="B28" s="2" t="s">
        <v>1458</v>
      </c>
      <c r="C28" s="2" t="s">
        <v>1459</v>
      </c>
      <c r="D28" s="2" t="s">
        <v>1461</v>
      </c>
      <c r="E28" s="43">
        <v>250</v>
      </c>
      <c r="F28" s="8" t="s">
        <v>37</v>
      </c>
      <c r="G28" s="2" t="s">
        <v>59</v>
      </c>
      <c r="H28" s="2"/>
      <c r="I28" s="2" t="s">
        <v>1464</v>
      </c>
      <c r="J28" s="2" t="s">
        <v>307</v>
      </c>
      <c r="K28" s="2" t="s">
        <v>47</v>
      </c>
      <c r="L28" s="22" t="s">
        <v>54</v>
      </c>
      <c r="M28" s="44" t="s">
        <v>64</v>
      </c>
      <c r="N28" s="16" t="s">
        <v>1761</v>
      </c>
      <c r="O28" s="3" t="s">
        <v>270</v>
      </c>
    </row>
    <row r="29" spans="1:15" ht="91.05" customHeight="1">
      <c r="A29" s="22" t="s">
        <v>1471</v>
      </c>
      <c r="B29" s="2" t="s">
        <v>1472</v>
      </c>
      <c r="C29" s="2" t="s">
        <v>1473</v>
      </c>
      <c r="D29" s="2" t="s">
        <v>1475</v>
      </c>
      <c r="E29" s="43">
        <v>240</v>
      </c>
      <c r="F29" s="8" t="s">
        <v>37</v>
      </c>
      <c r="G29" s="2" t="s">
        <v>59</v>
      </c>
      <c r="H29" s="2"/>
      <c r="I29" s="2" t="s">
        <v>1481</v>
      </c>
      <c r="J29" s="2" t="s">
        <v>1482</v>
      </c>
      <c r="K29" s="2" t="s">
        <v>47</v>
      </c>
      <c r="L29" s="22" t="s">
        <v>54</v>
      </c>
      <c r="M29" s="44" t="s">
        <v>64</v>
      </c>
      <c r="N29" s="16" t="s">
        <v>1762</v>
      </c>
      <c r="O29" s="3" t="s">
        <v>270</v>
      </c>
    </row>
    <row r="30" spans="1:15" ht="105.45" customHeight="1">
      <c r="A30" s="22" t="s">
        <v>1609</v>
      </c>
      <c r="B30" s="2" t="s">
        <v>1610</v>
      </c>
      <c r="C30" s="2" t="s">
        <v>1611</v>
      </c>
      <c r="D30" s="2" t="s">
        <v>1613</v>
      </c>
      <c r="E30" s="43">
        <v>40</v>
      </c>
      <c r="F30" s="8" t="s">
        <v>37</v>
      </c>
      <c r="G30" s="2" t="s">
        <v>59</v>
      </c>
      <c r="H30" s="2"/>
      <c r="I30" s="2" t="s">
        <v>1618</v>
      </c>
      <c r="J30" s="2" t="s">
        <v>307</v>
      </c>
      <c r="K30" s="2" t="s">
        <v>47</v>
      </c>
      <c r="L30" s="22" t="s">
        <v>52</v>
      </c>
      <c r="M30" s="46" t="s">
        <v>66</v>
      </c>
      <c r="N30" s="16" t="s">
        <v>1763</v>
      </c>
      <c r="O30" s="3" t="s">
        <v>270</v>
      </c>
    </row>
    <row r="31" spans="1:15" ht="120" customHeight="1">
      <c r="A31" s="32" t="s">
        <v>1660</v>
      </c>
      <c r="B31" s="33" t="s">
        <v>1661</v>
      </c>
      <c r="C31" s="33" t="s">
        <v>1662</v>
      </c>
      <c r="D31" s="33" t="s">
        <v>1663</v>
      </c>
      <c r="E31" s="54" t="s">
        <v>307</v>
      </c>
      <c r="F31" s="51" t="s">
        <v>37</v>
      </c>
      <c r="G31" s="9" t="s">
        <v>61</v>
      </c>
      <c r="H31" s="33" t="s">
        <v>1667</v>
      </c>
      <c r="I31" s="33" t="s">
        <v>1668</v>
      </c>
      <c r="J31" s="33" t="s">
        <v>307</v>
      </c>
      <c r="K31" s="33" t="s">
        <v>47</v>
      </c>
      <c r="L31" s="32" t="s">
        <v>56</v>
      </c>
      <c r="M31" s="47" t="s">
        <v>68</v>
      </c>
      <c r="N31" s="39" t="s">
        <v>1764</v>
      </c>
      <c r="O31" s="40" t="s">
        <v>270</v>
      </c>
    </row>
    <row r="32" spans="1:15" ht="105.45" customHeight="1">
      <c r="A32" s="32" t="s">
        <v>1674</v>
      </c>
      <c r="B32" s="33" t="s">
        <v>1675</v>
      </c>
      <c r="C32" s="33" t="s">
        <v>1676</v>
      </c>
      <c r="D32" s="33" t="s">
        <v>1678</v>
      </c>
      <c r="E32" s="54" t="s">
        <v>307</v>
      </c>
      <c r="F32" s="51" t="s">
        <v>37</v>
      </c>
      <c r="G32" s="9" t="s">
        <v>61</v>
      </c>
      <c r="H32" s="33" t="s">
        <v>1681</v>
      </c>
      <c r="I32" s="33" t="s">
        <v>1683</v>
      </c>
      <c r="J32" s="33" t="s">
        <v>307</v>
      </c>
      <c r="K32" s="33" t="s">
        <v>47</v>
      </c>
      <c r="L32" s="32" t="s">
        <v>54</v>
      </c>
      <c r="M32" s="38" t="s">
        <v>66</v>
      </c>
      <c r="N32" s="39" t="s">
        <v>1765</v>
      </c>
      <c r="O32" s="40" t="s">
        <v>270</v>
      </c>
    </row>
    <row r="33" spans="1:15" ht="91.05" customHeight="1">
      <c r="A33" s="22" t="s">
        <v>1690</v>
      </c>
      <c r="B33" s="2" t="s">
        <v>1691</v>
      </c>
      <c r="C33" s="2" t="s">
        <v>530</v>
      </c>
      <c r="D33" s="2" t="s">
        <v>1693</v>
      </c>
      <c r="E33" s="48" t="s">
        <v>307</v>
      </c>
      <c r="F33" s="8" t="s">
        <v>37</v>
      </c>
      <c r="G33" s="2" t="s">
        <v>59</v>
      </c>
      <c r="H33" s="2"/>
      <c r="I33" s="2" t="s">
        <v>1695</v>
      </c>
      <c r="J33" s="2" t="s">
        <v>1696</v>
      </c>
      <c r="K33" s="2" t="s">
        <v>47</v>
      </c>
      <c r="L33" s="22" t="s">
        <v>54</v>
      </c>
      <c r="M33" s="44" t="s">
        <v>64</v>
      </c>
      <c r="N33" s="16" t="s">
        <v>1750</v>
      </c>
      <c r="O33" s="3" t="s">
        <v>270</v>
      </c>
    </row>
  </sheetData>
  <autoFilter ref="A4:O33" xr:uid="{00000000-0009-0000-0000-000004000000}"/>
  <mergeCells count="2">
    <mergeCell ref="A1:O1"/>
    <mergeCell ref="A2:O2"/>
  </mergeCells>
  <phoneticPr fontId="25" type="noConversion"/>
  <hyperlinks>
    <hyperlink ref="N5" r:id="rId1" xr:uid="{00000000-0004-0000-0400-000000000000}"/>
    <hyperlink ref="O5" r:id="rId2" xr:uid="{00000000-0004-0000-0400-000001000000}"/>
    <hyperlink ref="N6" r:id="rId3" xr:uid="{00000000-0004-0000-0400-000002000000}"/>
    <hyperlink ref="O6" r:id="rId4" xr:uid="{00000000-0004-0000-0400-000003000000}"/>
    <hyperlink ref="N7" r:id="rId5" xr:uid="{00000000-0004-0000-0400-000004000000}"/>
    <hyperlink ref="O7" r:id="rId6" xr:uid="{00000000-0004-0000-0400-000005000000}"/>
    <hyperlink ref="N8" r:id="rId7" xr:uid="{00000000-0004-0000-0400-000006000000}"/>
    <hyperlink ref="O8" r:id="rId8" xr:uid="{00000000-0004-0000-0400-000007000000}"/>
    <hyperlink ref="N9" r:id="rId9" xr:uid="{00000000-0004-0000-0400-000008000000}"/>
    <hyperlink ref="O9" r:id="rId10" xr:uid="{00000000-0004-0000-0400-000009000000}"/>
    <hyperlink ref="N10" r:id="rId11" xr:uid="{00000000-0004-0000-0400-00000A000000}"/>
    <hyperlink ref="O10" r:id="rId12" xr:uid="{00000000-0004-0000-0400-00000B000000}"/>
    <hyperlink ref="N11" r:id="rId13" xr:uid="{00000000-0004-0000-0400-00000C000000}"/>
    <hyperlink ref="O11" r:id="rId14" xr:uid="{00000000-0004-0000-0400-00000D000000}"/>
    <hyperlink ref="N12" r:id="rId15" xr:uid="{00000000-0004-0000-0400-00000E000000}"/>
    <hyperlink ref="O12" r:id="rId16" xr:uid="{00000000-0004-0000-0400-00000F000000}"/>
    <hyperlink ref="N13" r:id="rId17" xr:uid="{00000000-0004-0000-0400-000010000000}"/>
    <hyperlink ref="O13" r:id="rId18" xr:uid="{00000000-0004-0000-0400-000011000000}"/>
    <hyperlink ref="N14" r:id="rId19" xr:uid="{00000000-0004-0000-0400-000012000000}"/>
    <hyperlink ref="O14" r:id="rId20" xr:uid="{00000000-0004-0000-0400-000013000000}"/>
    <hyperlink ref="N15" r:id="rId21" xr:uid="{00000000-0004-0000-0400-000014000000}"/>
    <hyperlink ref="O15" r:id="rId22" xr:uid="{00000000-0004-0000-0400-000015000000}"/>
    <hyperlink ref="N16" r:id="rId23" xr:uid="{00000000-0004-0000-0400-000016000000}"/>
    <hyperlink ref="O16" r:id="rId24" xr:uid="{00000000-0004-0000-0400-000017000000}"/>
    <hyperlink ref="N17" r:id="rId25" xr:uid="{00000000-0004-0000-0400-000018000000}"/>
    <hyperlink ref="O17" r:id="rId26" xr:uid="{00000000-0004-0000-0400-000019000000}"/>
    <hyperlink ref="N18" r:id="rId27" xr:uid="{00000000-0004-0000-0400-00001A000000}"/>
    <hyperlink ref="O18" r:id="rId28" xr:uid="{00000000-0004-0000-0400-00001B000000}"/>
    <hyperlink ref="N19" r:id="rId29" xr:uid="{00000000-0004-0000-0400-00001C000000}"/>
    <hyperlink ref="O19" r:id="rId30" xr:uid="{00000000-0004-0000-0400-00001D000000}"/>
    <hyperlink ref="N20" r:id="rId31" xr:uid="{00000000-0004-0000-0400-00001E000000}"/>
    <hyperlink ref="O20" r:id="rId32" xr:uid="{00000000-0004-0000-0400-00001F000000}"/>
    <hyperlink ref="N21" r:id="rId33" xr:uid="{00000000-0004-0000-0400-000020000000}"/>
    <hyperlink ref="O21" r:id="rId34" xr:uid="{00000000-0004-0000-0400-000021000000}"/>
    <hyperlink ref="N22" r:id="rId35" xr:uid="{00000000-0004-0000-0400-000022000000}"/>
    <hyperlink ref="O22" r:id="rId36" xr:uid="{00000000-0004-0000-0400-000023000000}"/>
    <hyperlink ref="N23" r:id="rId37" xr:uid="{00000000-0004-0000-0400-000024000000}"/>
    <hyperlink ref="O23" r:id="rId38" xr:uid="{00000000-0004-0000-0400-000025000000}"/>
    <hyperlink ref="N24" r:id="rId39" xr:uid="{00000000-0004-0000-0400-000026000000}"/>
    <hyperlink ref="O24" r:id="rId40" xr:uid="{00000000-0004-0000-0400-000027000000}"/>
    <hyperlink ref="N25" r:id="rId41" xr:uid="{00000000-0004-0000-0400-000028000000}"/>
    <hyperlink ref="O25" r:id="rId42" xr:uid="{00000000-0004-0000-0400-000029000000}"/>
    <hyperlink ref="N26" r:id="rId43" xr:uid="{00000000-0004-0000-0400-00002A000000}"/>
    <hyperlink ref="O26" r:id="rId44" xr:uid="{00000000-0004-0000-0400-00002B000000}"/>
    <hyperlink ref="N27" r:id="rId45" xr:uid="{00000000-0004-0000-0400-00002C000000}"/>
    <hyperlink ref="O27" r:id="rId46" xr:uid="{00000000-0004-0000-0400-00002D000000}"/>
    <hyperlink ref="N28" r:id="rId47" xr:uid="{00000000-0004-0000-0400-00002E000000}"/>
    <hyperlink ref="O28" r:id="rId48" xr:uid="{00000000-0004-0000-0400-00002F000000}"/>
    <hyperlink ref="N29" r:id="rId49" xr:uid="{00000000-0004-0000-0400-000030000000}"/>
    <hyperlink ref="O29" r:id="rId50" xr:uid="{00000000-0004-0000-0400-000031000000}"/>
    <hyperlink ref="N30" r:id="rId51" xr:uid="{00000000-0004-0000-0400-000032000000}"/>
    <hyperlink ref="O30" r:id="rId52" xr:uid="{00000000-0004-0000-0400-000033000000}"/>
    <hyperlink ref="N31" r:id="rId53" xr:uid="{00000000-0004-0000-0400-000034000000}"/>
    <hyperlink ref="O31" r:id="rId54" xr:uid="{00000000-0004-0000-0400-000035000000}"/>
    <hyperlink ref="N32" r:id="rId55" xr:uid="{00000000-0004-0000-0400-000036000000}"/>
    <hyperlink ref="O32" r:id="rId56" xr:uid="{00000000-0004-0000-0400-000037000000}"/>
    <hyperlink ref="N33" r:id="rId57" xr:uid="{00000000-0004-0000-0400-000038000000}"/>
    <hyperlink ref="O33" r:id="rId58" xr:uid="{00000000-0004-0000-0400-000039000000}"/>
  </hyperlinks>
  <printOptions horizontalCentered="1"/>
  <pageMargins left="0.4" right="0.4" top="0.5" bottom="0.6" header="0.5" footer="0.5"/>
  <pageSetup paperSize="9" fitToHeight="0" orientation="landscape"/>
  <headerFooter>
    <oddFooter>&amp;C第 &amp;P 頁，共 &amp;N 頁</oddFooter>
  </headerFooter>
  <legacyDrawing r:id="rId59"/>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4B4D6"/>
    <pageSetUpPr fitToPage="1"/>
  </sheetPr>
  <dimension ref="A1:O7"/>
  <sheetViews>
    <sheetView workbookViewId="0">
      <pane xSplit="2" ySplit="4" topLeftCell="C5" activePane="bottomRight" state="frozen"/>
      <selection pane="topRight"/>
      <selection pane="bottomLeft"/>
      <selection pane="bottomRight"/>
    </sheetView>
  </sheetViews>
  <sheetFormatPr defaultRowHeight="13.8"/>
  <cols>
    <col min="1" max="1" width="10" customWidth="1"/>
    <col min="2" max="2" width="24" customWidth="1"/>
    <col min="3" max="3" width="16" customWidth="1"/>
    <col min="4" max="4" width="30" customWidth="1"/>
    <col min="5" max="5" width="10" customWidth="1"/>
    <col min="6" max="6" width="16" customWidth="1"/>
    <col min="7" max="7" width="13" customWidth="1"/>
    <col min="8" max="8" width="24" customWidth="1"/>
    <col min="9" max="9" width="36" customWidth="1"/>
    <col min="10" max="10" width="16" customWidth="1"/>
    <col min="11" max="11" width="15" customWidth="1"/>
    <col min="12" max="12" width="10" customWidth="1"/>
    <col min="13" max="13" width="8" customWidth="1"/>
    <col min="14" max="14" width="36" customWidth="1"/>
    <col min="15" max="15" width="12" customWidth="1"/>
  </cols>
  <sheetData>
    <row r="1" spans="1:15" ht="27.15" customHeight="1">
      <c r="A1" s="73" t="s">
        <v>1766</v>
      </c>
      <c r="B1" s="71"/>
      <c r="C1" s="71"/>
      <c r="D1" s="71"/>
      <c r="E1" s="71"/>
      <c r="F1" s="71"/>
      <c r="G1" s="71"/>
      <c r="H1" s="71"/>
      <c r="I1" s="71"/>
      <c r="J1" s="71"/>
      <c r="K1" s="71"/>
      <c r="L1" s="71"/>
      <c r="M1" s="71"/>
      <c r="N1" s="71"/>
      <c r="O1" s="71"/>
    </row>
    <row r="2" spans="1:15" ht="19.95" customHeight="1">
      <c r="A2" s="78" t="str">
        <f>"主清單 "&amp;COUNTIFS(專案清單!$B$2:$B$80,"昆士蘭州",專案清單!$R$2:$R$80,"主清單")&amp;" 件　｜　已知容量合計 "&amp;FIXED(SUMIFS(專案清單!$M$2:$M$80,專案清單!$B$2:$B$80,"昆士蘭州",專案清單!$R$2:$R$80,"主清單"),1)&amp;" MW　｜　容量未公布 "&amp;COUNTIFS(專案清單!$B$2:$B$80,"昆士蘭州",專案清單!$R$2:$R$80,"主清單",專案清單!$M$2:$M$80,"未公布")&amp;" 件　｜　另有觀察名單 "&amp;COUNTIFS(專案清單!$B$2:$B$80,"昆士蘭州",專案清單!$R$2:$R$80,"觀察名單 (出租性待確認)")&amp;" 件（已知容量 "&amp;FIXED(SUMIFS(專案清單!$M$2:$M$80,專案清單!$B$2:$B$80,"昆士蘭州",專案清單!$R$2:$R$80,"觀察名單 (出租性待確認)"),1)&amp;" MW）"</f>
        <v>主清單 2 件　｜　已知容量合計 1,940.0 MW　｜　容量未公布 0 件　｜　另有觀察名單 1 件（已知容量 0.0 MW）</v>
      </c>
      <c r="B2" s="71"/>
      <c r="C2" s="71"/>
      <c r="D2" s="71"/>
      <c r="E2" s="71"/>
      <c r="F2" s="71"/>
      <c r="G2" s="71"/>
      <c r="H2" s="71"/>
      <c r="I2" s="71"/>
      <c r="J2" s="71"/>
      <c r="K2" s="71"/>
      <c r="L2" s="71"/>
      <c r="M2" s="71"/>
      <c r="N2" s="71"/>
      <c r="O2" s="71"/>
    </row>
    <row r="4" spans="1:15" ht="31.95" customHeight="1">
      <c r="A4" s="20" t="s">
        <v>216</v>
      </c>
      <c r="B4" s="20" t="s">
        <v>217</v>
      </c>
      <c r="C4" s="20" t="s">
        <v>218</v>
      </c>
      <c r="D4" s="20" t="s">
        <v>220</v>
      </c>
      <c r="E4" s="20" t="s">
        <v>226</v>
      </c>
      <c r="F4" s="20" t="s">
        <v>101</v>
      </c>
      <c r="G4" s="20" t="s">
        <v>230</v>
      </c>
      <c r="H4" s="20" t="s">
        <v>231</v>
      </c>
      <c r="I4" s="20" t="s">
        <v>233</v>
      </c>
      <c r="J4" s="20" t="s">
        <v>235</v>
      </c>
      <c r="K4" s="20" t="s">
        <v>18</v>
      </c>
      <c r="L4" s="20" t="s">
        <v>51</v>
      </c>
      <c r="M4" s="20" t="s">
        <v>103</v>
      </c>
      <c r="N4" s="20" t="s">
        <v>1704</v>
      </c>
      <c r="O4" s="20" t="s">
        <v>245</v>
      </c>
    </row>
    <row r="5" spans="1:15" ht="160.05000000000001" customHeight="1">
      <c r="A5" s="22" t="s">
        <v>941</v>
      </c>
      <c r="B5" s="2" t="s">
        <v>942</v>
      </c>
      <c r="C5" s="2" t="s">
        <v>943</v>
      </c>
      <c r="D5" s="2" t="s">
        <v>945</v>
      </c>
      <c r="E5" s="43">
        <v>500</v>
      </c>
      <c r="F5" s="5" t="s">
        <v>31</v>
      </c>
      <c r="G5" s="2" t="s">
        <v>59</v>
      </c>
      <c r="H5" s="2"/>
      <c r="I5" s="2" t="s">
        <v>951</v>
      </c>
      <c r="J5" s="2" t="s">
        <v>953</v>
      </c>
      <c r="K5" s="2" t="s">
        <v>47</v>
      </c>
      <c r="L5" s="22" t="s">
        <v>52</v>
      </c>
      <c r="M5" s="46" t="s">
        <v>66</v>
      </c>
      <c r="N5" s="16" t="s">
        <v>1767</v>
      </c>
      <c r="O5" s="3" t="s">
        <v>270</v>
      </c>
    </row>
    <row r="6" spans="1:15" ht="160.05000000000001" customHeight="1">
      <c r="A6" s="22" t="s">
        <v>1246</v>
      </c>
      <c r="B6" s="2" t="s">
        <v>1247</v>
      </c>
      <c r="C6" s="2" t="s">
        <v>1248</v>
      </c>
      <c r="D6" s="2" t="s">
        <v>1250</v>
      </c>
      <c r="E6" s="43">
        <v>1440</v>
      </c>
      <c r="F6" s="8" t="s">
        <v>37</v>
      </c>
      <c r="G6" s="2" t="s">
        <v>59</v>
      </c>
      <c r="H6" s="2"/>
      <c r="I6" s="2" t="s">
        <v>1255</v>
      </c>
      <c r="J6" s="2" t="s">
        <v>1257</v>
      </c>
      <c r="K6" s="2" t="s">
        <v>47</v>
      </c>
      <c r="L6" s="22" t="s">
        <v>54</v>
      </c>
      <c r="M6" s="44" t="s">
        <v>64</v>
      </c>
      <c r="N6" s="16" t="s">
        <v>1768</v>
      </c>
      <c r="O6" s="3" t="s">
        <v>270</v>
      </c>
    </row>
    <row r="7" spans="1:15" ht="160.05000000000001" customHeight="1">
      <c r="A7" s="32" t="s">
        <v>1644</v>
      </c>
      <c r="B7" s="33" t="s">
        <v>1645</v>
      </c>
      <c r="C7" s="33" t="s">
        <v>1646</v>
      </c>
      <c r="D7" s="33" t="s">
        <v>1648</v>
      </c>
      <c r="E7" s="54" t="s">
        <v>307</v>
      </c>
      <c r="F7" s="51" t="s">
        <v>37</v>
      </c>
      <c r="G7" s="9" t="s">
        <v>61</v>
      </c>
      <c r="H7" s="33" t="s">
        <v>1653</v>
      </c>
      <c r="I7" s="33" t="s">
        <v>1654</v>
      </c>
      <c r="J7" s="33" t="s">
        <v>307</v>
      </c>
      <c r="K7" s="33" t="s">
        <v>47</v>
      </c>
      <c r="L7" s="32" t="s">
        <v>56</v>
      </c>
      <c r="M7" s="38" t="s">
        <v>66</v>
      </c>
      <c r="N7" s="39" t="s">
        <v>1769</v>
      </c>
      <c r="O7" s="40" t="s">
        <v>270</v>
      </c>
    </row>
  </sheetData>
  <autoFilter ref="A4:O7" xr:uid="{00000000-0009-0000-0000-000005000000}"/>
  <mergeCells count="2">
    <mergeCell ref="A1:O1"/>
    <mergeCell ref="A2:O2"/>
  </mergeCells>
  <phoneticPr fontId="25" type="noConversion"/>
  <hyperlinks>
    <hyperlink ref="N5" r:id="rId1" xr:uid="{00000000-0004-0000-0500-000000000000}"/>
    <hyperlink ref="O5" r:id="rId2" xr:uid="{00000000-0004-0000-0500-000001000000}"/>
    <hyperlink ref="N6" r:id="rId3" xr:uid="{00000000-0004-0000-0500-000002000000}"/>
    <hyperlink ref="O6" r:id="rId4" xr:uid="{00000000-0004-0000-0500-000003000000}"/>
    <hyperlink ref="N7" r:id="rId5" xr:uid="{00000000-0004-0000-0500-000004000000}"/>
    <hyperlink ref="O7" r:id="rId6" xr:uid="{00000000-0004-0000-0500-000005000000}"/>
  </hyperlinks>
  <printOptions horizontalCentered="1"/>
  <pageMargins left="0.4" right="0.4" top="0.5" bottom="0.6" header="0.5" footer="0.5"/>
  <pageSetup paperSize="9" fitToHeight="0" orientation="landscape"/>
  <headerFooter>
    <oddFooter>&amp;C第 &amp;P 頁，共 &amp;N 頁</oddFooter>
  </headerFooter>
  <legacyDrawing r:id="rId7"/>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4B4D6"/>
    <pageSetUpPr fitToPage="1"/>
  </sheetPr>
  <dimension ref="A1:O6"/>
  <sheetViews>
    <sheetView workbookViewId="0">
      <pane xSplit="2" ySplit="4" topLeftCell="C5" activePane="bottomRight" state="frozen"/>
      <selection pane="topRight"/>
      <selection pane="bottomLeft"/>
      <selection pane="bottomRight"/>
    </sheetView>
  </sheetViews>
  <sheetFormatPr defaultRowHeight="13.8"/>
  <cols>
    <col min="1" max="1" width="10" customWidth="1"/>
    <col min="2" max="2" width="24" customWidth="1"/>
    <col min="3" max="3" width="16" customWidth="1"/>
    <col min="4" max="4" width="30" customWidth="1"/>
    <col min="5" max="5" width="10" customWidth="1"/>
    <col min="6" max="6" width="16" customWidth="1"/>
    <col min="7" max="7" width="13" customWidth="1"/>
    <col min="8" max="8" width="24" customWidth="1"/>
    <col min="9" max="9" width="36" customWidth="1"/>
    <col min="10" max="10" width="16" customWidth="1"/>
    <col min="11" max="11" width="15" customWidth="1"/>
    <col min="12" max="12" width="10" customWidth="1"/>
    <col min="13" max="13" width="8" customWidth="1"/>
    <col min="14" max="14" width="36" customWidth="1"/>
    <col min="15" max="15" width="12" customWidth="1"/>
  </cols>
  <sheetData>
    <row r="1" spans="1:15" ht="27.15" customHeight="1">
      <c r="A1" s="73" t="s">
        <v>1770</v>
      </c>
      <c r="B1" s="71"/>
      <c r="C1" s="71"/>
      <c r="D1" s="71"/>
      <c r="E1" s="71"/>
      <c r="F1" s="71"/>
      <c r="G1" s="71"/>
      <c r="H1" s="71"/>
      <c r="I1" s="71"/>
      <c r="J1" s="71"/>
      <c r="K1" s="71"/>
      <c r="L1" s="71"/>
      <c r="M1" s="71"/>
      <c r="N1" s="71"/>
      <c r="O1" s="71"/>
    </row>
    <row r="2" spans="1:15" ht="19.95" customHeight="1">
      <c r="A2" s="78" t="str">
        <f>"主清單 "&amp;COUNTIFS(專案清單!$B$2:$B$80,"西澳州",專案清單!$R$2:$R$80,"主清單")&amp;" 件　｜　已知容量合計 "&amp;FIXED(SUMIFS(專案清單!$M$2:$M$80,專案清單!$B$2:$B$80,"西澳州",專案清單!$R$2:$R$80,"主清單"),1)&amp;" MW　｜　容量未公布 "&amp;COUNTIFS(專案清單!$B$2:$B$80,"西澳州",專案清單!$R$2:$R$80,"主清單",專案清單!$M$2:$M$80,"未公布")&amp;" 件　｜　另有觀察名單 "&amp;COUNTIFS(專案清單!$B$2:$B$80,"西澳州",專案清單!$R$2:$R$80,"觀察名單 (出租性待確認)")&amp;" 件（已知容量 "&amp;FIXED(SUMIFS(專案清單!$M$2:$M$80,專案清單!$B$2:$B$80,"西澳州",專案清單!$R$2:$R$80,"觀察名單 (出租性待確認)"),1)&amp;" MW）"</f>
        <v>主清單 2 件　｜　已知容量合計 392.0 MW　｜　容量未公布 0 件　｜　另有觀察名單 0 件（已知容量 0.0 MW）</v>
      </c>
      <c r="B2" s="71"/>
      <c r="C2" s="71"/>
      <c r="D2" s="71"/>
      <c r="E2" s="71"/>
      <c r="F2" s="71"/>
      <c r="G2" s="71"/>
      <c r="H2" s="71"/>
      <c r="I2" s="71"/>
      <c r="J2" s="71"/>
      <c r="K2" s="71"/>
      <c r="L2" s="71"/>
      <c r="M2" s="71"/>
      <c r="N2" s="71"/>
      <c r="O2" s="71"/>
    </row>
    <row r="4" spans="1:15" ht="31.95" customHeight="1">
      <c r="A4" s="20" t="s">
        <v>216</v>
      </c>
      <c r="B4" s="20" t="s">
        <v>217</v>
      </c>
      <c r="C4" s="20" t="s">
        <v>218</v>
      </c>
      <c r="D4" s="20" t="s">
        <v>220</v>
      </c>
      <c r="E4" s="20" t="s">
        <v>226</v>
      </c>
      <c r="F4" s="20" t="s">
        <v>101</v>
      </c>
      <c r="G4" s="20" t="s">
        <v>230</v>
      </c>
      <c r="H4" s="20" t="s">
        <v>231</v>
      </c>
      <c r="I4" s="20" t="s">
        <v>233</v>
      </c>
      <c r="J4" s="20" t="s">
        <v>235</v>
      </c>
      <c r="K4" s="20" t="s">
        <v>18</v>
      </c>
      <c r="L4" s="20" t="s">
        <v>51</v>
      </c>
      <c r="M4" s="20" t="s">
        <v>103</v>
      </c>
      <c r="N4" s="20" t="s">
        <v>1704</v>
      </c>
      <c r="O4" s="20" t="s">
        <v>245</v>
      </c>
    </row>
    <row r="5" spans="1:15" ht="160.05000000000001" customHeight="1">
      <c r="A5" s="22" t="s">
        <v>400</v>
      </c>
      <c r="B5" s="2" t="s">
        <v>401</v>
      </c>
      <c r="C5" s="2" t="s">
        <v>402</v>
      </c>
      <c r="D5" s="2" t="s">
        <v>404</v>
      </c>
      <c r="E5" s="43">
        <v>200</v>
      </c>
      <c r="F5" s="4" t="s">
        <v>29</v>
      </c>
      <c r="G5" s="2" t="s">
        <v>59</v>
      </c>
      <c r="H5" s="2"/>
      <c r="I5" s="2" t="s">
        <v>410</v>
      </c>
      <c r="J5" s="2" t="s">
        <v>412</v>
      </c>
      <c r="K5" s="2" t="s">
        <v>41</v>
      </c>
      <c r="L5" s="22" t="s">
        <v>54</v>
      </c>
      <c r="M5" s="44" t="s">
        <v>64</v>
      </c>
      <c r="N5" s="16" t="s">
        <v>1771</v>
      </c>
      <c r="O5" s="3" t="s">
        <v>270</v>
      </c>
    </row>
    <row r="6" spans="1:15" ht="160.05000000000001" customHeight="1">
      <c r="A6" s="22" t="s">
        <v>775</v>
      </c>
      <c r="B6" s="2" t="s">
        <v>776</v>
      </c>
      <c r="C6" s="2" t="s">
        <v>402</v>
      </c>
      <c r="D6" s="2" t="s">
        <v>778</v>
      </c>
      <c r="E6" s="43">
        <v>192</v>
      </c>
      <c r="F6" s="8" t="s">
        <v>37</v>
      </c>
      <c r="G6" s="2" t="s">
        <v>59</v>
      </c>
      <c r="H6" s="2"/>
      <c r="I6" s="2" t="s">
        <v>784</v>
      </c>
      <c r="J6" s="2" t="s">
        <v>786</v>
      </c>
      <c r="K6" s="2" t="s">
        <v>45</v>
      </c>
      <c r="L6" s="22" t="s">
        <v>54</v>
      </c>
      <c r="M6" s="46" t="s">
        <v>66</v>
      </c>
      <c r="N6" s="16" t="s">
        <v>1772</v>
      </c>
      <c r="O6" s="3" t="s">
        <v>270</v>
      </c>
    </row>
  </sheetData>
  <autoFilter ref="A4:O6" xr:uid="{00000000-0009-0000-0000-000006000000}"/>
  <mergeCells count="2">
    <mergeCell ref="A1:O1"/>
    <mergeCell ref="A2:O2"/>
  </mergeCells>
  <phoneticPr fontId="25" type="noConversion"/>
  <hyperlinks>
    <hyperlink ref="N5" r:id="rId1" xr:uid="{00000000-0004-0000-0600-000000000000}"/>
    <hyperlink ref="O5" r:id="rId2" xr:uid="{00000000-0004-0000-0600-000001000000}"/>
    <hyperlink ref="N6" r:id="rId3" xr:uid="{00000000-0004-0000-0600-000002000000}"/>
    <hyperlink ref="O6" r:id="rId4" xr:uid="{00000000-0004-0000-0600-000003000000}"/>
  </hyperlinks>
  <printOptions horizontalCentered="1"/>
  <pageMargins left="0.4" right="0.4" top="0.5" bottom="0.6" header="0.5" footer="0.5"/>
  <pageSetup paperSize="9" fitToHeight="0" orientation="landscape"/>
  <headerFooter>
    <oddFooter>&amp;C第 &amp;P 頁，共 &amp;N 頁</oddFooter>
  </headerFooter>
  <legacy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4B4D6"/>
    <pageSetUpPr fitToPage="1"/>
  </sheetPr>
  <dimension ref="A1:O7"/>
  <sheetViews>
    <sheetView workbookViewId="0">
      <pane xSplit="2" ySplit="4" topLeftCell="C5" activePane="bottomRight" state="frozen"/>
      <selection pane="topRight"/>
      <selection pane="bottomLeft"/>
      <selection pane="bottomRight"/>
    </sheetView>
  </sheetViews>
  <sheetFormatPr defaultRowHeight="13.8"/>
  <cols>
    <col min="1" max="1" width="10" customWidth="1"/>
    <col min="2" max="2" width="24" customWidth="1"/>
    <col min="3" max="3" width="16" customWidth="1"/>
    <col min="4" max="4" width="30" customWidth="1"/>
    <col min="5" max="5" width="10" customWidth="1"/>
    <col min="6" max="6" width="16" customWidth="1"/>
    <col min="7" max="7" width="13" customWidth="1"/>
    <col min="8" max="8" width="24" customWidth="1"/>
    <col min="9" max="9" width="36" customWidth="1"/>
    <col min="10" max="10" width="16" customWidth="1"/>
    <col min="11" max="11" width="15" customWidth="1"/>
    <col min="12" max="12" width="10" customWidth="1"/>
    <col min="13" max="13" width="8" customWidth="1"/>
    <col min="14" max="14" width="36" customWidth="1"/>
    <col min="15" max="15" width="12" customWidth="1"/>
  </cols>
  <sheetData>
    <row r="1" spans="1:15" ht="27.15" customHeight="1">
      <c r="A1" s="73" t="s">
        <v>1773</v>
      </c>
      <c r="B1" s="71"/>
      <c r="C1" s="71"/>
      <c r="D1" s="71"/>
      <c r="E1" s="71"/>
      <c r="F1" s="71"/>
      <c r="G1" s="71"/>
      <c r="H1" s="71"/>
      <c r="I1" s="71"/>
      <c r="J1" s="71"/>
      <c r="K1" s="71"/>
      <c r="L1" s="71"/>
      <c r="M1" s="71"/>
      <c r="N1" s="71"/>
      <c r="O1" s="71"/>
    </row>
    <row r="2" spans="1:15" ht="19.95" customHeight="1">
      <c r="A2" s="78" t="str">
        <f>"主清單 "&amp;COUNTIFS(專案清單!$B$2:$B$80,"南澳州",專案清單!$R$2:$R$80,"主清單")&amp;" 件　｜　已知容量合計 "&amp;FIXED(SUMIFS(專案清單!$M$2:$M$80,專案清單!$B$2:$B$80,"南澳州",專案清單!$R$2:$R$80,"主清單"),1)&amp;" MW　｜　容量未公布 "&amp;COUNTIFS(專案清單!$B$2:$B$80,"南澳州",專案清單!$R$2:$R$80,"主清單",專案清單!$M$2:$M$80,"未公布")&amp;" 件　｜　另有觀察名單 "&amp;COUNTIFS(專案清單!$B$2:$B$80,"南澳州",專案清單!$R$2:$R$80,"觀察名單 (出租性待確認)")&amp;" 件（已知容量 "&amp;FIXED(SUMIFS(專案清單!$M$2:$M$80,專案清單!$B$2:$B$80,"南澳州",專案清單!$R$2:$R$80,"觀察名單 (出租性待確認)"),1)&amp;" MW）"</f>
        <v>主清單 0 件　｜　已知容量合計 0.0 MW　｜　容量未公布 0 件　｜　另有觀察名單 3 件（已知容量 823.0 MW）</v>
      </c>
      <c r="B2" s="71"/>
      <c r="C2" s="71"/>
      <c r="D2" s="71"/>
      <c r="E2" s="71"/>
      <c r="F2" s="71"/>
      <c r="G2" s="71"/>
      <c r="H2" s="71"/>
      <c r="I2" s="71"/>
      <c r="J2" s="71"/>
      <c r="K2" s="71"/>
      <c r="L2" s="71"/>
      <c r="M2" s="71"/>
      <c r="N2" s="71"/>
      <c r="O2" s="71"/>
    </row>
    <row r="3" spans="1:15" ht="19.95" customHeight="1">
      <c r="A3" s="79" t="s">
        <v>1774</v>
      </c>
      <c r="B3" s="71"/>
      <c r="C3" s="71"/>
      <c r="D3" s="71"/>
      <c r="E3" s="71"/>
      <c r="F3" s="71"/>
      <c r="G3" s="71"/>
      <c r="H3" s="71"/>
      <c r="I3" s="71"/>
      <c r="J3" s="71"/>
      <c r="K3" s="71"/>
      <c r="L3" s="71"/>
      <c r="M3" s="71"/>
      <c r="N3" s="71"/>
      <c r="O3" s="71"/>
    </row>
    <row r="4" spans="1:15" ht="31.95" customHeight="1">
      <c r="A4" s="20" t="s">
        <v>216</v>
      </c>
      <c r="B4" s="20" t="s">
        <v>217</v>
      </c>
      <c r="C4" s="20" t="s">
        <v>218</v>
      </c>
      <c r="D4" s="20" t="s">
        <v>220</v>
      </c>
      <c r="E4" s="20" t="s">
        <v>226</v>
      </c>
      <c r="F4" s="20" t="s">
        <v>101</v>
      </c>
      <c r="G4" s="20" t="s">
        <v>230</v>
      </c>
      <c r="H4" s="20" t="s">
        <v>231</v>
      </c>
      <c r="I4" s="20" t="s">
        <v>233</v>
      </c>
      <c r="J4" s="20" t="s">
        <v>235</v>
      </c>
      <c r="K4" s="20" t="s">
        <v>18</v>
      </c>
      <c r="L4" s="20" t="s">
        <v>51</v>
      </c>
      <c r="M4" s="20" t="s">
        <v>103</v>
      </c>
      <c r="N4" s="20" t="s">
        <v>1704</v>
      </c>
      <c r="O4" s="20" t="s">
        <v>245</v>
      </c>
    </row>
    <row r="5" spans="1:15" ht="160.05000000000001" customHeight="1">
      <c r="A5" s="32" t="s">
        <v>686</v>
      </c>
      <c r="B5" s="33" t="s">
        <v>687</v>
      </c>
      <c r="C5" s="33" t="s">
        <v>688</v>
      </c>
      <c r="D5" s="33" t="s">
        <v>690</v>
      </c>
      <c r="E5" s="36">
        <v>15</v>
      </c>
      <c r="F5" s="45" t="s">
        <v>35</v>
      </c>
      <c r="G5" s="9" t="s">
        <v>61</v>
      </c>
      <c r="H5" s="33" t="s">
        <v>695</v>
      </c>
      <c r="I5" s="33" t="s">
        <v>697</v>
      </c>
      <c r="J5" s="33" t="s">
        <v>699</v>
      </c>
      <c r="K5" s="33" t="s">
        <v>45</v>
      </c>
      <c r="L5" s="32" t="s">
        <v>52</v>
      </c>
      <c r="M5" s="38" t="s">
        <v>66</v>
      </c>
      <c r="N5" s="39" t="s">
        <v>1775</v>
      </c>
      <c r="O5" s="40" t="s">
        <v>270</v>
      </c>
    </row>
    <row r="6" spans="1:15" ht="160.05000000000001" customHeight="1">
      <c r="A6" s="32" t="s">
        <v>733</v>
      </c>
      <c r="B6" s="33" t="s">
        <v>734</v>
      </c>
      <c r="C6" s="33" t="s">
        <v>735</v>
      </c>
      <c r="D6" s="33" t="s">
        <v>737</v>
      </c>
      <c r="E6" s="36">
        <v>800</v>
      </c>
      <c r="F6" s="51" t="s">
        <v>37</v>
      </c>
      <c r="G6" s="9" t="s">
        <v>61</v>
      </c>
      <c r="H6" s="33" t="s">
        <v>742</v>
      </c>
      <c r="I6" s="33" t="s">
        <v>744</v>
      </c>
      <c r="J6" s="33" t="s">
        <v>746</v>
      </c>
      <c r="K6" s="33" t="s">
        <v>45</v>
      </c>
      <c r="L6" s="32" t="s">
        <v>56</v>
      </c>
      <c r="M6" s="52" t="s">
        <v>64</v>
      </c>
      <c r="N6" s="39" t="s">
        <v>1776</v>
      </c>
      <c r="O6" s="40" t="s">
        <v>270</v>
      </c>
    </row>
    <row r="7" spans="1:15" ht="160.05000000000001" customHeight="1">
      <c r="A7" s="32" t="s">
        <v>1164</v>
      </c>
      <c r="B7" s="33" t="s">
        <v>1165</v>
      </c>
      <c r="C7" s="33" t="s">
        <v>1166</v>
      </c>
      <c r="D7" s="33" t="s">
        <v>1168</v>
      </c>
      <c r="E7" s="36">
        <v>8</v>
      </c>
      <c r="F7" s="53" t="s">
        <v>31</v>
      </c>
      <c r="G7" s="9" t="s">
        <v>61</v>
      </c>
      <c r="H7" s="33" t="s">
        <v>1172</v>
      </c>
      <c r="I7" s="33" t="s">
        <v>1174</v>
      </c>
      <c r="J7" s="33" t="s">
        <v>307</v>
      </c>
      <c r="K7" s="33" t="s">
        <v>47</v>
      </c>
      <c r="L7" s="32" t="s">
        <v>54</v>
      </c>
      <c r="M7" s="47" t="s">
        <v>68</v>
      </c>
      <c r="N7" s="39" t="s">
        <v>1777</v>
      </c>
      <c r="O7" s="40" t="s">
        <v>270</v>
      </c>
    </row>
  </sheetData>
  <autoFilter ref="A4:O7" xr:uid="{00000000-0009-0000-0000-000007000000}"/>
  <mergeCells count="3">
    <mergeCell ref="A1:O1"/>
    <mergeCell ref="A3:O3"/>
    <mergeCell ref="A2:O2"/>
  </mergeCells>
  <phoneticPr fontId="25" type="noConversion"/>
  <hyperlinks>
    <hyperlink ref="N5" r:id="rId1" xr:uid="{00000000-0004-0000-0700-000000000000}"/>
    <hyperlink ref="O5" r:id="rId2" xr:uid="{00000000-0004-0000-0700-000001000000}"/>
    <hyperlink ref="N6" r:id="rId3" xr:uid="{00000000-0004-0000-0700-000002000000}"/>
    <hyperlink ref="O6" r:id="rId4" xr:uid="{00000000-0004-0000-0700-000003000000}"/>
    <hyperlink ref="N7" r:id="rId5" xr:uid="{00000000-0004-0000-0700-000004000000}"/>
    <hyperlink ref="O7" r:id="rId6" xr:uid="{00000000-0004-0000-0700-000005000000}"/>
  </hyperlinks>
  <printOptions horizontalCentered="1"/>
  <pageMargins left="0.4" right="0.4" top="0.5" bottom="0.6" header="0.5" footer="0.5"/>
  <pageSetup paperSize="9" fitToHeight="0" orientation="landscape"/>
  <headerFooter>
    <oddFooter>&amp;C第 &amp;P 頁，共 &amp;N 頁</oddFooter>
  </headerFooter>
  <legacyDrawing r:id="rId7"/>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4B4D6"/>
    <pageSetUpPr fitToPage="1"/>
  </sheetPr>
  <dimension ref="A1:O6"/>
  <sheetViews>
    <sheetView workbookViewId="0">
      <pane xSplit="2" ySplit="4" topLeftCell="C5" activePane="bottomRight" state="frozen"/>
      <selection pane="topRight"/>
      <selection pane="bottomLeft"/>
      <selection pane="bottomRight"/>
    </sheetView>
  </sheetViews>
  <sheetFormatPr defaultRowHeight="13.8"/>
  <cols>
    <col min="1" max="1" width="10" customWidth="1"/>
    <col min="2" max="2" width="24" customWidth="1"/>
    <col min="3" max="3" width="16" customWidth="1"/>
    <col min="4" max="4" width="30" customWidth="1"/>
    <col min="5" max="5" width="10" customWidth="1"/>
    <col min="6" max="6" width="16" customWidth="1"/>
    <col min="7" max="7" width="13" customWidth="1"/>
    <col min="8" max="8" width="24" customWidth="1"/>
    <col min="9" max="9" width="36" customWidth="1"/>
    <col min="10" max="10" width="16" customWidth="1"/>
    <col min="11" max="11" width="15" customWidth="1"/>
    <col min="12" max="12" width="10" customWidth="1"/>
    <col min="13" max="13" width="8" customWidth="1"/>
    <col min="14" max="14" width="36" customWidth="1"/>
    <col min="15" max="15" width="12" customWidth="1"/>
  </cols>
  <sheetData>
    <row r="1" spans="1:15" ht="27.15" customHeight="1">
      <c r="A1" s="73" t="s">
        <v>1778</v>
      </c>
      <c r="B1" s="71"/>
      <c r="C1" s="71"/>
      <c r="D1" s="71"/>
      <c r="E1" s="71"/>
      <c r="F1" s="71"/>
      <c r="G1" s="71"/>
      <c r="H1" s="71"/>
      <c r="I1" s="71"/>
      <c r="J1" s="71"/>
      <c r="K1" s="71"/>
      <c r="L1" s="71"/>
      <c r="M1" s="71"/>
      <c r="N1" s="71"/>
      <c r="O1" s="71"/>
    </row>
    <row r="2" spans="1:15" ht="19.95" customHeight="1">
      <c r="A2" s="78" t="str">
        <f>"主清單 "&amp;COUNTIFS(專案清單!$B$2:$B$80,"首都領地",專案清單!$R$2:$R$80,"主清單")&amp;" 件　｜　已知容量合計 "&amp;FIXED(SUMIFS(專案清單!$M$2:$M$80,專案清單!$B$2:$B$80,"首都領地",專案清單!$R$2:$R$80,"主清單"),1)&amp;" MW　｜　容量未公布 "&amp;COUNTIFS(專案清單!$B$2:$B$80,"首都領地",專案清單!$R$2:$R$80,"主清單",專案清單!$M$2:$M$80,"未公布")&amp;" 件　｜　另有觀察名單 "&amp;COUNTIFS(專案清單!$B$2:$B$80,"首都領地",專案清單!$R$2:$R$80,"觀察名單 (出租性待確認)")&amp;" 件（已知容量 "&amp;FIXED(SUMIFS(專案清單!$M$2:$M$80,專案清單!$B$2:$B$80,"首都領地",專案清單!$R$2:$R$80,"觀察名單 (出租性待確認)"),1)&amp;" MW）"</f>
        <v>主清單 2 件　｜　已知容量合計 104.0 MW　｜　容量未公布 0 件　｜　另有觀察名單 0 件（已知容量 0.0 MW）</v>
      </c>
      <c r="B2" s="71"/>
      <c r="C2" s="71"/>
      <c r="D2" s="71"/>
      <c r="E2" s="71"/>
      <c r="F2" s="71"/>
      <c r="G2" s="71"/>
      <c r="H2" s="71"/>
      <c r="I2" s="71"/>
      <c r="J2" s="71"/>
      <c r="K2" s="71"/>
      <c r="L2" s="71"/>
      <c r="M2" s="71"/>
      <c r="N2" s="71"/>
      <c r="O2" s="71"/>
    </row>
    <row r="4" spans="1:15" ht="31.95" customHeight="1">
      <c r="A4" s="20" t="s">
        <v>216</v>
      </c>
      <c r="B4" s="20" t="s">
        <v>217</v>
      </c>
      <c r="C4" s="20" t="s">
        <v>218</v>
      </c>
      <c r="D4" s="20" t="s">
        <v>220</v>
      </c>
      <c r="E4" s="20" t="s">
        <v>226</v>
      </c>
      <c r="F4" s="20" t="s">
        <v>101</v>
      </c>
      <c r="G4" s="20" t="s">
        <v>230</v>
      </c>
      <c r="H4" s="20" t="s">
        <v>231</v>
      </c>
      <c r="I4" s="20" t="s">
        <v>233</v>
      </c>
      <c r="J4" s="20" t="s">
        <v>235</v>
      </c>
      <c r="K4" s="20" t="s">
        <v>18</v>
      </c>
      <c r="L4" s="20" t="s">
        <v>51</v>
      </c>
      <c r="M4" s="20" t="s">
        <v>103</v>
      </c>
      <c r="N4" s="20" t="s">
        <v>1704</v>
      </c>
      <c r="O4" s="20" t="s">
        <v>245</v>
      </c>
    </row>
    <row r="5" spans="1:15" ht="160.05000000000001" customHeight="1">
      <c r="A5" s="22" t="s">
        <v>919</v>
      </c>
      <c r="B5" s="2" t="s">
        <v>920</v>
      </c>
      <c r="C5" s="2" t="s">
        <v>921</v>
      </c>
      <c r="D5" s="2" t="s">
        <v>923</v>
      </c>
      <c r="E5" s="43">
        <v>20</v>
      </c>
      <c r="F5" s="4" t="s">
        <v>29</v>
      </c>
      <c r="G5" s="2" t="s">
        <v>59</v>
      </c>
      <c r="H5" s="2"/>
      <c r="I5" s="2" t="s">
        <v>929</v>
      </c>
      <c r="J5" s="2" t="s">
        <v>307</v>
      </c>
      <c r="K5" s="2" t="s">
        <v>47</v>
      </c>
      <c r="L5" s="22" t="s">
        <v>54</v>
      </c>
      <c r="M5" s="44" t="s">
        <v>64</v>
      </c>
      <c r="N5" s="16" t="s">
        <v>1779</v>
      </c>
      <c r="O5" s="3" t="s">
        <v>270</v>
      </c>
    </row>
    <row r="6" spans="1:15" ht="160.05000000000001" customHeight="1">
      <c r="A6" s="22" t="s">
        <v>1038</v>
      </c>
      <c r="B6" s="2" t="s">
        <v>1039</v>
      </c>
      <c r="C6" s="2" t="s">
        <v>1040</v>
      </c>
      <c r="D6" s="2" t="s">
        <v>1042</v>
      </c>
      <c r="E6" s="43">
        <v>84</v>
      </c>
      <c r="F6" s="5" t="s">
        <v>31</v>
      </c>
      <c r="G6" s="2" t="s">
        <v>59</v>
      </c>
      <c r="H6" s="2"/>
      <c r="I6" s="2" t="s">
        <v>1047</v>
      </c>
      <c r="J6" s="2" t="s">
        <v>307</v>
      </c>
      <c r="K6" s="2" t="s">
        <v>47</v>
      </c>
      <c r="L6" s="22" t="s">
        <v>54</v>
      </c>
      <c r="M6" s="44" t="s">
        <v>64</v>
      </c>
      <c r="N6" s="16" t="s">
        <v>1780</v>
      </c>
      <c r="O6" s="3" t="s">
        <v>270</v>
      </c>
    </row>
  </sheetData>
  <autoFilter ref="A4:O6" xr:uid="{00000000-0009-0000-0000-000008000000}"/>
  <mergeCells count="2">
    <mergeCell ref="A1:O1"/>
    <mergeCell ref="A2:O2"/>
  </mergeCells>
  <phoneticPr fontId="25" type="noConversion"/>
  <hyperlinks>
    <hyperlink ref="N5" r:id="rId1" xr:uid="{00000000-0004-0000-0800-000000000000}"/>
    <hyperlink ref="O5" r:id="rId2" xr:uid="{00000000-0004-0000-0800-000001000000}"/>
    <hyperlink ref="N6" r:id="rId3" xr:uid="{00000000-0004-0000-0800-000002000000}"/>
    <hyperlink ref="O6" r:id="rId4" xr:uid="{00000000-0004-0000-0800-000003000000}"/>
  </hyperlinks>
  <printOptions horizontalCentered="1"/>
  <pageMargins left="0.4" right="0.4" top="0.5" bottom="0.6" header="0.5" footer="0.5"/>
  <pageSetup paperSize="9" fitToHeight="0" orientation="landscape"/>
  <headerFooter>
    <oddFooter>&amp;C第 &amp;P 頁，共 &amp;N 頁</oddFooter>
  </headerFooter>
  <legacyDrawing r:id="rId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4B4D6"/>
    <pageSetUpPr fitToPage="1"/>
  </sheetPr>
  <dimension ref="A1:O7"/>
  <sheetViews>
    <sheetView workbookViewId="0">
      <pane xSplit="2" ySplit="4" topLeftCell="C5" activePane="bottomRight" state="frozen"/>
      <selection pane="topRight"/>
      <selection pane="bottomLeft"/>
      <selection pane="bottomRight"/>
    </sheetView>
  </sheetViews>
  <sheetFormatPr defaultRowHeight="13.8"/>
  <cols>
    <col min="1" max="1" width="10" customWidth="1"/>
    <col min="2" max="2" width="24" customWidth="1"/>
    <col min="3" max="3" width="16" customWidth="1"/>
    <col min="4" max="4" width="30" customWidth="1"/>
    <col min="5" max="5" width="10" customWidth="1"/>
    <col min="6" max="6" width="16" customWidth="1"/>
    <col min="7" max="7" width="13" customWidth="1"/>
    <col min="8" max="8" width="24" customWidth="1"/>
    <col min="9" max="9" width="36" customWidth="1"/>
    <col min="10" max="10" width="16" customWidth="1"/>
    <col min="11" max="11" width="15" customWidth="1"/>
    <col min="12" max="12" width="10" customWidth="1"/>
    <col min="13" max="13" width="8" customWidth="1"/>
    <col min="14" max="14" width="36" customWidth="1"/>
    <col min="15" max="15" width="12" customWidth="1"/>
  </cols>
  <sheetData>
    <row r="1" spans="1:15" ht="27.15" customHeight="1">
      <c r="A1" s="73" t="s">
        <v>1781</v>
      </c>
      <c r="B1" s="71"/>
      <c r="C1" s="71"/>
      <c r="D1" s="71"/>
      <c r="E1" s="71"/>
      <c r="F1" s="71"/>
      <c r="G1" s="71"/>
      <c r="H1" s="71"/>
      <c r="I1" s="71"/>
      <c r="J1" s="71"/>
      <c r="K1" s="71"/>
      <c r="L1" s="71"/>
      <c r="M1" s="71"/>
      <c r="N1" s="71"/>
      <c r="O1" s="71"/>
    </row>
    <row r="2" spans="1:15" ht="19.95" customHeight="1">
      <c r="A2" s="78" t="str">
        <f>"主清單 "&amp;COUNTIFS(專案清單!$B$2:$B$80,"塔斯馬尼亞州",專案清單!$R$2:$R$80,"主清單")&amp;" 件　｜　已知容量合計 "&amp;FIXED(SUMIFS(專案清單!$M$2:$M$80,專案清單!$B$2:$B$80,"塔斯馬尼亞州",專案清單!$R$2:$R$80,"主清單"),1)&amp;" MW　｜　容量未公布 "&amp;COUNTIFS(專案清單!$B$2:$B$80,"塔斯馬尼亞州",專案清單!$R$2:$R$80,"主清單",專案清單!$M$2:$M$80,"未公布")&amp;" 件　｜　另有觀察名單 "&amp;COUNTIFS(專案清單!$B$2:$B$80,"塔斯馬尼亞州",專案清單!$R$2:$R$80,"觀察名單 (出租性待確認)")&amp;" 件（已知容量 "&amp;FIXED(SUMIFS(專案清單!$M$2:$M$80,專案清單!$B$2:$B$80,"塔斯馬尼亞州",專案清單!$R$2:$R$80,"觀察名單 (出租性待確認)"),1)&amp;" MW）"</f>
        <v>主清單 0 件　｜　已知容量合計 0.0 MW　｜　容量未公布 0 件　｜　另有觀察名單 3 件（已知容量 424.0 MW）</v>
      </c>
      <c r="B2" s="71"/>
      <c r="C2" s="71"/>
      <c r="D2" s="71"/>
      <c r="E2" s="71"/>
      <c r="F2" s="71"/>
      <c r="G2" s="71"/>
      <c r="H2" s="71"/>
      <c r="I2" s="71"/>
      <c r="J2" s="71"/>
      <c r="K2" s="71"/>
      <c r="L2" s="71"/>
      <c r="M2" s="71"/>
      <c r="N2" s="71"/>
      <c r="O2" s="71"/>
    </row>
    <row r="3" spans="1:15" ht="19.95" customHeight="1">
      <c r="A3" s="79" t="s">
        <v>1774</v>
      </c>
      <c r="B3" s="71"/>
      <c r="C3" s="71"/>
      <c r="D3" s="71"/>
      <c r="E3" s="71"/>
      <c r="F3" s="71"/>
      <c r="G3" s="71"/>
      <c r="H3" s="71"/>
      <c r="I3" s="71"/>
      <c r="J3" s="71"/>
      <c r="K3" s="71"/>
      <c r="L3" s="71"/>
      <c r="M3" s="71"/>
      <c r="N3" s="71"/>
      <c r="O3" s="71"/>
    </row>
    <row r="4" spans="1:15" ht="31.95" customHeight="1">
      <c r="A4" s="20" t="s">
        <v>216</v>
      </c>
      <c r="B4" s="20" t="s">
        <v>217</v>
      </c>
      <c r="C4" s="20" t="s">
        <v>218</v>
      </c>
      <c r="D4" s="20" t="s">
        <v>220</v>
      </c>
      <c r="E4" s="20" t="s">
        <v>226</v>
      </c>
      <c r="F4" s="20" t="s">
        <v>101</v>
      </c>
      <c r="G4" s="20" t="s">
        <v>230</v>
      </c>
      <c r="H4" s="20" t="s">
        <v>231</v>
      </c>
      <c r="I4" s="20" t="s">
        <v>233</v>
      </c>
      <c r="J4" s="20" t="s">
        <v>235</v>
      </c>
      <c r="K4" s="20" t="s">
        <v>18</v>
      </c>
      <c r="L4" s="20" t="s">
        <v>51</v>
      </c>
      <c r="M4" s="20" t="s">
        <v>103</v>
      </c>
      <c r="N4" s="20" t="s">
        <v>1704</v>
      </c>
      <c r="O4" s="20" t="s">
        <v>245</v>
      </c>
    </row>
    <row r="5" spans="1:15" ht="160.05000000000001" customHeight="1">
      <c r="A5" s="32" t="s">
        <v>439</v>
      </c>
      <c r="B5" s="33" t="s">
        <v>440</v>
      </c>
      <c r="C5" s="33" t="s">
        <v>441</v>
      </c>
      <c r="D5" s="33" t="s">
        <v>443</v>
      </c>
      <c r="E5" s="36">
        <v>84</v>
      </c>
      <c r="F5" s="50" t="s">
        <v>29</v>
      </c>
      <c r="G5" s="9" t="s">
        <v>61</v>
      </c>
      <c r="H5" s="33" t="s">
        <v>448</v>
      </c>
      <c r="I5" s="33" t="s">
        <v>450</v>
      </c>
      <c r="J5" s="33" t="s">
        <v>452</v>
      </c>
      <c r="K5" s="33" t="s">
        <v>41</v>
      </c>
      <c r="L5" s="32" t="s">
        <v>56</v>
      </c>
      <c r="M5" s="38" t="s">
        <v>66</v>
      </c>
      <c r="N5" s="39" t="s">
        <v>1782</v>
      </c>
      <c r="O5" s="40" t="s">
        <v>270</v>
      </c>
    </row>
    <row r="6" spans="1:15" ht="160.05000000000001" customHeight="1">
      <c r="A6" s="32" t="s">
        <v>964</v>
      </c>
      <c r="B6" s="33" t="s">
        <v>965</v>
      </c>
      <c r="C6" s="33" t="s">
        <v>441</v>
      </c>
      <c r="D6" s="33" t="s">
        <v>967</v>
      </c>
      <c r="E6" s="36">
        <v>288</v>
      </c>
      <c r="F6" s="53" t="s">
        <v>31</v>
      </c>
      <c r="G6" s="9" t="s">
        <v>61</v>
      </c>
      <c r="H6" s="33" t="s">
        <v>972</v>
      </c>
      <c r="I6" s="33" t="s">
        <v>973</v>
      </c>
      <c r="J6" s="33" t="s">
        <v>975</v>
      </c>
      <c r="K6" s="33" t="s">
        <v>47</v>
      </c>
      <c r="L6" s="32" t="s">
        <v>56</v>
      </c>
      <c r="M6" s="52" t="s">
        <v>64</v>
      </c>
      <c r="N6" s="39" t="s">
        <v>1783</v>
      </c>
      <c r="O6" s="40" t="s">
        <v>270</v>
      </c>
    </row>
    <row r="7" spans="1:15" ht="160.05000000000001" customHeight="1">
      <c r="A7" s="32" t="s">
        <v>1588</v>
      </c>
      <c r="B7" s="33" t="s">
        <v>1589</v>
      </c>
      <c r="C7" s="33" t="s">
        <v>441</v>
      </c>
      <c r="D7" s="33" t="s">
        <v>1591</v>
      </c>
      <c r="E7" s="36">
        <v>52</v>
      </c>
      <c r="F7" s="51" t="s">
        <v>37</v>
      </c>
      <c r="G7" s="9" t="s">
        <v>61</v>
      </c>
      <c r="H7" s="33" t="s">
        <v>1596</v>
      </c>
      <c r="I7" s="33" t="s">
        <v>1598</v>
      </c>
      <c r="J7" s="33" t="s">
        <v>1600</v>
      </c>
      <c r="K7" s="33" t="s">
        <v>47</v>
      </c>
      <c r="L7" s="32" t="s">
        <v>56</v>
      </c>
      <c r="M7" s="52" t="s">
        <v>64</v>
      </c>
      <c r="N7" s="39" t="s">
        <v>1784</v>
      </c>
      <c r="O7" s="40" t="s">
        <v>270</v>
      </c>
    </row>
  </sheetData>
  <autoFilter ref="A4:O7" xr:uid="{00000000-0009-0000-0000-000009000000}"/>
  <mergeCells count="3">
    <mergeCell ref="A1:O1"/>
    <mergeCell ref="A3:O3"/>
    <mergeCell ref="A2:O2"/>
  </mergeCells>
  <phoneticPr fontId="25" type="noConversion"/>
  <hyperlinks>
    <hyperlink ref="N5" r:id="rId1" xr:uid="{00000000-0004-0000-0900-000000000000}"/>
    <hyperlink ref="O5" r:id="rId2" xr:uid="{00000000-0004-0000-0900-000001000000}"/>
    <hyperlink ref="N6" r:id="rId3" xr:uid="{00000000-0004-0000-0900-000002000000}"/>
    <hyperlink ref="O6" r:id="rId4" xr:uid="{00000000-0004-0000-0900-000003000000}"/>
    <hyperlink ref="N7" r:id="rId5" xr:uid="{00000000-0004-0000-0900-000004000000}"/>
    <hyperlink ref="O7" r:id="rId6" xr:uid="{00000000-0004-0000-0900-000005000000}"/>
  </hyperlinks>
  <printOptions horizontalCentered="1"/>
  <pageMargins left="0.4" right="0.4" top="0.5" bottom="0.6" header="0.5" footer="0.5"/>
  <pageSetup paperSize="9" fitToHeight="0" orientation="landscape"/>
  <headerFooter>
    <oddFooter>&amp;C第 &amp;P 頁，共 &amp;N 頁</oddFooter>
  </headerFooter>
  <legacyDrawing r:id="rId7"/>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4B4D6"/>
    <pageSetUpPr fitToPage="1"/>
  </sheetPr>
  <dimension ref="A1:O5"/>
  <sheetViews>
    <sheetView workbookViewId="0">
      <pane xSplit="2" ySplit="4" topLeftCell="C5" activePane="bottomRight" state="frozen"/>
      <selection pane="topRight"/>
      <selection pane="bottomLeft"/>
      <selection pane="bottomRight"/>
    </sheetView>
  </sheetViews>
  <sheetFormatPr defaultRowHeight="13.8"/>
  <cols>
    <col min="1" max="1" width="10" customWidth="1"/>
    <col min="2" max="2" width="24" customWidth="1"/>
    <col min="3" max="3" width="16" customWidth="1"/>
    <col min="4" max="4" width="30" customWidth="1"/>
    <col min="5" max="5" width="10" customWidth="1"/>
    <col min="6" max="6" width="16" customWidth="1"/>
    <col min="7" max="7" width="13" customWidth="1"/>
    <col min="8" max="8" width="24" customWidth="1"/>
    <col min="9" max="9" width="36" customWidth="1"/>
    <col min="10" max="10" width="16" customWidth="1"/>
    <col min="11" max="11" width="15" customWidth="1"/>
    <col min="12" max="12" width="10" customWidth="1"/>
    <col min="13" max="13" width="8" customWidth="1"/>
    <col min="14" max="14" width="36" customWidth="1"/>
    <col min="15" max="15" width="12" customWidth="1"/>
  </cols>
  <sheetData>
    <row r="1" spans="1:15" ht="27.15" customHeight="1">
      <c r="A1" s="73" t="s">
        <v>1785</v>
      </c>
      <c r="B1" s="71"/>
      <c r="C1" s="71"/>
      <c r="D1" s="71"/>
      <c r="E1" s="71"/>
      <c r="F1" s="71"/>
      <c r="G1" s="71"/>
      <c r="H1" s="71"/>
      <c r="I1" s="71"/>
      <c r="J1" s="71"/>
      <c r="K1" s="71"/>
      <c r="L1" s="71"/>
      <c r="M1" s="71"/>
      <c r="N1" s="71"/>
      <c r="O1" s="71"/>
    </row>
    <row r="2" spans="1:15" ht="19.95" customHeight="1">
      <c r="A2" s="78" t="str">
        <f>"主清單 "&amp;COUNTIFS(專案清單!$B$2:$B$80,"北領地",專案清單!$R$2:$R$80,"主清單")&amp;" 件　｜　已知容量合計 "&amp;FIXED(SUMIFS(專案清單!$M$2:$M$80,專案清單!$B$2:$B$80,"北領地",專案清單!$R$2:$R$80,"主清單"),1)&amp;" MW　｜　容量未公布 "&amp;COUNTIFS(專案清單!$B$2:$B$80,"北領地",專案清單!$R$2:$R$80,"主清單",專案清單!$M$2:$M$80,"未公布")&amp;" 件　｜　另有觀察名單 "&amp;COUNTIFS(專案清單!$B$2:$B$80,"北領地",專案清單!$R$2:$R$80,"觀察名單 (出租性待確認)")&amp;" 件（已知容量 "&amp;FIXED(SUMIFS(專案清單!$M$2:$M$80,專案清單!$B$2:$B$80,"北領地",專案清單!$R$2:$R$80,"觀察名單 (出租性待確認)"),1)&amp;" MW）"</f>
        <v>主清單 0 件　｜　已知容量合計 0.0 MW　｜　容量未公布 0 件　｜　另有觀察名單 1 件（已知容量 1,000.0 MW）</v>
      </c>
      <c r="B2" s="71"/>
      <c r="C2" s="71"/>
      <c r="D2" s="71"/>
      <c r="E2" s="71"/>
      <c r="F2" s="71"/>
      <c r="G2" s="71"/>
      <c r="H2" s="71"/>
      <c r="I2" s="71"/>
      <c r="J2" s="71"/>
      <c r="K2" s="71"/>
      <c r="L2" s="71"/>
      <c r="M2" s="71"/>
      <c r="N2" s="71"/>
      <c r="O2" s="71"/>
    </row>
    <row r="3" spans="1:15" ht="19.95" customHeight="1">
      <c r="A3" s="79" t="s">
        <v>1774</v>
      </c>
      <c r="B3" s="71"/>
      <c r="C3" s="71"/>
      <c r="D3" s="71"/>
      <c r="E3" s="71"/>
      <c r="F3" s="71"/>
      <c r="G3" s="71"/>
      <c r="H3" s="71"/>
      <c r="I3" s="71"/>
      <c r="J3" s="71"/>
      <c r="K3" s="71"/>
      <c r="L3" s="71"/>
      <c r="M3" s="71"/>
      <c r="N3" s="71"/>
      <c r="O3" s="71"/>
    </row>
    <row r="4" spans="1:15" ht="31.95" customHeight="1">
      <c r="A4" s="20" t="s">
        <v>216</v>
      </c>
      <c r="B4" s="20" t="s">
        <v>217</v>
      </c>
      <c r="C4" s="20" t="s">
        <v>218</v>
      </c>
      <c r="D4" s="20" t="s">
        <v>220</v>
      </c>
      <c r="E4" s="20" t="s">
        <v>226</v>
      </c>
      <c r="F4" s="20" t="s">
        <v>101</v>
      </c>
      <c r="G4" s="20" t="s">
        <v>230</v>
      </c>
      <c r="H4" s="20" t="s">
        <v>231</v>
      </c>
      <c r="I4" s="20" t="s">
        <v>233</v>
      </c>
      <c r="J4" s="20" t="s">
        <v>235</v>
      </c>
      <c r="K4" s="20" t="s">
        <v>18</v>
      </c>
      <c r="L4" s="20" t="s">
        <v>51</v>
      </c>
      <c r="M4" s="20" t="s">
        <v>103</v>
      </c>
      <c r="N4" s="20" t="s">
        <v>1704</v>
      </c>
      <c r="O4" s="20" t="s">
        <v>245</v>
      </c>
    </row>
    <row r="5" spans="1:15" ht="160.05000000000001" customHeight="1">
      <c r="A5" s="32" t="s">
        <v>709</v>
      </c>
      <c r="B5" s="33" t="s">
        <v>710</v>
      </c>
      <c r="C5" s="33" t="s">
        <v>711</v>
      </c>
      <c r="D5" s="33" t="s">
        <v>713</v>
      </c>
      <c r="E5" s="36">
        <v>1000</v>
      </c>
      <c r="F5" s="51" t="s">
        <v>37</v>
      </c>
      <c r="G5" s="9" t="s">
        <v>61</v>
      </c>
      <c r="H5" s="33" t="s">
        <v>718</v>
      </c>
      <c r="I5" s="33" t="s">
        <v>720</v>
      </c>
      <c r="J5" s="33" t="s">
        <v>722</v>
      </c>
      <c r="K5" s="33" t="s">
        <v>45</v>
      </c>
      <c r="L5" s="32" t="s">
        <v>54</v>
      </c>
      <c r="M5" s="52" t="s">
        <v>64</v>
      </c>
      <c r="N5" s="39" t="s">
        <v>1786</v>
      </c>
      <c r="O5" s="40" t="s">
        <v>270</v>
      </c>
    </row>
  </sheetData>
  <autoFilter ref="A4:O5" xr:uid="{00000000-0009-0000-0000-00000A000000}"/>
  <mergeCells count="3">
    <mergeCell ref="A1:O1"/>
    <mergeCell ref="A3:O3"/>
    <mergeCell ref="A2:O2"/>
  </mergeCells>
  <phoneticPr fontId="25" type="noConversion"/>
  <hyperlinks>
    <hyperlink ref="N5" r:id="rId1" xr:uid="{00000000-0004-0000-0A00-000000000000}"/>
    <hyperlink ref="O5" r:id="rId2" xr:uid="{00000000-0004-0000-0A00-000001000000}"/>
  </hyperlinks>
  <printOptions horizontalCentered="1"/>
  <pageMargins left="0.4" right="0.4" top="0.5" bottom="0.6" header="0.5" footer="0.5"/>
  <pageSetup paperSize="9" fitToHeight="0" orientation="landscape"/>
  <headerFooter>
    <oddFooter>&amp;C第 &amp;P 頁，共 &amp;N 頁</oddFooter>
  </headerFooter>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E5B7B"/>
    <pageSetUpPr fitToPage="1"/>
  </sheetPr>
  <dimension ref="A1:K112"/>
  <sheetViews>
    <sheetView workbookViewId="0"/>
  </sheetViews>
  <sheetFormatPr defaultRowHeight="13.8"/>
  <cols>
    <col min="1" max="1" width="10" customWidth="1"/>
    <col min="2" max="2" width="13" customWidth="1"/>
    <col min="3" max="3" width="26" customWidth="1"/>
    <col min="4" max="4" width="18" customWidth="1"/>
    <col min="5" max="5" width="11" customWidth="1"/>
    <col min="6" max="6" width="18" customWidth="1"/>
    <col min="7" max="7" width="13" customWidth="1"/>
    <col min="8" max="8" width="20" customWidth="1"/>
    <col min="9" max="9" width="30" customWidth="1"/>
    <col min="10" max="10" width="22" customWidth="1"/>
    <col min="11" max="11" width="8" customWidth="1"/>
  </cols>
  <sheetData>
    <row r="1" spans="1:11" ht="27.15" customHeight="1">
      <c r="A1" s="73" t="s">
        <v>1787</v>
      </c>
      <c r="B1" s="71"/>
      <c r="C1" s="71"/>
      <c r="D1" s="71"/>
      <c r="E1" s="71"/>
      <c r="F1" s="71"/>
      <c r="G1" s="71"/>
      <c r="H1" s="71"/>
      <c r="I1" s="71"/>
      <c r="J1" s="71"/>
      <c r="K1" s="71"/>
    </row>
    <row r="2" spans="1:11" ht="18.45" customHeight="1">
      <c r="A2" s="72" t="s">
        <v>1788</v>
      </c>
      <c r="B2" s="71"/>
      <c r="C2" s="71"/>
      <c r="D2" s="71"/>
      <c r="E2" s="71"/>
      <c r="F2" s="71"/>
      <c r="G2" s="71"/>
      <c r="H2" s="71"/>
      <c r="I2" s="71"/>
      <c r="J2" s="71"/>
      <c r="K2" s="71"/>
    </row>
    <row r="4" spans="1:11" ht="22.05" customHeight="1">
      <c r="A4" s="70" t="s">
        <v>1789</v>
      </c>
      <c r="B4" s="71"/>
      <c r="C4" s="71"/>
      <c r="D4" s="71"/>
      <c r="E4" s="71"/>
      <c r="F4" s="71"/>
      <c r="G4" s="71"/>
      <c r="H4" s="71"/>
      <c r="I4" s="71"/>
      <c r="J4" s="71"/>
      <c r="K4" s="71"/>
    </row>
    <row r="5" spans="1:11" ht="18.45" customHeight="1">
      <c r="A5" s="74" t="s">
        <v>1790</v>
      </c>
      <c r="B5" s="71"/>
      <c r="C5" s="71"/>
      <c r="D5" s="71"/>
      <c r="E5" s="71"/>
      <c r="F5" s="71"/>
      <c r="G5" s="71"/>
      <c r="H5" s="71"/>
      <c r="I5" s="71"/>
      <c r="J5" s="71"/>
      <c r="K5" s="71"/>
    </row>
    <row r="6" spans="1:11" ht="18.45" customHeight="1">
      <c r="A6" s="74" t="s">
        <v>1791</v>
      </c>
      <c r="B6" s="71"/>
      <c r="C6" s="71"/>
      <c r="D6" s="71"/>
      <c r="E6" s="71"/>
      <c r="F6" s="71"/>
      <c r="G6" s="71"/>
      <c r="H6" s="71"/>
      <c r="I6" s="71"/>
      <c r="J6" s="71"/>
      <c r="K6" s="71"/>
    </row>
    <row r="7" spans="1:11" ht="18.45" customHeight="1">
      <c r="A7" s="74" t="s">
        <v>1792</v>
      </c>
      <c r="B7" s="71"/>
      <c r="C7" s="71"/>
      <c r="D7" s="71"/>
      <c r="E7" s="71"/>
      <c r="F7" s="71"/>
      <c r="G7" s="71"/>
      <c r="H7" s="71"/>
      <c r="I7" s="71"/>
      <c r="J7" s="71"/>
      <c r="K7" s="71"/>
    </row>
    <row r="8" spans="1:11" ht="18.45" customHeight="1">
      <c r="A8" s="74" t="s">
        <v>1793</v>
      </c>
      <c r="B8" s="71"/>
      <c r="C8" s="71"/>
      <c r="D8" s="71"/>
      <c r="E8" s="71"/>
      <c r="F8" s="71"/>
      <c r="G8" s="71"/>
      <c r="H8" s="71"/>
      <c r="I8" s="71"/>
      <c r="J8" s="71"/>
      <c r="K8" s="71"/>
    </row>
    <row r="9" spans="1:11" ht="18.45" customHeight="1">
      <c r="A9" s="74" t="s">
        <v>1794</v>
      </c>
      <c r="B9" s="71"/>
      <c r="C9" s="71"/>
      <c r="D9" s="71"/>
      <c r="E9" s="71"/>
      <c r="F9" s="71"/>
      <c r="G9" s="71"/>
      <c r="H9" s="71"/>
      <c r="I9" s="71"/>
      <c r="J9" s="71"/>
      <c r="K9" s="71"/>
    </row>
    <row r="11" spans="1:11" ht="31.95" customHeight="1">
      <c r="A11" s="20" t="s">
        <v>216</v>
      </c>
      <c r="B11" s="20" t="s">
        <v>173</v>
      </c>
      <c r="C11" s="20" t="s">
        <v>217</v>
      </c>
      <c r="D11" s="20" t="s">
        <v>218</v>
      </c>
      <c r="E11" s="20" t="s">
        <v>226</v>
      </c>
      <c r="F11" s="20" t="s">
        <v>101</v>
      </c>
      <c r="G11" s="20" t="s">
        <v>230</v>
      </c>
      <c r="H11" s="20" t="s">
        <v>235</v>
      </c>
      <c r="I11" s="20" t="s">
        <v>1795</v>
      </c>
      <c r="J11" s="20" t="s">
        <v>236</v>
      </c>
      <c r="K11" s="20" t="s">
        <v>103</v>
      </c>
    </row>
    <row r="12" spans="1:11" ht="19.95" customHeight="1">
      <c r="A12" s="70" t="s">
        <v>39</v>
      </c>
      <c r="B12" s="71"/>
      <c r="C12" s="71"/>
      <c r="D12" s="71"/>
      <c r="E12" s="71"/>
      <c r="F12" s="71"/>
      <c r="G12" s="71"/>
      <c r="H12" s="71"/>
      <c r="I12" s="71"/>
      <c r="J12" s="71"/>
      <c r="K12" s="71"/>
    </row>
    <row r="13" spans="1:11" ht="47.55" customHeight="1">
      <c r="A13" s="32" t="s">
        <v>247</v>
      </c>
      <c r="B13" s="32" t="s">
        <v>179</v>
      </c>
      <c r="C13" s="33" t="s">
        <v>248</v>
      </c>
      <c r="D13" s="33" t="s">
        <v>249</v>
      </c>
      <c r="E13" s="36">
        <v>155</v>
      </c>
      <c r="F13" s="37" t="s">
        <v>33</v>
      </c>
      <c r="G13" s="9" t="s">
        <v>61</v>
      </c>
      <c r="H13" s="33" t="s">
        <v>260</v>
      </c>
      <c r="I13" s="33" t="s">
        <v>1796</v>
      </c>
      <c r="J13" s="33" t="s">
        <v>261</v>
      </c>
      <c r="K13" s="38" t="s">
        <v>66</v>
      </c>
    </row>
    <row r="14" spans="1:11" ht="91.05" customHeight="1">
      <c r="A14" s="22" t="s">
        <v>272</v>
      </c>
      <c r="B14" s="22" t="s">
        <v>177</v>
      </c>
      <c r="C14" s="2" t="s">
        <v>273</v>
      </c>
      <c r="D14" s="2" t="s">
        <v>274</v>
      </c>
      <c r="E14" s="43">
        <v>47</v>
      </c>
      <c r="F14" s="6" t="s">
        <v>33</v>
      </c>
      <c r="G14" s="2" t="s">
        <v>59</v>
      </c>
      <c r="H14" s="2" t="s">
        <v>284</v>
      </c>
      <c r="I14" s="2" t="s">
        <v>1797</v>
      </c>
      <c r="J14" s="2" t="s">
        <v>285</v>
      </c>
      <c r="K14" s="44" t="s">
        <v>64</v>
      </c>
    </row>
    <row r="15" spans="1:11" ht="47.55" customHeight="1">
      <c r="A15" s="32" t="s">
        <v>295</v>
      </c>
      <c r="B15" s="32" t="s">
        <v>179</v>
      </c>
      <c r="C15" s="33" t="s">
        <v>296</v>
      </c>
      <c r="D15" s="33" t="s">
        <v>297</v>
      </c>
      <c r="E15" s="36">
        <v>276</v>
      </c>
      <c r="F15" s="45" t="s">
        <v>35</v>
      </c>
      <c r="G15" s="9" t="s">
        <v>61</v>
      </c>
      <c r="H15" s="33" t="s">
        <v>307</v>
      </c>
      <c r="I15" s="33" t="s">
        <v>1798</v>
      </c>
      <c r="J15" s="33" t="s">
        <v>261</v>
      </c>
      <c r="K15" s="38" t="s">
        <v>66</v>
      </c>
    </row>
    <row r="16" spans="1:11" ht="61.95" customHeight="1">
      <c r="A16" s="22" t="s">
        <v>316</v>
      </c>
      <c r="B16" s="22" t="s">
        <v>177</v>
      </c>
      <c r="C16" s="2" t="s">
        <v>317</v>
      </c>
      <c r="D16" s="2" t="s">
        <v>318</v>
      </c>
      <c r="E16" s="43">
        <v>28</v>
      </c>
      <c r="F16" s="7" t="s">
        <v>35</v>
      </c>
      <c r="G16" s="2" t="s">
        <v>59</v>
      </c>
      <c r="H16" s="2" t="s">
        <v>328</v>
      </c>
      <c r="I16" s="2" t="s">
        <v>1799</v>
      </c>
      <c r="J16" s="2" t="s">
        <v>329</v>
      </c>
      <c r="K16" s="46" t="s">
        <v>66</v>
      </c>
    </row>
    <row r="17" spans="1:11" ht="91.05" customHeight="1">
      <c r="A17" s="32" t="s">
        <v>339</v>
      </c>
      <c r="B17" s="32" t="s">
        <v>179</v>
      </c>
      <c r="C17" s="33" t="s">
        <v>340</v>
      </c>
      <c r="D17" s="33" t="s">
        <v>341</v>
      </c>
      <c r="E17" s="36">
        <v>12</v>
      </c>
      <c r="F17" s="45" t="s">
        <v>35</v>
      </c>
      <c r="G17" s="9" t="s">
        <v>61</v>
      </c>
      <c r="H17" s="33" t="s">
        <v>352</v>
      </c>
      <c r="I17" s="33" t="s">
        <v>1800</v>
      </c>
      <c r="J17" s="33" t="s">
        <v>353</v>
      </c>
      <c r="K17" s="47" t="s">
        <v>68</v>
      </c>
    </row>
    <row r="18" spans="1:11" ht="76.5" customHeight="1">
      <c r="A18" s="22" t="s">
        <v>361</v>
      </c>
      <c r="B18" s="22" t="s">
        <v>177</v>
      </c>
      <c r="C18" s="2" t="s">
        <v>362</v>
      </c>
      <c r="D18" s="2" t="s">
        <v>363</v>
      </c>
      <c r="E18" s="48" t="s">
        <v>307</v>
      </c>
      <c r="F18" s="7" t="s">
        <v>35</v>
      </c>
      <c r="G18" s="2" t="s">
        <v>59</v>
      </c>
      <c r="H18" s="2" t="s">
        <v>371</v>
      </c>
      <c r="I18" s="2" t="s">
        <v>1801</v>
      </c>
      <c r="J18" s="2" t="s">
        <v>372</v>
      </c>
      <c r="K18" s="49" t="s">
        <v>68</v>
      </c>
    </row>
    <row r="19" spans="1:11">
      <c r="A19" s="26"/>
      <c r="B19" s="26"/>
      <c r="C19" s="25" t="s">
        <v>1802</v>
      </c>
      <c r="D19" s="55">
        <f>COUNTIF(G13:G18,"主清單")</f>
        <v>3</v>
      </c>
      <c r="E19" s="30">
        <f>SUMIFS(E13:E18,G13:G18,"主清單")</f>
        <v>75</v>
      </c>
      <c r="F19" s="56">
        <f>COUNTIFS(E13:E18,"未公布",G13:G18,"主清單")</f>
        <v>1</v>
      </c>
      <c r="G19" s="26"/>
      <c r="H19" s="26"/>
      <c r="I19" s="26"/>
      <c r="J19" s="26"/>
      <c r="K19" s="26"/>
    </row>
    <row r="20" spans="1:11">
      <c r="A20" s="26"/>
      <c r="B20" s="26"/>
      <c r="C20" s="25" t="s">
        <v>1803</v>
      </c>
      <c r="D20" s="55">
        <f>COUNTIF(G13:G18,"觀察名單 (出租性待確認)")</f>
        <v>3</v>
      </c>
      <c r="E20" s="30">
        <f>SUMIFS(E13:E18,G13:G18,"觀察名單 (出租性待確認)")</f>
        <v>443</v>
      </c>
      <c r="F20" s="56">
        <f>COUNTIFS(E13:E18,"未公布",G13:G18,"觀察名單 (出租性待確認)")</f>
        <v>0</v>
      </c>
      <c r="G20" s="26"/>
      <c r="H20" s="26"/>
      <c r="I20" s="26"/>
      <c r="J20" s="26"/>
      <c r="K20" s="26"/>
    </row>
    <row r="22" spans="1:11" ht="19.95" customHeight="1">
      <c r="A22" s="70" t="s">
        <v>41</v>
      </c>
      <c r="B22" s="71"/>
      <c r="C22" s="71"/>
      <c r="D22" s="71"/>
      <c r="E22" s="71"/>
      <c r="F22" s="71"/>
      <c r="G22" s="71"/>
      <c r="H22" s="71"/>
      <c r="I22" s="71"/>
      <c r="J22" s="71"/>
      <c r="K22" s="71"/>
    </row>
    <row r="23" spans="1:11" ht="47.55" customHeight="1">
      <c r="A23" s="22" t="s">
        <v>378</v>
      </c>
      <c r="B23" s="22" t="s">
        <v>179</v>
      </c>
      <c r="C23" s="2" t="s">
        <v>379</v>
      </c>
      <c r="D23" s="2" t="s">
        <v>380</v>
      </c>
      <c r="E23" s="43">
        <v>252</v>
      </c>
      <c r="F23" s="4" t="s">
        <v>29</v>
      </c>
      <c r="G23" s="2" t="s">
        <v>59</v>
      </c>
      <c r="H23" s="2" t="s">
        <v>390</v>
      </c>
      <c r="I23" s="2" t="s">
        <v>1804</v>
      </c>
      <c r="J23" s="2" t="s">
        <v>391</v>
      </c>
      <c r="K23" s="46" t="s">
        <v>66</v>
      </c>
    </row>
    <row r="24" spans="1:11" ht="134.55000000000001" customHeight="1">
      <c r="A24" s="22" t="s">
        <v>400</v>
      </c>
      <c r="B24" s="22" t="s">
        <v>183</v>
      </c>
      <c r="C24" s="2" t="s">
        <v>401</v>
      </c>
      <c r="D24" s="2" t="s">
        <v>402</v>
      </c>
      <c r="E24" s="43">
        <v>200</v>
      </c>
      <c r="F24" s="4" t="s">
        <v>29</v>
      </c>
      <c r="G24" s="2" t="s">
        <v>59</v>
      </c>
      <c r="H24" s="2" t="s">
        <v>412</v>
      </c>
      <c r="I24" s="2" t="s">
        <v>1805</v>
      </c>
      <c r="J24" s="2" t="s">
        <v>413</v>
      </c>
      <c r="K24" s="44" t="s">
        <v>64</v>
      </c>
    </row>
    <row r="25" spans="1:11" ht="91.05" customHeight="1">
      <c r="A25" s="22" t="s">
        <v>423</v>
      </c>
      <c r="B25" s="22" t="s">
        <v>179</v>
      </c>
      <c r="C25" s="2" t="s">
        <v>424</v>
      </c>
      <c r="D25" s="2" t="s">
        <v>380</v>
      </c>
      <c r="E25" s="43">
        <v>108</v>
      </c>
      <c r="F25" s="4" t="s">
        <v>29</v>
      </c>
      <c r="G25" s="2" t="s">
        <v>59</v>
      </c>
      <c r="H25" s="2" t="s">
        <v>431</v>
      </c>
      <c r="I25" s="2" t="s">
        <v>1806</v>
      </c>
      <c r="J25" s="2" t="s">
        <v>432</v>
      </c>
      <c r="K25" s="46" t="s">
        <v>66</v>
      </c>
    </row>
    <row r="26" spans="1:11" ht="105.45" customHeight="1">
      <c r="A26" s="32" t="s">
        <v>439</v>
      </c>
      <c r="B26" s="32" t="s">
        <v>189</v>
      </c>
      <c r="C26" s="33" t="s">
        <v>440</v>
      </c>
      <c r="D26" s="33" t="s">
        <v>441</v>
      </c>
      <c r="E26" s="36">
        <v>84</v>
      </c>
      <c r="F26" s="50" t="s">
        <v>29</v>
      </c>
      <c r="G26" s="9" t="s">
        <v>61</v>
      </c>
      <c r="H26" s="33" t="s">
        <v>452</v>
      </c>
      <c r="I26" s="33" t="s">
        <v>1807</v>
      </c>
      <c r="J26" s="33" t="s">
        <v>453</v>
      </c>
      <c r="K26" s="38" t="s">
        <v>66</v>
      </c>
    </row>
    <row r="27" spans="1:11" ht="91.05" customHeight="1">
      <c r="A27" s="22" t="s">
        <v>463</v>
      </c>
      <c r="B27" s="22" t="s">
        <v>179</v>
      </c>
      <c r="C27" s="2" t="s">
        <v>464</v>
      </c>
      <c r="D27" s="2" t="s">
        <v>465</v>
      </c>
      <c r="E27" s="43">
        <v>64</v>
      </c>
      <c r="F27" s="4" t="s">
        <v>29</v>
      </c>
      <c r="G27" s="2" t="s">
        <v>59</v>
      </c>
      <c r="H27" s="2" t="s">
        <v>474</v>
      </c>
      <c r="I27" s="2" t="s">
        <v>1808</v>
      </c>
      <c r="J27" s="2" t="s">
        <v>475</v>
      </c>
      <c r="K27" s="46" t="s">
        <v>66</v>
      </c>
    </row>
    <row r="28" spans="1:11" ht="47.55" customHeight="1">
      <c r="A28" s="22" t="s">
        <v>482</v>
      </c>
      <c r="B28" s="22" t="s">
        <v>177</v>
      </c>
      <c r="C28" s="2" t="s">
        <v>483</v>
      </c>
      <c r="D28" s="2" t="s">
        <v>484</v>
      </c>
      <c r="E28" s="43">
        <v>15</v>
      </c>
      <c r="F28" s="4" t="s">
        <v>29</v>
      </c>
      <c r="G28" s="2" t="s">
        <v>59</v>
      </c>
      <c r="H28" s="2" t="s">
        <v>494</v>
      </c>
      <c r="I28" s="2" t="s">
        <v>1809</v>
      </c>
      <c r="J28" s="2" t="s">
        <v>495</v>
      </c>
      <c r="K28" s="46" t="s">
        <v>66</v>
      </c>
    </row>
    <row r="29" spans="1:11">
      <c r="A29" s="26"/>
      <c r="B29" s="26"/>
      <c r="C29" s="25" t="s">
        <v>1802</v>
      </c>
      <c r="D29" s="55">
        <f>COUNTIF(G23:G28,"主清單")</f>
        <v>5</v>
      </c>
      <c r="E29" s="30">
        <f>SUMIFS(E23:E28,G23:G28,"主清單")</f>
        <v>639</v>
      </c>
      <c r="F29" s="56">
        <f>COUNTIFS(E23:E28,"未公布",G23:G28,"主清單")</f>
        <v>0</v>
      </c>
      <c r="G29" s="26"/>
      <c r="H29" s="26"/>
      <c r="I29" s="26"/>
      <c r="J29" s="26"/>
      <c r="K29" s="26"/>
    </row>
    <row r="30" spans="1:11">
      <c r="A30" s="26"/>
      <c r="B30" s="26"/>
      <c r="C30" s="25" t="s">
        <v>1803</v>
      </c>
      <c r="D30" s="55">
        <f>COUNTIF(G23:G28,"觀察名單 (出租性待確認)")</f>
        <v>1</v>
      </c>
      <c r="E30" s="30">
        <f>SUMIFS(E23:E28,G23:G28,"觀察名單 (出租性待確認)")</f>
        <v>84</v>
      </c>
      <c r="F30" s="56">
        <f>COUNTIFS(E23:E28,"未公布",G23:G28,"觀察名單 (出租性待確認)")</f>
        <v>0</v>
      </c>
      <c r="G30" s="26"/>
      <c r="H30" s="26"/>
      <c r="I30" s="26"/>
      <c r="J30" s="26"/>
      <c r="K30" s="26"/>
    </row>
    <row r="32" spans="1:11" ht="19.95" customHeight="1">
      <c r="A32" s="70" t="s">
        <v>43</v>
      </c>
      <c r="B32" s="71"/>
      <c r="C32" s="71"/>
      <c r="D32" s="71"/>
      <c r="E32" s="71"/>
      <c r="F32" s="71"/>
      <c r="G32" s="71"/>
      <c r="H32" s="71"/>
      <c r="I32" s="71"/>
      <c r="J32" s="71"/>
      <c r="K32" s="71"/>
    </row>
    <row r="33" spans="1:11" ht="160.05000000000001" customHeight="1">
      <c r="A33" s="22" t="s">
        <v>505</v>
      </c>
      <c r="B33" s="22" t="s">
        <v>177</v>
      </c>
      <c r="C33" s="2" t="s">
        <v>506</v>
      </c>
      <c r="D33" s="2" t="s">
        <v>507</v>
      </c>
      <c r="E33" s="43">
        <v>504</v>
      </c>
      <c r="F33" s="4" t="s">
        <v>29</v>
      </c>
      <c r="G33" s="2" t="s">
        <v>59</v>
      </c>
      <c r="H33" s="2" t="s">
        <v>517</v>
      </c>
      <c r="I33" s="2" t="s">
        <v>1810</v>
      </c>
      <c r="J33" s="2" t="s">
        <v>518</v>
      </c>
      <c r="K33" s="44" t="s">
        <v>64</v>
      </c>
    </row>
    <row r="34" spans="1:11" ht="160.05000000000001" customHeight="1">
      <c r="A34" s="22" t="s">
        <v>528</v>
      </c>
      <c r="B34" s="22" t="s">
        <v>177</v>
      </c>
      <c r="C34" s="2" t="s">
        <v>529</v>
      </c>
      <c r="D34" s="2" t="s">
        <v>530</v>
      </c>
      <c r="E34" s="43">
        <v>365</v>
      </c>
      <c r="F34" s="4" t="s">
        <v>29</v>
      </c>
      <c r="G34" s="2" t="s">
        <v>59</v>
      </c>
      <c r="H34" s="2" t="s">
        <v>540</v>
      </c>
      <c r="I34" s="2" t="s">
        <v>1811</v>
      </c>
      <c r="J34" s="2" t="s">
        <v>541</v>
      </c>
      <c r="K34" s="44" t="s">
        <v>64</v>
      </c>
    </row>
    <row r="35" spans="1:11" ht="91.05" customHeight="1">
      <c r="A35" s="22" t="s">
        <v>547</v>
      </c>
      <c r="B35" s="22" t="s">
        <v>179</v>
      </c>
      <c r="C35" s="2" t="s">
        <v>548</v>
      </c>
      <c r="D35" s="2" t="s">
        <v>549</v>
      </c>
      <c r="E35" s="43">
        <v>354</v>
      </c>
      <c r="F35" s="5" t="s">
        <v>31</v>
      </c>
      <c r="G35" s="2" t="s">
        <v>59</v>
      </c>
      <c r="H35" s="2" t="s">
        <v>557</v>
      </c>
      <c r="I35" s="2" t="s">
        <v>1812</v>
      </c>
      <c r="J35" s="2" t="s">
        <v>558</v>
      </c>
      <c r="K35" s="44" t="s">
        <v>64</v>
      </c>
    </row>
    <row r="36" spans="1:11">
      <c r="A36" s="26"/>
      <c r="B36" s="26"/>
      <c r="C36" s="25" t="s">
        <v>1802</v>
      </c>
      <c r="D36" s="55">
        <f>COUNTIF(G33:G35,"主清單")</f>
        <v>3</v>
      </c>
      <c r="E36" s="30">
        <f>SUMIFS(E33:E35,G33:G35,"主清單")</f>
        <v>1223</v>
      </c>
      <c r="F36" s="56">
        <f>COUNTIFS(E33:E35,"未公布",G33:G35,"主清單")</f>
        <v>0</v>
      </c>
      <c r="G36" s="26"/>
      <c r="H36" s="26"/>
      <c r="I36" s="26"/>
      <c r="J36" s="26"/>
      <c r="K36" s="26"/>
    </row>
    <row r="38" spans="1:11" ht="19.95" customHeight="1">
      <c r="A38" s="70" t="s">
        <v>45</v>
      </c>
      <c r="B38" s="71"/>
      <c r="C38" s="71"/>
      <c r="D38" s="71"/>
      <c r="E38" s="71"/>
      <c r="F38" s="71"/>
      <c r="G38" s="71"/>
      <c r="H38" s="71"/>
      <c r="I38" s="71"/>
      <c r="J38" s="71"/>
      <c r="K38" s="71"/>
    </row>
    <row r="39" spans="1:11" ht="120" customHeight="1">
      <c r="A39" s="22" t="s">
        <v>566</v>
      </c>
      <c r="B39" s="22" t="s">
        <v>177</v>
      </c>
      <c r="C39" s="2" t="s">
        <v>567</v>
      </c>
      <c r="D39" s="2" t="s">
        <v>568</v>
      </c>
      <c r="E39" s="43">
        <v>80</v>
      </c>
      <c r="F39" s="4" t="s">
        <v>29</v>
      </c>
      <c r="G39" s="2" t="s">
        <v>59</v>
      </c>
      <c r="H39" s="2" t="s">
        <v>578</v>
      </c>
      <c r="I39" s="2" t="s">
        <v>1813</v>
      </c>
      <c r="J39" s="2" t="s">
        <v>579</v>
      </c>
      <c r="K39" s="44" t="s">
        <v>64</v>
      </c>
    </row>
    <row r="40" spans="1:11" ht="120" customHeight="1">
      <c r="A40" s="22" t="s">
        <v>585</v>
      </c>
      <c r="B40" s="22" t="s">
        <v>177</v>
      </c>
      <c r="C40" s="2" t="s">
        <v>586</v>
      </c>
      <c r="D40" s="2" t="s">
        <v>587</v>
      </c>
      <c r="E40" s="43">
        <v>63</v>
      </c>
      <c r="F40" s="4" t="s">
        <v>29</v>
      </c>
      <c r="G40" s="2" t="s">
        <v>59</v>
      </c>
      <c r="H40" s="2" t="s">
        <v>596</v>
      </c>
      <c r="I40" s="2" t="s">
        <v>1814</v>
      </c>
      <c r="J40" s="2" t="s">
        <v>597</v>
      </c>
      <c r="K40" s="44" t="s">
        <v>64</v>
      </c>
    </row>
    <row r="41" spans="1:11" ht="120" customHeight="1">
      <c r="A41" s="22" t="s">
        <v>606</v>
      </c>
      <c r="B41" s="22" t="s">
        <v>179</v>
      </c>
      <c r="C41" s="2" t="s">
        <v>607</v>
      </c>
      <c r="D41" s="2" t="s">
        <v>608</v>
      </c>
      <c r="E41" s="43">
        <v>120</v>
      </c>
      <c r="F41" s="5" t="s">
        <v>31</v>
      </c>
      <c r="G41" s="2" t="s">
        <v>59</v>
      </c>
      <c r="H41" s="2" t="s">
        <v>618</v>
      </c>
      <c r="I41" s="2" t="s">
        <v>1815</v>
      </c>
      <c r="J41" s="2" t="s">
        <v>619</v>
      </c>
      <c r="K41" s="44" t="s">
        <v>64</v>
      </c>
    </row>
    <row r="42" spans="1:11" ht="91.05" customHeight="1">
      <c r="A42" s="22" t="s">
        <v>627</v>
      </c>
      <c r="B42" s="22" t="s">
        <v>177</v>
      </c>
      <c r="C42" s="2" t="s">
        <v>628</v>
      </c>
      <c r="D42" s="2" t="s">
        <v>629</v>
      </c>
      <c r="E42" s="43">
        <v>62</v>
      </c>
      <c r="F42" s="5" t="s">
        <v>31</v>
      </c>
      <c r="G42" s="2" t="s">
        <v>59</v>
      </c>
      <c r="H42" s="2" t="s">
        <v>638</v>
      </c>
      <c r="I42" s="2" t="s">
        <v>1816</v>
      </c>
      <c r="J42" s="2" t="s">
        <v>639</v>
      </c>
      <c r="K42" s="46" t="s">
        <v>66</v>
      </c>
    </row>
    <row r="43" spans="1:11" ht="91.05" customHeight="1">
      <c r="A43" s="22" t="s">
        <v>649</v>
      </c>
      <c r="B43" s="22" t="s">
        <v>177</v>
      </c>
      <c r="C43" s="2" t="s">
        <v>650</v>
      </c>
      <c r="D43" s="2" t="s">
        <v>651</v>
      </c>
      <c r="E43" s="43">
        <v>51.4</v>
      </c>
      <c r="F43" s="5" t="s">
        <v>31</v>
      </c>
      <c r="G43" s="2" t="s">
        <v>59</v>
      </c>
      <c r="H43" s="2" t="s">
        <v>658</v>
      </c>
      <c r="I43" s="2" t="s">
        <v>1817</v>
      </c>
      <c r="J43" s="2" t="s">
        <v>659</v>
      </c>
      <c r="K43" s="44" t="s">
        <v>64</v>
      </c>
    </row>
    <row r="44" spans="1:11" ht="120" customHeight="1">
      <c r="A44" s="22" t="s">
        <v>666</v>
      </c>
      <c r="B44" s="22" t="s">
        <v>177</v>
      </c>
      <c r="C44" s="2" t="s">
        <v>667</v>
      </c>
      <c r="D44" s="2" t="s">
        <v>668</v>
      </c>
      <c r="E44" s="43">
        <v>47.5</v>
      </c>
      <c r="F44" s="5" t="s">
        <v>31</v>
      </c>
      <c r="G44" s="2" t="s">
        <v>59</v>
      </c>
      <c r="H44" s="2" t="s">
        <v>677</v>
      </c>
      <c r="I44" s="2" t="s">
        <v>1818</v>
      </c>
      <c r="J44" s="2" t="s">
        <v>678</v>
      </c>
      <c r="K44" s="44" t="s">
        <v>64</v>
      </c>
    </row>
    <row r="45" spans="1:11" ht="160.05000000000001" customHeight="1">
      <c r="A45" s="32" t="s">
        <v>686</v>
      </c>
      <c r="B45" s="32" t="s">
        <v>185</v>
      </c>
      <c r="C45" s="33" t="s">
        <v>687</v>
      </c>
      <c r="D45" s="33" t="s">
        <v>688</v>
      </c>
      <c r="E45" s="36">
        <v>15</v>
      </c>
      <c r="F45" s="45" t="s">
        <v>35</v>
      </c>
      <c r="G45" s="9" t="s">
        <v>61</v>
      </c>
      <c r="H45" s="33" t="s">
        <v>699</v>
      </c>
      <c r="I45" s="33" t="s">
        <v>1819</v>
      </c>
      <c r="J45" s="33" t="s">
        <v>700</v>
      </c>
      <c r="K45" s="38" t="s">
        <v>66</v>
      </c>
    </row>
    <row r="46" spans="1:11" ht="105.45" customHeight="1">
      <c r="A46" s="32" t="s">
        <v>709</v>
      </c>
      <c r="B46" s="32" t="s">
        <v>191</v>
      </c>
      <c r="C46" s="33" t="s">
        <v>710</v>
      </c>
      <c r="D46" s="33" t="s">
        <v>711</v>
      </c>
      <c r="E46" s="36">
        <v>1000</v>
      </c>
      <c r="F46" s="51" t="s">
        <v>37</v>
      </c>
      <c r="G46" s="9" t="s">
        <v>61</v>
      </c>
      <c r="H46" s="33" t="s">
        <v>722</v>
      </c>
      <c r="I46" s="33" t="s">
        <v>1820</v>
      </c>
      <c r="J46" s="33" t="s">
        <v>723</v>
      </c>
      <c r="K46" s="52" t="s">
        <v>64</v>
      </c>
    </row>
    <row r="47" spans="1:11" ht="76.5" customHeight="1">
      <c r="A47" s="32" t="s">
        <v>733</v>
      </c>
      <c r="B47" s="32" t="s">
        <v>185</v>
      </c>
      <c r="C47" s="33" t="s">
        <v>734</v>
      </c>
      <c r="D47" s="33" t="s">
        <v>735</v>
      </c>
      <c r="E47" s="36">
        <v>800</v>
      </c>
      <c r="F47" s="51" t="s">
        <v>37</v>
      </c>
      <c r="G47" s="9" t="s">
        <v>61</v>
      </c>
      <c r="H47" s="33" t="s">
        <v>746</v>
      </c>
      <c r="I47" s="33" t="s">
        <v>1821</v>
      </c>
      <c r="J47" s="33" t="s">
        <v>747</v>
      </c>
      <c r="K47" s="52" t="s">
        <v>64</v>
      </c>
    </row>
    <row r="48" spans="1:11" ht="61.95" customHeight="1">
      <c r="A48" s="22" t="s">
        <v>757</v>
      </c>
      <c r="B48" s="22" t="s">
        <v>179</v>
      </c>
      <c r="C48" s="2" t="s">
        <v>758</v>
      </c>
      <c r="D48" s="2" t="s">
        <v>759</v>
      </c>
      <c r="E48" s="43">
        <v>200</v>
      </c>
      <c r="F48" s="8" t="s">
        <v>37</v>
      </c>
      <c r="G48" s="2" t="s">
        <v>59</v>
      </c>
      <c r="H48" s="2" t="s">
        <v>766</v>
      </c>
      <c r="I48" s="2" t="s">
        <v>1822</v>
      </c>
      <c r="J48" s="2" t="s">
        <v>767</v>
      </c>
      <c r="K48" s="44" t="s">
        <v>64</v>
      </c>
    </row>
    <row r="49" spans="1:11" ht="105.45" customHeight="1">
      <c r="A49" s="22" t="s">
        <v>775</v>
      </c>
      <c r="B49" s="22" t="s">
        <v>183</v>
      </c>
      <c r="C49" s="2" t="s">
        <v>776</v>
      </c>
      <c r="D49" s="2" t="s">
        <v>402</v>
      </c>
      <c r="E49" s="43">
        <v>192</v>
      </c>
      <c r="F49" s="8" t="s">
        <v>37</v>
      </c>
      <c r="G49" s="2" t="s">
        <v>59</v>
      </c>
      <c r="H49" s="2" t="s">
        <v>786</v>
      </c>
      <c r="I49" s="2" t="s">
        <v>1823</v>
      </c>
      <c r="J49" s="2" t="s">
        <v>787</v>
      </c>
      <c r="K49" s="46" t="s">
        <v>66</v>
      </c>
    </row>
    <row r="50" spans="1:11" ht="61.95" customHeight="1">
      <c r="A50" s="22" t="s">
        <v>796</v>
      </c>
      <c r="B50" s="22" t="s">
        <v>177</v>
      </c>
      <c r="C50" s="2" t="s">
        <v>797</v>
      </c>
      <c r="D50" s="2" t="s">
        <v>798</v>
      </c>
      <c r="E50" s="43">
        <v>81</v>
      </c>
      <c r="F50" s="8" t="s">
        <v>37</v>
      </c>
      <c r="G50" s="2" t="s">
        <v>59</v>
      </c>
      <c r="H50" s="2" t="s">
        <v>806</v>
      </c>
      <c r="I50" s="2" t="s">
        <v>1824</v>
      </c>
      <c r="J50" s="2" t="s">
        <v>807</v>
      </c>
      <c r="K50" s="44" t="s">
        <v>64</v>
      </c>
    </row>
    <row r="51" spans="1:11" ht="76.5" customHeight="1">
      <c r="A51" s="22" t="s">
        <v>815</v>
      </c>
      <c r="B51" s="22" t="s">
        <v>179</v>
      </c>
      <c r="C51" s="2" t="s">
        <v>816</v>
      </c>
      <c r="D51" s="2" t="s">
        <v>817</v>
      </c>
      <c r="E51" s="48" t="s">
        <v>307</v>
      </c>
      <c r="F51" s="8" t="s">
        <v>37</v>
      </c>
      <c r="G51" s="2" t="s">
        <v>59</v>
      </c>
      <c r="H51" s="2" t="s">
        <v>825</v>
      </c>
      <c r="I51" s="2" t="s">
        <v>1825</v>
      </c>
      <c r="J51" s="2" t="s">
        <v>826</v>
      </c>
      <c r="K51" s="46" t="s">
        <v>66</v>
      </c>
    </row>
    <row r="52" spans="1:11">
      <c r="A52" s="26"/>
      <c r="B52" s="26"/>
      <c r="C52" s="25" t="s">
        <v>1802</v>
      </c>
      <c r="D52" s="55">
        <f>COUNTIF(G39:G51,"主清單")</f>
        <v>10</v>
      </c>
      <c r="E52" s="30">
        <f>SUMIFS(E39:E51,G39:G51,"主清單")</f>
        <v>896.9</v>
      </c>
      <c r="F52" s="56">
        <f>COUNTIFS(E39:E51,"未公布",G39:G51,"主清單")</f>
        <v>1</v>
      </c>
      <c r="G52" s="26"/>
      <c r="H52" s="26"/>
      <c r="I52" s="26"/>
      <c r="J52" s="26"/>
      <c r="K52" s="26"/>
    </row>
    <row r="53" spans="1:11">
      <c r="A53" s="26"/>
      <c r="B53" s="26"/>
      <c r="C53" s="25" t="s">
        <v>1803</v>
      </c>
      <c r="D53" s="55">
        <f>COUNTIF(G39:G51,"觀察名單 (出租性待確認)")</f>
        <v>3</v>
      </c>
      <c r="E53" s="30">
        <f>SUMIFS(E39:E51,G39:G51,"觀察名單 (出租性待確認)")</f>
        <v>1815</v>
      </c>
      <c r="F53" s="56">
        <f>COUNTIFS(E39:E51,"未公布",G39:G51,"觀察名單 (出租性待確認)")</f>
        <v>0</v>
      </c>
      <c r="G53" s="26"/>
      <c r="H53" s="26"/>
      <c r="I53" s="26"/>
      <c r="J53" s="26"/>
      <c r="K53" s="26"/>
    </row>
    <row r="55" spans="1:11" ht="19.95" customHeight="1">
      <c r="A55" s="70" t="s">
        <v>47</v>
      </c>
      <c r="B55" s="71"/>
      <c r="C55" s="71"/>
      <c r="D55" s="71"/>
      <c r="E55" s="71"/>
      <c r="F55" s="71"/>
      <c r="G55" s="71"/>
      <c r="H55" s="71"/>
      <c r="I55" s="71"/>
      <c r="J55" s="71"/>
      <c r="K55" s="71"/>
    </row>
    <row r="56" spans="1:11" ht="105.45" customHeight="1">
      <c r="A56" s="22" t="s">
        <v>834</v>
      </c>
      <c r="B56" s="22" t="s">
        <v>177</v>
      </c>
      <c r="C56" s="2" t="s">
        <v>835</v>
      </c>
      <c r="D56" s="2" t="s">
        <v>836</v>
      </c>
      <c r="E56" s="43">
        <v>400</v>
      </c>
      <c r="F56" s="4" t="s">
        <v>29</v>
      </c>
      <c r="G56" s="2" t="s">
        <v>59</v>
      </c>
      <c r="H56" s="2" t="s">
        <v>845</v>
      </c>
      <c r="I56" s="2" t="s">
        <v>1826</v>
      </c>
      <c r="J56" s="2" t="s">
        <v>846</v>
      </c>
      <c r="K56" s="44" t="s">
        <v>64</v>
      </c>
    </row>
    <row r="57" spans="1:11" ht="76.5" customHeight="1">
      <c r="A57" s="22" t="s">
        <v>852</v>
      </c>
      <c r="B57" s="22" t="s">
        <v>179</v>
      </c>
      <c r="C57" s="2" t="s">
        <v>853</v>
      </c>
      <c r="D57" s="2" t="s">
        <v>402</v>
      </c>
      <c r="E57" s="43">
        <v>400</v>
      </c>
      <c r="F57" s="4" t="s">
        <v>29</v>
      </c>
      <c r="G57" s="2" t="s">
        <v>59</v>
      </c>
      <c r="H57" s="2" t="s">
        <v>861</v>
      </c>
      <c r="I57" s="2" t="s">
        <v>1827</v>
      </c>
      <c r="J57" s="2" t="s">
        <v>862</v>
      </c>
      <c r="K57" s="44" t="s">
        <v>64</v>
      </c>
    </row>
    <row r="58" spans="1:11" ht="47.55" customHeight="1">
      <c r="A58" s="22" t="s">
        <v>871</v>
      </c>
      <c r="B58" s="22" t="s">
        <v>179</v>
      </c>
      <c r="C58" s="2" t="s">
        <v>872</v>
      </c>
      <c r="D58" s="2" t="s">
        <v>530</v>
      </c>
      <c r="E58" s="43">
        <v>207</v>
      </c>
      <c r="F58" s="4" t="s">
        <v>29</v>
      </c>
      <c r="G58" s="2" t="s">
        <v>59</v>
      </c>
      <c r="H58" s="2" t="s">
        <v>881</v>
      </c>
      <c r="I58" s="2" t="s">
        <v>1828</v>
      </c>
      <c r="J58" s="2" t="s">
        <v>882</v>
      </c>
      <c r="K58" s="44" t="s">
        <v>64</v>
      </c>
    </row>
    <row r="59" spans="1:11" ht="61.95" customHeight="1">
      <c r="A59" s="22" t="s">
        <v>890</v>
      </c>
      <c r="B59" s="22" t="s">
        <v>179</v>
      </c>
      <c r="C59" s="2" t="s">
        <v>891</v>
      </c>
      <c r="D59" s="2" t="s">
        <v>530</v>
      </c>
      <c r="E59" s="43">
        <v>162</v>
      </c>
      <c r="F59" s="4" t="s">
        <v>29</v>
      </c>
      <c r="G59" s="2" t="s">
        <v>59</v>
      </c>
      <c r="H59" s="2" t="s">
        <v>307</v>
      </c>
      <c r="I59" s="2" t="s">
        <v>1829</v>
      </c>
      <c r="J59" s="2" t="s">
        <v>261</v>
      </c>
      <c r="K59" s="44" t="s">
        <v>64</v>
      </c>
    </row>
    <row r="60" spans="1:11" ht="91.05" customHeight="1">
      <c r="A60" s="22" t="s">
        <v>907</v>
      </c>
      <c r="B60" s="22" t="s">
        <v>179</v>
      </c>
      <c r="C60" s="2" t="s">
        <v>908</v>
      </c>
      <c r="D60" s="2" t="s">
        <v>530</v>
      </c>
      <c r="E60" s="43">
        <v>72</v>
      </c>
      <c r="F60" s="4" t="s">
        <v>29</v>
      </c>
      <c r="G60" s="2" t="s">
        <v>59</v>
      </c>
      <c r="H60" s="2" t="s">
        <v>912</v>
      </c>
      <c r="I60" s="2" t="s">
        <v>1830</v>
      </c>
      <c r="J60" s="2"/>
      <c r="K60" s="44" t="s">
        <v>64</v>
      </c>
    </row>
    <row r="61" spans="1:11" ht="91.05" customHeight="1">
      <c r="A61" s="22" t="s">
        <v>919</v>
      </c>
      <c r="B61" s="22" t="s">
        <v>187</v>
      </c>
      <c r="C61" s="2" t="s">
        <v>920</v>
      </c>
      <c r="D61" s="2" t="s">
        <v>921</v>
      </c>
      <c r="E61" s="43">
        <v>20</v>
      </c>
      <c r="F61" s="4" t="s">
        <v>29</v>
      </c>
      <c r="G61" s="2" t="s">
        <v>59</v>
      </c>
      <c r="H61" s="2" t="s">
        <v>307</v>
      </c>
      <c r="I61" s="2" t="s">
        <v>1829</v>
      </c>
      <c r="J61" s="2" t="s">
        <v>931</v>
      </c>
      <c r="K61" s="44" t="s">
        <v>64</v>
      </c>
    </row>
    <row r="62" spans="1:11" ht="105.45" customHeight="1">
      <c r="A62" s="22" t="s">
        <v>941</v>
      </c>
      <c r="B62" s="22" t="s">
        <v>181</v>
      </c>
      <c r="C62" s="2" t="s">
        <v>942</v>
      </c>
      <c r="D62" s="2" t="s">
        <v>943</v>
      </c>
      <c r="E62" s="43">
        <v>500</v>
      </c>
      <c r="F62" s="5" t="s">
        <v>31</v>
      </c>
      <c r="G62" s="2" t="s">
        <v>59</v>
      </c>
      <c r="H62" s="2" t="s">
        <v>953</v>
      </c>
      <c r="I62" s="2" t="s">
        <v>1831</v>
      </c>
      <c r="J62" s="2" t="s">
        <v>954</v>
      </c>
      <c r="K62" s="46" t="s">
        <v>66</v>
      </c>
    </row>
    <row r="63" spans="1:11" ht="61.95" customHeight="1">
      <c r="A63" s="32" t="s">
        <v>964</v>
      </c>
      <c r="B63" s="32" t="s">
        <v>189</v>
      </c>
      <c r="C63" s="33" t="s">
        <v>965</v>
      </c>
      <c r="D63" s="33" t="s">
        <v>441</v>
      </c>
      <c r="E63" s="36">
        <v>288</v>
      </c>
      <c r="F63" s="53" t="s">
        <v>31</v>
      </c>
      <c r="G63" s="9" t="s">
        <v>61</v>
      </c>
      <c r="H63" s="33" t="s">
        <v>975</v>
      </c>
      <c r="I63" s="33" t="s">
        <v>1832</v>
      </c>
      <c r="J63" s="33" t="s">
        <v>976</v>
      </c>
      <c r="K63" s="52" t="s">
        <v>64</v>
      </c>
    </row>
    <row r="64" spans="1:11" ht="148.94999999999999" customHeight="1">
      <c r="A64" s="22" t="s">
        <v>985</v>
      </c>
      <c r="B64" s="22" t="s">
        <v>179</v>
      </c>
      <c r="C64" s="2" t="s">
        <v>986</v>
      </c>
      <c r="D64" s="2" t="s">
        <v>987</v>
      </c>
      <c r="E64" s="43">
        <v>210</v>
      </c>
      <c r="F64" s="5" t="s">
        <v>31</v>
      </c>
      <c r="G64" s="2" t="s">
        <v>59</v>
      </c>
      <c r="H64" s="2" t="s">
        <v>994</v>
      </c>
      <c r="I64" s="2" t="s">
        <v>1833</v>
      </c>
      <c r="J64" s="2" t="s">
        <v>995</v>
      </c>
      <c r="K64" s="46" t="s">
        <v>66</v>
      </c>
    </row>
    <row r="65" spans="1:11" ht="105.45" customHeight="1">
      <c r="A65" s="22" t="s">
        <v>1002</v>
      </c>
      <c r="B65" s="22" t="s">
        <v>177</v>
      </c>
      <c r="C65" s="2" t="s">
        <v>1003</v>
      </c>
      <c r="D65" s="2" t="s">
        <v>1004</v>
      </c>
      <c r="E65" s="43">
        <v>135</v>
      </c>
      <c r="F65" s="5" t="s">
        <v>31</v>
      </c>
      <c r="G65" s="2" t="s">
        <v>59</v>
      </c>
      <c r="H65" s="2" t="s">
        <v>1011</v>
      </c>
      <c r="I65" s="2" t="s">
        <v>1834</v>
      </c>
      <c r="J65" s="2" t="s">
        <v>1012</v>
      </c>
      <c r="K65" s="44" t="s">
        <v>64</v>
      </c>
    </row>
    <row r="66" spans="1:11" ht="134.55000000000001" customHeight="1">
      <c r="A66" s="22" t="s">
        <v>1020</v>
      </c>
      <c r="B66" s="22" t="s">
        <v>177</v>
      </c>
      <c r="C66" s="2" t="s">
        <v>1021</v>
      </c>
      <c r="D66" s="2" t="s">
        <v>1004</v>
      </c>
      <c r="E66" s="43">
        <v>85</v>
      </c>
      <c r="F66" s="5" t="s">
        <v>31</v>
      </c>
      <c r="G66" s="2" t="s">
        <v>59</v>
      </c>
      <c r="H66" s="2" t="s">
        <v>1030</v>
      </c>
      <c r="I66" s="2" t="s">
        <v>1835</v>
      </c>
      <c r="J66" s="2" t="s">
        <v>1031</v>
      </c>
      <c r="K66" s="44" t="s">
        <v>64</v>
      </c>
    </row>
    <row r="67" spans="1:11" ht="105.45" customHeight="1">
      <c r="A67" s="22" t="s">
        <v>1038</v>
      </c>
      <c r="B67" s="22" t="s">
        <v>187</v>
      </c>
      <c r="C67" s="2" t="s">
        <v>1039</v>
      </c>
      <c r="D67" s="2" t="s">
        <v>1040</v>
      </c>
      <c r="E67" s="43">
        <v>84</v>
      </c>
      <c r="F67" s="5" t="s">
        <v>31</v>
      </c>
      <c r="G67" s="2" t="s">
        <v>59</v>
      </c>
      <c r="H67" s="2" t="s">
        <v>307</v>
      </c>
      <c r="I67" s="2" t="s">
        <v>1829</v>
      </c>
      <c r="J67" s="2" t="s">
        <v>1049</v>
      </c>
      <c r="K67" s="44" t="s">
        <v>64</v>
      </c>
    </row>
    <row r="68" spans="1:11" ht="91.05" customHeight="1">
      <c r="A68" s="22" t="s">
        <v>1059</v>
      </c>
      <c r="B68" s="22" t="s">
        <v>179</v>
      </c>
      <c r="C68" s="2" t="s">
        <v>1060</v>
      </c>
      <c r="D68" s="2" t="s">
        <v>1061</v>
      </c>
      <c r="E68" s="43">
        <v>80</v>
      </c>
      <c r="F68" s="5" t="s">
        <v>31</v>
      </c>
      <c r="G68" s="2" t="s">
        <v>59</v>
      </c>
      <c r="H68" s="2" t="s">
        <v>307</v>
      </c>
      <c r="I68" s="2" t="s">
        <v>1829</v>
      </c>
      <c r="J68" s="2" t="s">
        <v>261</v>
      </c>
      <c r="K68" s="44" t="s">
        <v>64</v>
      </c>
    </row>
    <row r="69" spans="1:11" ht="76.5" customHeight="1">
      <c r="A69" s="22" t="s">
        <v>1073</v>
      </c>
      <c r="B69" s="22" t="s">
        <v>177</v>
      </c>
      <c r="C69" s="2" t="s">
        <v>1074</v>
      </c>
      <c r="D69" s="2" t="s">
        <v>568</v>
      </c>
      <c r="E69" s="43">
        <v>68</v>
      </c>
      <c r="F69" s="5" t="s">
        <v>31</v>
      </c>
      <c r="G69" s="2" t="s">
        <v>59</v>
      </c>
      <c r="H69" s="2" t="s">
        <v>1082</v>
      </c>
      <c r="I69" s="2" t="s">
        <v>1836</v>
      </c>
      <c r="J69" s="2" t="s">
        <v>1083</v>
      </c>
      <c r="K69" s="44" t="s">
        <v>64</v>
      </c>
    </row>
    <row r="70" spans="1:11" ht="105.45" customHeight="1">
      <c r="A70" s="22" t="s">
        <v>1091</v>
      </c>
      <c r="B70" s="22" t="s">
        <v>177</v>
      </c>
      <c r="C70" s="2" t="s">
        <v>1092</v>
      </c>
      <c r="D70" s="2" t="s">
        <v>1093</v>
      </c>
      <c r="E70" s="43">
        <v>45</v>
      </c>
      <c r="F70" s="5" t="s">
        <v>31</v>
      </c>
      <c r="G70" s="2" t="s">
        <v>59</v>
      </c>
      <c r="H70" s="2" t="s">
        <v>1103</v>
      </c>
      <c r="I70" s="2" t="s">
        <v>1837</v>
      </c>
      <c r="J70" s="2" t="s">
        <v>1104</v>
      </c>
      <c r="K70" s="44" t="s">
        <v>64</v>
      </c>
    </row>
    <row r="71" spans="1:11" ht="76.5" customHeight="1">
      <c r="A71" s="22" t="s">
        <v>1111</v>
      </c>
      <c r="B71" s="22" t="s">
        <v>177</v>
      </c>
      <c r="C71" s="2" t="s">
        <v>1112</v>
      </c>
      <c r="D71" s="2" t="s">
        <v>1113</v>
      </c>
      <c r="E71" s="43">
        <v>34.299999999999997</v>
      </c>
      <c r="F71" s="5" t="s">
        <v>31</v>
      </c>
      <c r="G71" s="2" t="s">
        <v>59</v>
      </c>
      <c r="H71" s="2" t="s">
        <v>1118</v>
      </c>
      <c r="I71" s="2" t="s">
        <v>1838</v>
      </c>
      <c r="J71" s="2" t="s">
        <v>1119</v>
      </c>
      <c r="K71" s="44" t="s">
        <v>64</v>
      </c>
    </row>
    <row r="72" spans="1:11" ht="47.55" customHeight="1">
      <c r="A72" s="32" t="s">
        <v>1124</v>
      </c>
      <c r="B72" s="32" t="s">
        <v>177</v>
      </c>
      <c r="C72" s="33" t="s">
        <v>1125</v>
      </c>
      <c r="D72" s="33" t="s">
        <v>1126</v>
      </c>
      <c r="E72" s="36">
        <v>31.2</v>
      </c>
      <c r="F72" s="53" t="s">
        <v>31</v>
      </c>
      <c r="G72" s="9" t="s">
        <v>61</v>
      </c>
      <c r="H72" s="33" t="s">
        <v>1137</v>
      </c>
      <c r="I72" s="33" t="s">
        <v>1839</v>
      </c>
      <c r="J72" s="33" t="s">
        <v>1138</v>
      </c>
      <c r="K72" s="38" t="s">
        <v>66</v>
      </c>
    </row>
    <row r="73" spans="1:11" ht="91.05" customHeight="1">
      <c r="A73" s="22" t="s">
        <v>1146</v>
      </c>
      <c r="B73" s="22" t="s">
        <v>177</v>
      </c>
      <c r="C73" s="2" t="s">
        <v>1147</v>
      </c>
      <c r="D73" s="2" t="s">
        <v>1148</v>
      </c>
      <c r="E73" s="43">
        <v>20</v>
      </c>
      <c r="F73" s="5" t="s">
        <v>31</v>
      </c>
      <c r="G73" s="2" t="s">
        <v>59</v>
      </c>
      <c r="H73" s="2" t="s">
        <v>307</v>
      </c>
      <c r="I73" s="2" t="s">
        <v>1829</v>
      </c>
      <c r="J73" s="2" t="s">
        <v>261</v>
      </c>
      <c r="K73" s="44" t="s">
        <v>64</v>
      </c>
    </row>
    <row r="74" spans="1:11" ht="61.95" customHeight="1">
      <c r="A74" s="32" t="s">
        <v>1164</v>
      </c>
      <c r="B74" s="32" t="s">
        <v>185</v>
      </c>
      <c r="C74" s="33" t="s">
        <v>1165</v>
      </c>
      <c r="D74" s="33" t="s">
        <v>1166</v>
      </c>
      <c r="E74" s="36">
        <v>8</v>
      </c>
      <c r="F74" s="53" t="s">
        <v>31</v>
      </c>
      <c r="G74" s="9" t="s">
        <v>61</v>
      </c>
      <c r="H74" s="33" t="s">
        <v>307</v>
      </c>
      <c r="I74" s="33" t="s">
        <v>1829</v>
      </c>
      <c r="J74" s="33" t="s">
        <v>1176</v>
      </c>
      <c r="K74" s="47" t="s">
        <v>68</v>
      </c>
    </row>
    <row r="75" spans="1:11" ht="61.95" customHeight="1">
      <c r="A75" s="22" t="s">
        <v>1183</v>
      </c>
      <c r="B75" s="22" t="s">
        <v>177</v>
      </c>
      <c r="C75" s="2" t="s">
        <v>1184</v>
      </c>
      <c r="D75" s="2" t="s">
        <v>318</v>
      </c>
      <c r="E75" s="48" t="s">
        <v>307</v>
      </c>
      <c r="F75" s="5" t="s">
        <v>31</v>
      </c>
      <c r="G75" s="2" t="s">
        <v>59</v>
      </c>
      <c r="H75" s="2" t="s">
        <v>1189</v>
      </c>
      <c r="I75" s="2" t="s">
        <v>1840</v>
      </c>
      <c r="J75" s="2" t="s">
        <v>1190</v>
      </c>
      <c r="K75" s="46" t="s">
        <v>66</v>
      </c>
    </row>
    <row r="76" spans="1:11" ht="61.95" customHeight="1">
      <c r="A76" s="32" t="s">
        <v>1197</v>
      </c>
      <c r="B76" s="32" t="s">
        <v>179</v>
      </c>
      <c r="C76" s="33" t="s">
        <v>1198</v>
      </c>
      <c r="D76" s="33" t="s">
        <v>1199</v>
      </c>
      <c r="E76" s="54" t="s">
        <v>307</v>
      </c>
      <c r="F76" s="53" t="s">
        <v>31</v>
      </c>
      <c r="G76" s="9" t="s">
        <v>61</v>
      </c>
      <c r="H76" s="33" t="s">
        <v>307</v>
      </c>
      <c r="I76" s="33" t="s">
        <v>1829</v>
      </c>
      <c r="J76" s="33" t="s">
        <v>261</v>
      </c>
      <c r="K76" s="47" t="s">
        <v>68</v>
      </c>
    </row>
    <row r="77" spans="1:11" ht="61.95" customHeight="1">
      <c r="A77" s="32" t="s">
        <v>1215</v>
      </c>
      <c r="B77" s="32" t="s">
        <v>179</v>
      </c>
      <c r="C77" s="33" t="s">
        <v>1216</v>
      </c>
      <c r="D77" s="33" t="s">
        <v>1217</v>
      </c>
      <c r="E77" s="54" t="s">
        <v>307</v>
      </c>
      <c r="F77" s="53" t="s">
        <v>31</v>
      </c>
      <c r="G77" s="9" t="s">
        <v>61</v>
      </c>
      <c r="H77" s="33" t="s">
        <v>307</v>
      </c>
      <c r="I77" s="33" t="s">
        <v>1829</v>
      </c>
      <c r="J77" s="33" t="s">
        <v>261</v>
      </c>
      <c r="K77" s="52" t="s">
        <v>64</v>
      </c>
    </row>
    <row r="78" spans="1:11" ht="61.95" customHeight="1">
      <c r="A78" s="32" t="s">
        <v>1230</v>
      </c>
      <c r="B78" s="32" t="s">
        <v>179</v>
      </c>
      <c r="C78" s="33" t="s">
        <v>1231</v>
      </c>
      <c r="D78" s="33" t="s">
        <v>1232</v>
      </c>
      <c r="E78" s="54" t="s">
        <v>307</v>
      </c>
      <c r="F78" s="53" t="s">
        <v>31</v>
      </c>
      <c r="G78" s="9" t="s">
        <v>61</v>
      </c>
      <c r="H78" s="33" t="s">
        <v>307</v>
      </c>
      <c r="I78" s="33" t="s">
        <v>1829</v>
      </c>
      <c r="J78" s="33" t="s">
        <v>261</v>
      </c>
      <c r="K78" s="47" t="s">
        <v>68</v>
      </c>
    </row>
    <row r="79" spans="1:11" ht="160.05000000000001" customHeight="1">
      <c r="A79" s="22" t="s">
        <v>1246</v>
      </c>
      <c r="B79" s="22" t="s">
        <v>181</v>
      </c>
      <c r="C79" s="2" t="s">
        <v>1247</v>
      </c>
      <c r="D79" s="2" t="s">
        <v>1248</v>
      </c>
      <c r="E79" s="43">
        <v>1440</v>
      </c>
      <c r="F79" s="8" t="s">
        <v>37</v>
      </c>
      <c r="G79" s="2" t="s">
        <v>59</v>
      </c>
      <c r="H79" s="2" t="s">
        <v>1257</v>
      </c>
      <c r="I79" s="2" t="s">
        <v>1841</v>
      </c>
      <c r="J79" s="2" t="s">
        <v>1258</v>
      </c>
      <c r="K79" s="44" t="s">
        <v>64</v>
      </c>
    </row>
    <row r="80" spans="1:11" ht="61.95" customHeight="1">
      <c r="A80" s="22" t="s">
        <v>1268</v>
      </c>
      <c r="B80" s="22" t="s">
        <v>177</v>
      </c>
      <c r="C80" s="2" t="s">
        <v>1269</v>
      </c>
      <c r="D80" s="2" t="s">
        <v>249</v>
      </c>
      <c r="E80" s="43">
        <v>1400</v>
      </c>
      <c r="F80" s="8" t="s">
        <v>37</v>
      </c>
      <c r="G80" s="2" t="s">
        <v>59</v>
      </c>
      <c r="H80" s="2" t="s">
        <v>307</v>
      </c>
      <c r="I80" s="2" t="s">
        <v>1829</v>
      </c>
      <c r="J80" s="2" t="s">
        <v>261</v>
      </c>
      <c r="K80" s="44" t="s">
        <v>64</v>
      </c>
    </row>
    <row r="81" spans="1:11" ht="76.5" customHeight="1">
      <c r="A81" s="22" t="s">
        <v>1286</v>
      </c>
      <c r="B81" s="22" t="s">
        <v>177</v>
      </c>
      <c r="C81" s="2" t="s">
        <v>1287</v>
      </c>
      <c r="D81" s="2" t="s">
        <v>1288</v>
      </c>
      <c r="E81" s="43">
        <v>1000</v>
      </c>
      <c r="F81" s="8" t="s">
        <v>37</v>
      </c>
      <c r="G81" s="2" t="s">
        <v>59</v>
      </c>
      <c r="H81" s="2" t="s">
        <v>307</v>
      </c>
      <c r="I81" s="2" t="s">
        <v>1829</v>
      </c>
      <c r="J81" s="2" t="s">
        <v>261</v>
      </c>
      <c r="K81" s="44" t="s">
        <v>64</v>
      </c>
    </row>
    <row r="82" spans="1:11" ht="134.55000000000001" customHeight="1">
      <c r="A82" s="22" t="s">
        <v>1304</v>
      </c>
      <c r="B82" s="22" t="s">
        <v>177</v>
      </c>
      <c r="C82" s="2" t="s">
        <v>1305</v>
      </c>
      <c r="D82" s="2" t="s">
        <v>530</v>
      </c>
      <c r="E82" s="43">
        <v>612</v>
      </c>
      <c r="F82" s="8" t="s">
        <v>37</v>
      </c>
      <c r="G82" s="2" t="s">
        <v>59</v>
      </c>
      <c r="H82" s="2" t="s">
        <v>1312</v>
      </c>
      <c r="I82" s="2" t="s">
        <v>1842</v>
      </c>
      <c r="J82" s="2" t="s">
        <v>1313</v>
      </c>
      <c r="K82" s="44" t="s">
        <v>64</v>
      </c>
    </row>
    <row r="83" spans="1:11" ht="76.5" customHeight="1">
      <c r="A83" s="22" t="s">
        <v>1321</v>
      </c>
      <c r="B83" s="22" t="s">
        <v>177</v>
      </c>
      <c r="C83" s="2" t="s">
        <v>1322</v>
      </c>
      <c r="D83" s="2" t="s">
        <v>1323</v>
      </c>
      <c r="E83" s="43">
        <v>540</v>
      </c>
      <c r="F83" s="8" t="s">
        <v>37</v>
      </c>
      <c r="G83" s="2" t="s">
        <v>59</v>
      </c>
      <c r="H83" s="2" t="s">
        <v>1332</v>
      </c>
      <c r="I83" s="2" t="s">
        <v>1843</v>
      </c>
      <c r="J83" s="2" t="s">
        <v>1333</v>
      </c>
      <c r="K83" s="44" t="s">
        <v>64</v>
      </c>
    </row>
    <row r="84" spans="1:11" ht="91.05" customHeight="1">
      <c r="A84" s="22" t="s">
        <v>1340</v>
      </c>
      <c r="B84" s="22" t="s">
        <v>179</v>
      </c>
      <c r="C84" s="2" t="s">
        <v>1341</v>
      </c>
      <c r="D84" s="2" t="s">
        <v>1342</v>
      </c>
      <c r="E84" s="43">
        <v>488</v>
      </c>
      <c r="F84" s="8" t="s">
        <v>37</v>
      </c>
      <c r="G84" s="2" t="s">
        <v>59</v>
      </c>
      <c r="H84" s="2" t="s">
        <v>307</v>
      </c>
      <c r="I84" s="2" t="s">
        <v>1829</v>
      </c>
      <c r="J84" s="2" t="s">
        <v>1352</v>
      </c>
      <c r="K84" s="44" t="s">
        <v>64</v>
      </c>
    </row>
    <row r="85" spans="1:11" ht="33" customHeight="1">
      <c r="A85" s="22" t="s">
        <v>1359</v>
      </c>
      <c r="B85" s="22" t="s">
        <v>177</v>
      </c>
      <c r="C85" s="2" t="s">
        <v>1360</v>
      </c>
      <c r="D85" s="2" t="s">
        <v>380</v>
      </c>
      <c r="E85" s="43">
        <v>450</v>
      </c>
      <c r="F85" s="8" t="s">
        <v>37</v>
      </c>
      <c r="G85" s="2" t="s">
        <v>59</v>
      </c>
      <c r="H85" s="2" t="s">
        <v>1367</v>
      </c>
      <c r="I85" s="2" t="s">
        <v>1844</v>
      </c>
      <c r="J85" s="2" t="s">
        <v>1368</v>
      </c>
      <c r="K85" s="44" t="s">
        <v>64</v>
      </c>
    </row>
    <row r="86" spans="1:11" ht="105.45" customHeight="1">
      <c r="A86" s="22" t="s">
        <v>1375</v>
      </c>
      <c r="B86" s="22" t="s">
        <v>179</v>
      </c>
      <c r="C86" s="2" t="s">
        <v>1376</v>
      </c>
      <c r="D86" s="2" t="s">
        <v>1377</v>
      </c>
      <c r="E86" s="43">
        <v>400</v>
      </c>
      <c r="F86" s="8" t="s">
        <v>37</v>
      </c>
      <c r="G86" s="2" t="s">
        <v>59</v>
      </c>
      <c r="H86" s="2" t="s">
        <v>307</v>
      </c>
      <c r="I86" s="2" t="s">
        <v>1829</v>
      </c>
      <c r="J86" s="2" t="s">
        <v>641</v>
      </c>
      <c r="K86" s="44" t="s">
        <v>64</v>
      </c>
    </row>
    <row r="87" spans="1:11" ht="61.95" customHeight="1">
      <c r="A87" s="22" t="s">
        <v>1391</v>
      </c>
      <c r="B87" s="22" t="s">
        <v>177</v>
      </c>
      <c r="C87" s="2" t="s">
        <v>1392</v>
      </c>
      <c r="D87" s="2" t="s">
        <v>1393</v>
      </c>
      <c r="E87" s="43">
        <v>348</v>
      </c>
      <c r="F87" s="8" t="s">
        <v>37</v>
      </c>
      <c r="G87" s="2" t="s">
        <v>59</v>
      </c>
      <c r="H87" s="2" t="s">
        <v>1400</v>
      </c>
      <c r="I87" s="2" t="s">
        <v>1845</v>
      </c>
      <c r="J87" s="2" t="s">
        <v>1401</v>
      </c>
      <c r="K87" s="44" t="s">
        <v>64</v>
      </c>
    </row>
    <row r="88" spans="1:11" ht="76.5" customHeight="1">
      <c r="A88" s="22" t="s">
        <v>1409</v>
      </c>
      <c r="B88" s="22" t="s">
        <v>177</v>
      </c>
      <c r="C88" s="2" t="s">
        <v>1410</v>
      </c>
      <c r="D88" s="2" t="s">
        <v>1411</v>
      </c>
      <c r="E88" s="43">
        <v>342</v>
      </c>
      <c r="F88" s="8" t="s">
        <v>37</v>
      </c>
      <c r="G88" s="2" t="s">
        <v>59</v>
      </c>
      <c r="H88" s="2" t="s">
        <v>1416</v>
      </c>
      <c r="I88" s="2" t="s">
        <v>1846</v>
      </c>
      <c r="J88" s="2" t="s">
        <v>807</v>
      </c>
      <c r="K88" s="44" t="s">
        <v>64</v>
      </c>
    </row>
    <row r="89" spans="1:11" ht="76.5" customHeight="1">
      <c r="A89" s="22" t="s">
        <v>1424</v>
      </c>
      <c r="B89" s="22" t="s">
        <v>179</v>
      </c>
      <c r="C89" s="2" t="s">
        <v>1425</v>
      </c>
      <c r="D89" s="2" t="s">
        <v>1426</v>
      </c>
      <c r="E89" s="43">
        <v>336</v>
      </c>
      <c r="F89" s="8" t="s">
        <v>37</v>
      </c>
      <c r="G89" s="2" t="s">
        <v>59</v>
      </c>
      <c r="H89" s="2" t="s">
        <v>1434</v>
      </c>
      <c r="I89" s="2" t="s">
        <v>1847</v>
      </c>
      <c r="J89" s="2" t="s">
        <v>1435</v>
      </c>
      <c r="K89" s="44" t="s">
        <v>64</v>
      </c>
    </row>
    <row r="90" spans="1:11" ht="61.95" customHeight="1">
      <c r="A90" s="22" t="s">
        <v>1442</v>
      </c>
      <c r="B90" s="22" t="s">
        <v>179</v>
      </c>
      <c r="C90" s="2" t="s">
        <v>1443</v>
      </c>
      <c r="D90" s="2" t="s">
        <v>1444</v>
      </c>
      <c r="E90" s="43">
        <v>250</v>
      </c>
      <c r="F90" s="8" t="s">
        <v>37</v>
      </c>
      <c r="G90" s="2" t="s">
        <v>59</v>
      </c>
      <c r="H90" s="2" t="s">
        <v>307</v>
      </c>
      <c r="I90" s="2" t="s">
        <v>1829</v>
      </c>
      <c r="J90" s="2" t="s">
        <v>261</v>
      </c>
      <c r="K90" s="44" t="s">
        <v>64</v>
      </c>
    </row>
    <row r="91" spans="1:11" ht="76.5" customHeight="1">
      <c r="A91" s="22" t="s">
        <v>1457</v>
      </c>
      <c r="B91" s="22" t="s">
        <v>179</v>
      </c>
      <c r="C91" s="2" t="s">
        <v>1458</v>
      </c>
      <c r="D91" s="2" t="s">
        <v>1459</v>
      </c>
      <c r="E91" s="43">
        <v>250</v>
      </c>
      <c r="F91" s="8" t="s">
        <v>37</v>
      </c>
      <c r="G91" s="2" t="s">
        <v>59</v>
      </c>
      <c r="H91" s="2" t="s">
        <v>307</v>
      </c>
      <c r="I91" s="2" t="s">
        <v>1829</v>
      </c>
      <c r="J91" s="2" t="s">
        <v>261</v>
      </c>
      <c r="K91" s="44" t="s">
        <v>64</v>
      </c>
    </row>
    <row r="92" spans="1:11" ht="61.95" customHeight="1">
      <c r="A92" s="22" t="s">
        <v>1471</v>
      </c>
      <c r="B92" s="22" t="s">
        <v>179</v>
      </c>
      <c r="C92" s="2" t="s">
        <v>1472</v>
      </c>
      <c r="D92" s="2" t="s">
        <v>1473</v>
      </c>
      <c r="E92" s="43">
        <v>240</v>
      </c>
      <c r="F92" s="8" t="s">
        <v>37</v>
      </c>
      <c r="G92" s="2" t="s">
        <v>59</v>
      </c>
      <c r="H92" s="2" t="s">
        <v>1482</v>
      </c>
      <c r="I92" s="2" t="s">
        <v>1848</v>
      </c>
      <c r="J92" s="2" t="s">
        <v>1483</v>
      </c>
      <c r="K92" s="44" t="s">
        <v>64</v>
      </c>
    </row>
    <row r="93" spans="1:11" ht="33" customHeight="1">
      <c r="A93" s="22" t="s">
        <v>1491</v>
      </c>
      <c r="B93" s="22" t="s">
        <v>177</v>
      </c>
      <c r="C93" s="2" t="s">
        <v>1492</v>
      </c>
      <c r="D93" s="2" t="s">
        <v>1493</v>
      </c>
      <c r="E93" s="43">
        <v>169</v>
      </c>
      <c r="F93" s="8" t="s">
        <v>37</v>
      </c>
      <c r="G93" s="2" t="s">
        <v>59</v>
      </c>
      <c r="H93" s="2" t="s">
        <v>1499</v>
      </c>
      <c r="I93" s="2" t="s">
        <v>1849</v>
      </c>
      <c r="J93" s="2" t="s">
        <v>1368</v>
      </c>
      <c r="K93" s="44" t="s">
        <v>64</v>
      </c>
    </row>
    <row r="94" spans="1:11" ht="47.55" customHeight="1">
      <c r="A94" s="22" t="s">
        <v>1507</v>
      </c>
      <c r="B94" s="22" t="s">
        <v>177</v>
      </c>
      <c r="C94" s="2" t="s">
        <v>1508</v>
      </c>
      <c r="D94" s="2" t="s">
        <v>1509</v>
      </c>
      <c r="E94" s="43">
        <v>144</v>
      </c>
      <c r="F94" s="8" t="s">
        <v>37</v>
      </c>
      <c r="G94" s="2" t="s">
        <v>59</v>
      </c>
      <c r="H94" s="2" t="s">
        <v>307</v>
      </c>
      <c r="I94" s="2" t="s">
        <v>1829</v>
      </c>
      <c r="J94" s="2" t="s">
        <v>261</v>
      </c>
      <c r="K94" s="44" t="s">
        <v>64</v>
      </c>
    </row>
    <row r="95" spans="1:11" ht="105.45" customHeight="1">
      <c r="A95" s="32" t="s">
        <v>1520</v>
      </c>
      <c r="B95" s="32" t="s">
        <v>177</v>
      </c>
      <c r="C95" s="33" t="s">
        <v>1521</v>
      </c>
      <c r="D95" s="33" t="s">
        <v>1522</v>
      </c>
      <c r="E95" s="36">
        <v>140</v>
      </c>
      <c r="F95" s="51" t="s">
        <v>37</v>
      </c>
      <c r="G95" s="9" t="s">
        <v>61</v>
      </c>
      <c r="H95" s="33" t="s">
        <v>307</v>
      </c>
      <c r="I95" s="33" t="s">
        <v>1829</v>
      </c>
      <c r="J95" s="33" t="s">
        <v>641</v>
      </c>
      <c r="K95" s="38" t="s">
        <v>66</v>
      </c>
    </row>
    <row r="96" spans="1:11" ht="76.5" customHeight="1">
      <c r="A96" s="22" t="s">
        <v>1533</v>
      </c>
      <c r="B96" s="22" t="s">
        <v>177</v>
      </c>
      <c r="C96" s="2" t="s">
        <v>1534</v>
      </c>
      <c r="D96" s="2" t="s">
        <v>530</v>
      </c>
      <c r="E96" s="43">
        <v>134.4</v>
      </c>
      <c r="F96" s="8" t="s">
        <v>37</v>
      </c>
      <c r="G96" s="2" t="s">
        <v>59</v>
      </c>
      <c r="H96" s="2" t="s">
        <v>1541</v>
      </c>
      <c r="I96" s="2" t="s">
        <v>1850</v>
      </c>
      <c r="J96" s="2" t="s">
        <v>1542</v>
      </c>
      <c r="K96" s="44" t="s">
        <v>64</v>
      </c>
    </row>
    <row r="97" spans="1:11" ht="76.5" customHeight="1">
      <c r="A97" s="22" t="s">
        <v>1547</v>
      </c>
      <c r="B97" s="22" t="s">
        <v>177</v>
      </c>
      <c r="C97" s="2" t="s">
        <v>1548</v>
      </c>
      <c r="D97" s="2" t="s">
        <v>1549</v>
      </c>
      <c r="E97" s="43">
        <v>96</v>
      </c>
      <c r="F97" s="8" t="s">
        <v>37</v>
      </c>
      <c r="G97" s="2" t="s">
        <v>59</v>
      </c>
      <c r="H97" s="2" t="s">
        <v>1553</v>
      </c>
      <c r="I97" s="2" t="s">
        <v>1851</v>
      </c>
      <c r="J97" s="2" t="s">
        <v>1554</v>
      </c>
      <c r="K97" s="44" t="s">
        <v>64</v>
      </c>
    </row>
    <row r="98" spans="1:11" ht="76.5" customHeight="1">
      <c r="A98" s="22" t="s">
        <v>1562</v>
      </c>
      <c r="B98" s="22" t="s">
        <v>177</v>
      </c>
      <c r="C98" s="2" t="s">
        <v>1563</v>
      </c>
      <c r="D98" s="2" t="s">
        <v>530</v>
      </c>
      <c r="E98" s="43">
        <v>90</v>
      </c>
      <c r="F98" s="8" t="s">
        <v>37</v>
      </c>
      <c r="G98" s="2" t="s">
        <v>59</v>
      </c>
      <c r="H98" s="2" t="s">
        <v>1567</v>
      </c>
      <c r="I98" s="2" t="s">
        <v>1852</v>
      </c>
      <c r="J98" s="2" t="s">
        <v>1568</v>
      </c>
      <c r="K98" s="44" t="s">
        <v>64</v>
      </c>
    </row>
    <row r="99" spans="1:11" ht="61.95" customHeight="1">
      <c r="A99" s="22" t="s">
        <v>1575</v>
      </c>
      <c r="B99" s="22" t="s">
        <v>177</v>
      </c>
      <c r="C99" s="2" t="s">
        <v>1576</v>
      </c>
      <c r="D99" s="2" t="s">
        <v>1577</v>
      </c>
      <c r="E99" s="43">
        <v>70</v>
      </c>
      <c r="F99" s="8" t="s">
        <v>37</v>
      </c>
      <c r="G99" s="2" t="s">
        <v>59</v>
      </c>
      <c r="H99" s="2" t="s">
        <v>1499</v>
      </c>
      <c r="I99" s="2" t="s">
        <v>1849</v>
      </c>
      <c r="J99" s="2" t="s">
        <v>1368</v>
      </c>
      <c r="K99" s="46" t="s">
        <v>66</v>
      </c>
    </row>
    <row r="100" spans="1:11" ht="61.95" customHeight="1">
      <c r="A100" s="32" t="s">
        <v>1588</v>
      </c>
      <c r="B100" s="32" t="s">
        <v>189</v>
      </c>
      <c r="C100" s="33" t="s">
        <v>1589</v>
      </c>
      <c r="D100" s="33" t="s">
        <v>441</v>
      </c>
      <c r="E100" s="36">
        <v>52</v>
      </c>
      <c r="F100" s="51" t="s">
        <v>37</v>
      </c>
      <c r="G100" s="9" t="s">
        <v>61</v>
      </c>
      <c r="H100" s="33" t="s">
        <v>1600</v>
      </c>
      <c r="I100" s="33" t="s">
        <v>1853</v>
      </c>
      <c r="J100" s="33" t="s">
        <v>976</v>
      </c>
      <c r="K100" s="52" t="s">
        <v>64</v>
      </c>
    </row>
    <row r="101" spans="1:11" ht="76.5" customHeight="1">
      <c r="A101" s="22" t="s">
        <v>1609</v>
      </c>
      <c r="B101" s="22" t="s">
        <v>179</v>
      </c>
      <c r="C101" s="2" t="s">
        <v>1610</v>
      </c>
      <c r="D101" s="2" t="s">
        <v>1611</v>
      </c>
      <c r="E101" s="43">
        <v>40</v>
      </c>
      <c r="F101" s="8" t="s">
        <v>37</v>
      </c>
      <c r="G101" s="2" t="s">
        <v>59</v>
      </c>
      <c r="H101" s="2" t="s">
        <v>307</v>
      </c>
      <c r="I101" s="2" t="s">
        <v>1829</v>
      </c>
      <c r="J101" s="2" t="s">
        <v>261</v>
      </c>
      <c r="K101" s="46" t="s">
        <v>66</v>
      </c>
    </row>
    <row r="102" spans="1:11" ht="105.45" customHeight="1">
      <c r="A102" s="32" t="s">
        <v>1627</v>
      </c>
      <c r="B102" s="32" t="s">
        <v>177</v>
      </c>
      <c r="C102" s="33" t="s">
        <v>1628</v>
      </c>
      <c r="D102" s="33" t="s">
        <v>1629</v>
      </c>
      <c r="E102" s="36">
        <v>38</v>
      </c>
      <c r="F102" s="51" t="s">
        <v>37</v>
      </c>
      <c r="G102" s="9" t="s">
        <v>61</v>
      </c>
      <c r="H102" s="33" t="s">
        <v>307</v>
      </c>
      <c r="I102" s="33" t="s">
        <v>1829</v>
      </c>
      <c r="J102" s="33" t="s">
        <v>261</v>
      </c>
      <c r="K102" s="38" t="s">
        <v>66</v>
      </c>
    </row>
    <row r="103" spans="1:11" ht="76.5" customHeight="1">
      <c r="A103" s="32" t="s">
        <v>1644</v>
      </c>
      <c r="B103" s="32" t="s">
        <v>181</v>
      </c>
      <c r="C103" s="33" t="s">
        <v>1645</v>
      </c>
      <c r="D103" s="33" t="s">
        <v>1646</v>
      </c>
      <c r="E103" s="54" t="s">
        <v>307</v>
      </c>
      <c r="F103" s="51" t="s">
        <v>37</v>
      </c>
      <c r="G103" s="9" t="s">
        <v>61</v>
      </c>
      <c r="H103" s="33" t="s">
        <v>307</v>
      </c>
      <c r="I103" s="33" t="s">
        <v>1829</v>
      </c>
      <c r="J103" s="33"/>
      <c r="K103" s="38" t="s">
        <v>66</v>
      </c>
    </row>
    <row r="104" spans="1:11" ht="105.45" customHeight="1">
      <c r="A104" s="32" t="s">
        <v>1660</v>
      </c>
      <c r="B104" s="32" t="s">
        <v>179</v>
      </c>
      <c r="C104" s="33" t="s">
        <v>1661</v>
      </c>
      <c r="D104" s="33" t="s">
        <v>1662</v>
      </c>
      <c r="E104" s="54" t="s">
        <v>307</v>
      </c>
      <c r="F104" s="51" t="s">
        <v>37</v>
      </c>
      <c r="G104" s="9" t="s">
        <v>61</v>
      </c>
      <c r="H104" s="33" t="s">
        <v>307</v>
      </c>
      <c r="I104" s="33" t="s">
        <v>1829</v>
      </c>
      <c r="J104" s="33"/>
      <c r="K104" s="47" t="s">
        <v>68</v>
      </c>
    </row>
    <row r="105" spans="1:11" ht="76.5" customHeight="1">
      <c r="A105" s="32" t="s">
        <v>1674</v>
      </c>
      <c r="B105" s="32" t="s">
        <v>179</v>
      </c>
      <c r="C105" s="33" t="s">
        <v>1675</v>
      </c>
      <c r="D105" s="33" t="s">
        <v>1676</v>
      </c>
      <c r="E105" s="54" t="s">
        <v>307</v>
      </c>
      <c r="F105" s="51" t="s">
        <v>37</v>
      </c>
      <c r="G105" s="9" t="s">
        <v>61</v>
      </c>
      <c r="H105" s="33" t="s">
        <v>307</v>
      </c>
      <c r="I105" s="33" t="s">
        <v>1829</v>
      </c>
      <c r="J105" s="33" t="s">
        <v>641</v>
      </c>
      <c r="K105" s="38" t="s">
        <v>66</v>
      </c>
    </row>
    <row r="106" spans="1:11" ht="47.55" customHeight="1">
      <c r="A106" s="22" t="s">
        <v>1690</v>
      </c>
      <c r="B106" s="22" t="s">
        <v>179</v>
      </c>
      <c r="C106" s="2" t="s">
        <v>1691</v>
      </c>
      <c r="D106" s="2" t="s">
        <v>530</v>
      </c>
      <c r="E106" s="48" t="s">
        <v>307</v>
      </c>
      <c r="F106" s="8" t="s">
        <v>37</v>
      </c>
      <c r="G106" s="2" t="s">
        <v>59</v>
      </c>
      <c r="H106" s="2" t="s">
        <v>1696</v>
      </c>
      <c r="I106" s="2" t="s">
        <v>1854</v>
      </c>
      <c r="J106" s="2" t="s">
        <v>1697</v>
      </c>
      <c r="K106" s="44" t="s">
        <v>64</v>
      </c>
    </row>
    <row r="107" spans="1:11">
      <c r="A107" s="26"/>
      <c r="B107" s="26"/>
      <c r="C107" s="25" t="s">
        <v>1802</v>
      </c>
      <c r="D107" s="55">
        <f>COUNTIF(G56:G106,"主清單")</f>
        <v>39</v>
      </c>
      <c r="E107" s="30">
        <f>SUMIFS(E56:E106,G56:G106,"主清單")</f>
        <v>11361.699999999999</v>
      </c>
      <c r="F107" s="56">
        <f>COUNTIFS(E56:E106,"未公布",G56:G106,"主清單")</f>
        <v>2</v>
      </c>
      <c r="G107" s="26"/>
      <c r="H107" s="26"/>
      <c r="I107" s="26"/>
      <c r="J107" s="26"/>
      <c r="K107" s="26"/>
    </row>
    <row r="108" spans="1:11">
      <c r="A108" s="26"/>
      <c r="B108" s="26"/>
      <c r="C108" s="25" t="s">
        <v>1803</v>
      </c>
      <c r="D108" s="55">
        <f>COUNTIF(G56:G106,"觀察名單 (出租性待確認)")</f>
        <v>12</v>
      </c>
      <c r="E108" s="30">
        <f>SUMIFS(E56:E106,G56:G106,"觀察名單 (出租性待確認)")</f>
        <v>557.20000000000005</v>
      </c>
      <c r="F108" s="56">
        <f>COUNTIFS(E56:E106,"未公布",G56:G106,"觀察名單 (出租性待確認)")</f>
        <v>6</v>
      </c>
      <c r="G108" s="26"/>
      <c r="H108" s="26"/>
      <c r="I108" s="26"/>
      <c r="J108" s="26"/>
      <c r="K108" s="26"/>
    </row>
    <row r="110" spans="1:11">
      <c r="A110" s="26"/>
      <c r="B110" s="26"/>
      <c r="C110" s="25" t="s">
        <v>1855</v>
      </c>
      <c r="D110" s="55">
        <f>SUMIF($C$12:$C$109,"小計（主清單）",D$12:D$109)</f>
        <v>60</v>
      </c>
      <c r="E110" s="30">
        <f>SUMIF($C$12:$C$109,"小計（主清單）",E$12:E$109)</f>
        <v>14195.599999999999</v>
      </c>
      <c r="F110" s="56">
        <f>SUMIF($C$12:$C$109,"小計（主清單）",F$12:F$109)</f>
        <v>4</v>
      </c>
      <c r="G110" s="26"/>
      <c r="H110" s="26"/>
      <c r="I110" s="26"/>
      <c r="J110" s="26"/>
      <c r="K110" s="26"/>
    </row>
    <row r="111" spans="1:11">
      <c r="A111" s="26"/>
      <c r="B111" s="26"/>
      <c r="C111" s="25" t="s">
        <v>1856</v>
      </c>
      <c r="D111" s="55">
        <f>SUMIF($C$12:$C$109,"觀察名單（另計，不含於小計）",D$12:D$109)</f>
        <v>19</v>
      </c>
      <c r="E111" s="30">
        <f>SUMIF($C$12:$C$109,"觀察名單（另計，不含於小計）",E$12:E$109)</f>
        <v>2899.2</v>
      </c>
      <c r="F111" s="56">
        <f>SUMIF($C$12:$C$109,"觀察名單（另計，不含於小計）",F$12:F$109)</f>
        <v>6</v>
      </c>
      <c r="G111" s="26"/>
      <c r="H111" s="26"/>
      <c r="I111" s="26"/>
      <c r="J111" s="26"/>
      <c r="K111" s="26"/>
    </row>
    <row r="112" spans="1:11">
      <c r="A112" s="26"/>
      <c r="B112" s="26"/>
      <c r="C112" s="25" t="s">
        <v>1857</v>
      </c>
      <c r="D112" s="55">
        <f>COUNTIF(專案清單!$R$2:$R$80,"主清單")</f>
        <v>60</v>
      </c>
      <c r="E112" s="30">
        <f>SUMIFS(專案清單!$M$2:$M$80,專案清單!$R$2:$R$80,"主清單")</f>
        <v>14195.6</v>
      </c>
      <c r="F112" s="56">
        <f>COUNTIFS(專案清單!$M$2:$M$80,"未公布",專案清單!$R$2:$R$80,"主清單")</f>
        <v>4</v>
      </c>
      <c r="G112" s="26"/>
      <c r="H112" s="26"/>
      <c r="I112" s="26"/>
      <c r="J112" s="26"/>
      <c r="K112" s="26"/>
    </row>
  </sheetData>
  <mergeCells count="13">
    <mergeCell ref="A2:K2"/>
    <mergeCell ref="A5:K5"/>
    <mergeCell ref="A32:K32"/>
    <mergeCell ref="A1:K1"/>
    <mergeCell ref="A9:K9"/>
    <mergeCell ref="A8:K8"/>
    <mergeCell ref="A6:K6"/>
    <mergeCell ref="A22:K22"/>
    <mergeCell ref="A12:K12"/>
    <mergeCell ref="A4:K4"/>
    <mergeCell ref="A55:K55"/>
    <mergeCell ref="A7:K7"/>
    <mergeCell ref="A38:K38"/>
  </mergeCells>
  <phoneticPr fontId="25" type="noConversion"/>
  <printOptions horizontalCentered="1"/>
  <pageMargins left="0.4" right="0.4" top="0.5" bottom="0.6" header="0.5" footer="0.5"/>
  <pageSetup paperSize="9" fitToHeight="0" orientation="landscape"/>
  <headerFooter>
    <oddFooter>&amp;C第 &amp;P 頁，共 &amp;N 頁</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D6A63C"/>
    <pageSetUpPr fitToPage="1"/>
  </sheetPr>
  <dimension ref="A1:K131"/>
  <sheetViews>
    <sheetView workbookViewId="0"/>
  </sheetViews>
  <sheetFormatPr defaultRowHeight="13.8"/>
  <cols>
    <col min="1" max="1" width="10" customWidth="1"/>
    <col min="2" max="2" width="13" customWidth="1"/>
    <col min="3" max="3" width="24" customWidth="1"/>
    <col min="4" max="4" width="16" customWidth="1"/>
    <col min="5" max="5" width="10" customWidth="1"/>
    <col min="6" max="6" width="16" customWidth="1"/>
    <col min="7" max="7" width="13" customWidth="1"/>
    <col min="8" max="8" width="8" customWidth="1"/>
    <col min="9" max="9" width="40" customWidth="1"/>
    <col min="10" max="11" width="34" customWidth="1"/>
  </cols>
  <sheetData>
    <row r="1" spans="1:11" ht="27.15" customHeight="1">
      <c r="A1" s="73" t="s">
        <v>20</v>
      </c>
      <c r="B1" s="71"/>
      <c r="C1" s="71"/>
      <c r="D1" s="71"/>
      <c r="E1" s="71"/>
      <c r="F1" s="71"/>
      <c r="G1" s="71"/>
      <c r="H1" s="71"/>
      <c r="I1" s="71"/>
      <c r="J1" s="71"/>
      <c r="K1" s="71"/>
    </row>
    <row r="2" spans="1:11" ht="18.45" customHeight="1">
      <c r="A2" s="72" t="s">
        <v>1858</v>
      </c>
      <c r="B2" s="71"/>
      <c r="C2" s="71"/>
      <c r="D2" s="71"/>
      <c r="E2" s="71"/>
      <c r="F2" s="71"/>
      <c r="G2" s="71"/>
      <c r="H2" s="71"/>
      <c r="I2" s="71"/>
      <c r="J2" s="71"/>
      <c r="K2" s="71"/>
    </row>
    <row r="4" spans="1:11" ht="22.05" customHeight="1">
      <c r="A4" s="70" t="s">
        <v>1859</v>
      </c>
      <c r="B4" s="71"/>
      <c r="C4" s="71"/>
      <c r="D4" s="71"/>
      <c r="E4" s="71"/>
      <c r="F4" s="71"/>
      <c r="G4" s="71"/>
      <c r="H4" s="71"/>
      <c r="I4" s="71"/>
      <c r="J4" s="71"/>
      <c r="K4" s="71"/>
    </row>
    <row r="5" spans="1:11" ht="24" customHeight="1">
      <c r="A5" s="57" t="s">
        <v>1860</v>
      </c>
      <c r="B5" s="84" t="s">
        <v>1861</v>
      </c>
      <c r="C5" s="82"/>
      <c r="D5" s="84" t="s">
        <v>1862</v>
      </c>
      <c r="E5" s="81"/>
      <c r="F5" s="81"/>
      <c r="G5" s="81"/>
      <c r="H5" s="81"/>
      <c r="I5" s="82"/>
      <c r="J5" s="84" t="s">
        <v>1863</v>
      </c>
      <c r="K5" s="82"/>
    </row>
    <row r="6" spans="1:11" ht="61.95" customHeight="1">
      <c r="A6" s="58">
        <v>1</v>
      </c>
      <c r="B6" s="83" t="s">
        <v>1864</v>
      </c>
      <c r="C6" s="82"/>
      <c r="D6" s="80" t="s">
        <v>1865</v>
      </c>
      <c r="E6" s="81"/>
      <c r="F6" s="81"/>
      <c r="G6" s="81"/>
      <c r="H6" s="81"/>
      <c r="I6" s="82"/>
      <c r="J6" s="80"/>
      <c r="K6" s="82"/>
    </row>
    <row r="7" spans="1:11" ht="33" customHeight="1">
      <c r="A7" s="58">
        <v>2</v>
      </c>
      <c r="B7" s="83" t="s">
        <v>1866</v>
      </c>
      <c r="C7" s="82"/>
      <c r="D7" s="80" t="s">
        <v>1867</v>
      </c>
      <c r="E7" s="81"/>
      <c r="F7" s="81"/>
      <c r="G7" s="81"/>
      <c r="H7" s="81"/>
      <c r="I7" s="82"/>
      <c r="J7" s="80"/>
      <c r="K7" s="82"/>
    </row>
    <row r="8" spans="1:11" ht="33" customHeight="1">
      <c r="A8" s="58">
        <v>3</v>
      </c>
      <c r="B8" s="83" t="s">
        <v>1868</v>
      </c>
      <c r="C8" s="82"/>
      <c r="D8" s="80" t="s">
        <v>1869</v>
      </c>
      <c r="E8" s="81"/>
      <c r="F8" s="81"/>
      <c r="G8" s="81"/>
      <c r="H8" s="81"/>
      <c r="I8" s="82"/>
      <c r="J8" s="80"/>
      <c r="K8" s="82"/>
    </row>
    <row r="9" spans="1:11" ht="33" customHeight="1">
      <c r="A9" s="58">
        <v>4</v>
      </c>
      <c r="B9" s="83" t="s">
        <v>1870</v>
      </c>
      <c r="C9" s="82"/>
      <c r="D9" s="80" t="s">
        <v>1871</v>
      </c>
      <c r="E9" s="81"/>
      <c r="F9" s="81"/>
      <c r="G9" s="81"/>
      <c r="H9" s="81"/>
      <c r="I9" s="82"/>
      <c r="J9" s="80"/>
      <c r="K9" s="82"/>
    </row>
    <row r="10" spans="1:11" ht="47.55" customHeight="1">
      <c r="A10" s="58">
        <v>5</v>
      </c>
      <c r="B10" s="83" t="s">
        <v>1872</v>
      </c>
      <c r="C10" s="82"/>
      <c r="D10" s="80" t="s">
        <v>1873</v>
      </c>
      <c r="E10" s="81"/>
      <c r="F10" s="81"/>
      <c r="G10" s="81"/>
      <c r="H10" s="81"/>
      <c r="I10" s="82"/>
      <c r="J10" s="80"/>
      <c r="K10" s="82"/>
    </row>
    <row r="11" spans="1:11" ht="47.55" customHeight="1">
      <c r="A11" s="58">
        <v>6</v>
      </c>
      <c r="B11" s="83" t="s">
        <v>1874</v>
      </c>
      <c r="C11" s="82"/>
      <c r="D11" s="80" t="s">
        <v>1875</v>
      </c>
      <c r="E11" s="81"/>
      <c r="F11" s="81"/>
      <c r="G11" s="81"/>
      <c r="H11" s="81"/>
      <c r="I11" s="82"/>
      <c r="J11" s="80"/>
      <c r="K11" s="82"/>
    </row>
    <row r="12" spans="1:11" ht="47.55" customHeight="1">
      <c r="A12" s="58">
        <v>7</v>
      </c>
      <c r="B12" s="83" t="s">
        <v>1876</v>
      </c>
      <c r="C12" s="82"/>
      <c r="D12" s="80" t="s">
        <v>1877</v>
      </c>
      <c r="E12" s="81"/>
      <c r="F12" s="81"/>
      <c r="G12" s="81"/>
      <c r="H12" s="81"/>
      <c r="I12" s="82"/>
      <c r="J12" s="80"/>
      <c r="K12" s="82"/>
    </row>
    <row r="13" spans="1:11" ht="33" customHeight="1">
      <c r="A13" s="58">
        <v>8</v>
      </c>
      <c r="B13" s="83" t="s">
        <v>1878</v>
      </c>
      <c r="C13" s="82"/>
      <c r="D13" s="80" t="s">
        <v>1879</v>
      </c>
      <c r="E13" s="81"/>
      <c r="F13" s="81"/>
      <c r="G13" s="81"/>
      <c r="H13" s="81"/>
      <c r="I13" s="82"/>
      <c r="J13" s="80"/>
      <c r="K13" s="82"/>
    </row>
    <row r="14" spans="1:11" ht="33" customHeight="1">
      <c r="A14" s="58">
        <v>9</v>
      </c>
      <c r="B14" s="83" t="s">
        <v>1880</v>
      </c>
      <c r="C14" s="82"/>
      <c r="D14" s="80" t="s">
        <v>1881</v>
      </c>
      <c r="E14" s="81"/>
      <c r="F14" s="81"/>
      <c r="G14" s="81"/>
      <c r="H14" s="81"/>
      <c r="I14" s="82"/>
      <c r="J14" s="80"/>
      <c r="K14" s="82"/>
    </row>
    <row r="15" spans="1:11" ht="33" customHeight="1">
      <c r="A15" s="58">
        <v>10</v>
      </c>
      <c r="B15" s="83" t="s">
        <v>1882</v>
      </c>
      <c r="C15" s="82"/>
      <c r="D15" s="80" t="s">
        <v>1883</v>
      </c>
      <c r="E15" s="81"/>
      <c r="F15" s="81"/>
      <c r="G15" s="81"/>
      <c r="H15" s="81"/>
      <c r="I15" s="82"/>
      <c r="J15" s="80"/>
      <c r="K15" s="82"/>
    </row>
    <row r="16" spans="1:11" ht="33" customHeight="1">
      <c r="A16" s="58">
        <v>11</v>
      </c>
      <c r="B16" s="83" t="s">
        <v>1884</v>
      </c>
      <c r="C16" s="82"/>
      <c r="D16" s="80" t="s">
        <v>1885</v>
      </c>
      <c r="E16" s="81"/>
      <c r="F16" s="81"/>
      <c r="G16" s="81"/>
      <c r="H16" s="81"/>
      <c r="I16" s="82"/>
      <c r="J16" s="80"/>
      <c r="K16" s="82"/>
    </row>
    <row r="17" spans="1:11" ht="33" customHeight="1">
      <c r="A17" s="58">
        <v>12</v>
      </c>
      <c r="B17" s="83" t="s">
        <v>1886</v>
      </c>
      <c r="C17" s="82"/>
      <c r="D17" s="80" t="s">
        <v>1887</v>
      </c>
      <c r="E17" s="81"/>
      <c r="F17" s="81"/>
      <c r="G17" s="81"/>
      <c r="H17" s="81"/>
      <c r="I17" s="82"/>
      <c r="J17" s="80"/>
      <c r="K17" s="82"/>
    </row>
    <row r="18" spans="1:11" ht="18.45" customHeight="1">
      <c r="A18" s="58">
        <v>13</v>
      </c>
      <c r="B18" s="83" t="s">
        <v>1888</v>
      </c>
      <c r="C18" s="82"/>
      <c r="D18" s="80" t="s">
        <v>1889</v>
      </c>
      <c r="E18" s="81"/>
      <c r="F18" s="81"/>
      <c r="G18" s="81"/>
      <c r="H18" s="81"/>
      <c r="I18" s="82"/>
      <c r="J18" s="80"/>
      <c r="K18" s="82"/>
    </row>
    <row r="19" spans="1:11" ht="33" customHeight="1">
      <c r="A19" s="58">
        <v>14</v>
      </c>
      <c r="B19" s="83" t="s">
        <v>1890</v>
      </c>
      <c r="C19" s="82"/>
      <c r="D19" s="80" t="s">
        <v>1891</v>
      </c>
      <c r="E19" s="81"/>
      <c r="F19" s="81"/>
      <c r="G19" s="81"/>
      <c r="H19" s="81"/>
      <c r="I19" s="82"/>
      <c r="J19" s="80"/>
      <c r="K19" s="82"/>
    </row>
    <row r="20" spans="1:11" ht="33" customHeight="1">
      <c r="A20" s="58">
        <v>15</v>
      </c>
      <c r="B20" s="83" t="s">
        <v>1892</v>
      </c>
      <c r="C20" s="82"/>
      <c r="D20" s="80" t="s">
        <v>1893</v>
      </c>
      <c r="E20" s="81"/>
      <c r="F20" s="81"/>
      <c r="G20" s="81"/>
      <c r="H20" s="81"/>
      <c r="I20" s="82"/>
      <c r="J20" s="80"/>
      <c r="K20" s="82"/>
    </row>
    <row r="22" spans="1:11" ht="22.05" customHeight="1">
      <c r="A22" s="70" t="s">
        <v>1894</v>
      </c>
      <c r="B22" s="71"/>
      <c r="C22" s="71"/>
      <c r="D22" s="71"/>
      <c r="E22" s="71"/>
      <c r="F22" s="71"/>
      <c r="G22" s="71"/>
      <c r="H22" s="71"/>
      <c r="I22" s="71"/>
      <c r="J22" s="71"/>
      <c r="K22" s="71"/>
    </row>
    <row r="23" spans="1:11" ht="31.95" customHeight="1">
      <c r="A23" s="20" t="s">
        <v>216</v>
      </c>
      <c r="B23" s="20" t="s">
        <v>173</v>
      </c>
      <c r="C23" s="20" t="s">
        <v>217</v>
      </c>
      <c r="D23" s="20" t="s">
        <v>218</v>
      </c>
      <c r="E23" s="20" t="s">
        <v>226</v>
      </c>
      <c r="F23" s="20" t="s">
        <v>101</v>
      </c>
      <c r="G23" s="20" t="s">
        <v>230</v>
      </c>
      <c r="H23" s="20" t="s">
        <v>103</v>
      </c>
      <c r="I23" s="20" t="s">
        <v>240</v>
      </c>
      <c r="J23" s="20" t="s">
        <v>233</v>
      </c>
      <c r="K23" s="20" t="s">
        <v>1704</v>
      </c>
    </row>
    <row r="24" spans="1:11" ht="160.05000000000001" customHeight="1">
      <c r="A24" s="32" t="s">
        <v>247</v>
      </c>
      <c r="B24" s="32" t="s">
        <v>179</v>
      </c>
      <c r="C24" s="33" t="s">
        <v>248</v>
      </c>
      <c r="D24" s="33" t="s">
        <v>249</v>
      </c>
      <c r="E24" s="36">
        <v>155</v>
      </c>
      <c r="F24" s="37" t="s">
        <v>33</v>
      </c>
      <c r="G24" s="9" t="s">
        <v>61</v>
      </c>
      <c r="H24" s="38" t="s">
        <v>66</v>
      </c>
      <c r="I24" s="33" t="s">
        <v>265</v>
      </c>
      <c r="J24" s="33" t="s">
        <v>258</v>
      </c>
      <c r="K24" s="39" t="s">
        <v>1740</v>
      </c>
    </row>
    <row r="25" spans="1:11" ht="160.05000000000001" customHeight="1">
      <c r="A25" s="22" t="s">
        <v>272</v>
      </c>
      <c r="B25" s="22" t="s">
        <v>177</v>
      </c>
      <c r="C25" s="2" t="s">
        <v>273</v>
      </c>
      <c r="D25" s="2" t="s">
        <v>274</v>
      </c>
      <c r="E25" s="43">
        <v>47</v>
      </c>
      <c r="F25" s="6" t="s">
        <v>33</v>
      </c>
      <c r="G25" s="2" t="s">
        <v>59</v>
      </c>
      <c r="H25" s="44" t="s">
        <v>64</v>
      </c>
      <c r="I25" s="2" t="s">
        <v>289</v>
      </c>
      <c r="J25" s="2" t="s">
        <v>282</v>
      </c>
      <c r="K25" s="16" t="s">
        <v>1705</v>
      </c>
    </row>
    <row r="26" spans="1:11" ht="160.05000000000001" customHeight="1">
      <c r="A26" s="32" t="s">
        <v>295</v>
      </c>
      <c r="B26" s="32" t="s">
        <v>179</v>
      </c>
      <c r="C26" s="33" t="s">
        <v>296</v>
      </c>
      <c r="D26" s="33" t="s">
        <v>297</v>
      </c>
      <c r="E26" s="36">
        <v>276</v>
      </c>
      <c r="F26" s="45" t="s">
        <v>35</v>
      </c>
      <c r="G26" s="9" t="s">
        <v>61</v>
      </c>
      <c r="H26" s="38" t="s">
        <v>66</v>
      </c>
      <c r="I26" s="33" t="s">
        <v>311</v>
      </c>
      <c r="J26" s="33" t="s">
        <v>306</v>
      </c>
      <c r="K26" s="39" t="s">
        <v>1741</v>
      </c>
    </row>
    <row r="27" spans="1:11" ht="148.94999999999999" customHeight="1">
      <c r="A27" s="22" t="s">
        <v>316</v>
      </c>
      <c r="B27" s="22" t="s">
        <v>177</v>
      </c>
      <c r="C27" s="2" t="s">
        <v>317</v>
      </c>
      <c r="D27" s="2" t="s">
        <v>318</v>
      </c>
      <c r="E27" s="43">
        <v>28</v>
      </c>
      <c r="F27" s="7" t="s">
        <v>35</v>
      </c>
      <c r="G27" s="2" t="s">
        <v>59</v>
      </c>
      <c r="H27" s="46" t="s">
        <v>66</v>
      </c>
      <c r="I27" s="2" t="s">
        <v>333</v>
      </c>
      <c r="J27" s="2" t="s">
        <v>326</v>
      </c>
      <c r="K27" s="16" t="s">
        <v>1706</v>
      </c>
    </row>
    <row r="28" spans="1:11" ht="160.05000000000001" customHeight="1">
      <c r="A28" s="32" t="s">
        <v>339</v>
      </c>
      <c r="B28" s="32" t="s">
        <v>179</v>
      </c>
      <c r="C28" s="33" t="s">
        <v>340</v>
      </c>
      <c r="D28" s="33" t="s">
        <v>341</v>
      </c>
      <c r="E28" s="36">
        <v>12</v>
      </c>
      <c r="F28" s="45" t="s">
        <v>35</v>
      </c>
      <c r="G28" s="9" t="s">
        <v>61</v>
      </c>
      <c r="H28" s="47" t="s">
        <v>68</v>
      </c>
      <c r="I28" s="33" t="s">
        <v>356</v>
      </c>
      <c r="J28" s="33" t="s">
        <v>350</v>
      </c>
      <c r="K28" s="39" t="s">
        <v>1742</v>
      </c>
    </row>
    <row r="29" spans="1:11" ht="134.55000000000001" customHeight="1">
      <c r="A29" s="22" t="s">
        <v>361</v>
      </c>
      <c r="B29" s="22" t="s">
        <v>177</v>
      </c>
      <c r="C29" s="2" t="s">
        <v>362</v>
      </c>
      <c r="D29" s="2" t="s">
        <v>363</v>
      </c>
      <c r="E29" s="48" t="s">
        <v>307</v>
      </c>
      <c r="F29" s="7" t="s">
        <v>35</v>
      </c>
      <c r="G29" s="2" t="s">
        <v>59</v>
      </c>
      <c r="H29" s="49" t="s">
        <v>68</v>
      </c>
      <c r="I29" s="2" t="s">
        <v>375</v>
      </c>
      <c r="J29" s="2" t="s">
        <v>370</v>
      </c>
      <c r="K29" s="16" t="s">
        <v>1707</v>
      </c>
    </row>
    <row r="30" spans="1:11" ht="160.05000000000001" customHeight="1">
      <c r="A30" s="22" t="s">
        <v>378</v>
      </c>
      <c r="B30" s="22" t="s">
        <v>179</v>
      </c>
      <c r="C30" s="2" t="s">
        <v>379</v>
      </c>
      <c r="D30" s="2" t="s">
        <v>380</v>
      </c>
      <c r="E30" s="43">
        <v>252</v>
      </c>
      <c r="F30" s="4" t="s">
        <v>29</v>
      </c>
      <c r="G30" s="2" t="s">
        <v>59</v>
      </c>
      <c r="H30" s="46" t="s">
        <v>66</v>
      </c>
      <c r="I30" s="2" t="s">
        <v>394</v>
      </c>
      <c r="J30" s="2" t="s">
        <v>388</v>
      </c>
      <c r="K30" s="16" t="s">
        <v>1743</v>
      </c>
    </row>
    <row r="31" spans="1:11" ht="160.05000000000001" customHeight="1">
      <c r="A31" s="22" t="s">
        <v>400</v>
      </c>
      <c r="B31" s="22" t="s">
        <v>183</v>
      </c>
      <c r="C31" s="2" t="s">
        <v>401</v>
      </c>
      <c r="D31" s="2" t="s">
        <v>402</v>
      </c>
      <c r="E31" s="43">
        <v>200</v>
      </c>
      <c r="F31" s="4" t="s">
        <v>29</v>
      </c>
      <c r="G31" s="2" t="s">
        <v>59</v>
      </c>
      <c r="H31" s="44" t="s">
        <v>64</v>
      </c>
      <c r="I31" s="2" t="s">
        <v>417</v>
      </c>
      <c r="J31" s="2" t="s">
        <v>410</v>
      </c>
      <c r="K31" s="16" t="s">
        <v>1771</v>
      </c>
    </row>
    <row r="32" spans="1:11" ht="160.05000000000001" customHeight="1">
      <c r="A32" s="22" t="s">
        <v>423</v>
      </c>
      <c r="B32" s="22" t="s">
        <v>179</v>
      </c>
      <c r="C32" s="2" t="s">
        <v>424</v>
      </c>
      <c r="D32" s="2" t="s">
        <v>380</v>
      </c>
      <c r="E32" s="43">
        <v>108</v>
      </c>
      <c r="F32" s="4" t="s">
        <v>29</v>
      </c>
      <c r="G32" s="2" t="s">
        <v>59</v>
      </c>
      <c r="H32" s="46" t="s">
        <v>66</v>
      </c>
      <c r="I32" s="2" t="s">
        <v>435</v>
      </c>
      <c r="J32" s="2" t="s">
        <v>429</v>
      </c>
      <c r="K32" s="16" t="s">
        <v>1744</v>
      </c>
    </row>
    <row r="33" spans="1:11" ht="160.05000000000001" customHeight="1">
      <c r="A33" s="32" t="s">
        <v>439</v>
      </c>
      <c r="B33" s="32" t="s">
        <v>189</v>
      </c>
      <c r="C33" s="33" t="s">
        <v>440</v>
      </c>
      <c r="D33" s="33" t="s">
        <v>441</v>
      </c>
      <c r="E33" s="36">
        <v>84</v>
      </c>
      <c r="F33" s="50" t="s">
        <v>29</v>
      </c>
      <c r="G33" s="9" t="s">
        <v>61</v>
      </c>
      <c r="H33" s="38" t="s">
        <v>66</v>
      </c>
      <c r="I33" s="33" t="s">
        <v>457</v>
      </c>
      <c r="J33" s="33" t="s">
        <v>450</v>
      </c>
      <c r="K33" s="39" t="s">
        <v>1782</v>
      </c>
    </row>
    <row r="34" spans="1:11" ht="160.05000000000001" customHeight="1">
      <c r="A34" s="22" t="s">
        <v>463</v>
      </c>
      <c r="B34" s="22" t="s">
        <v>179</v>
      </c>
      <c r="C34" s="2" t="s">
        <v>464</v>
      </c>
      <c r="D34" s="2" t="s">
        <v>465</v>
      </c>
      <c r="E34" s="43">
        <v>64</v>
      </c>
      <c r="F34" s="4" t="s">
        <v>29</v>
      </c>
      <c r="G34" s="2" t="s">
        <v>59</v>
      </c>
      <c r="H34" s="46" t="s">
        <v>66</v>
      </c>
      <c r="I34" s="2" t="s">
        <v>478</v>
      </c>
      <c r="J34" s="2" t="s">
        <v>473</v>
      </c>
      <c r="K34" s="16" t="s">
        <v>1741</v>
      </c>
    </row>
    <row r="35" spans="1:11" ht="160.05000000000001" customHeight="1">
      <c r="A35" s="22" t="s">
        <v>482</v>
      </c>
      <c r="B35" s="22" t="s">
        <v>177</v>
      </c>
      <c r="C35" s="2" t="s">
        <v>483</v>
      </c>
      <c r="D35" s="2" t="s">
        <v>484</v>
      </c>
      <c r="E35" s="43">
        <v>15</v>
      </c>
      <c r="F35" s="4" t="s">
        <v>29</v>
      </c>
      <c r="G35" s="2" t="s">
        <v>59</v>
      </c>
      <c r="H35" s="46" t="s">
        <v>66</v>
      </c>
      <c r="I35" s="2" t="s">
        <v>499</v>
      </c>
      <c r="J35" s="2" t="s">
        <v>492</v>
      </c>
      <c r="K35" s="16" t="s">
        <v>1708</v>
      </c>
    </row>
    <row r="36" spans="1:11" ht="160.05000000000001" customHeight="1">
      <c r="A36" s="22" t="s">
        <v>505</v>
      </c>
      <c r="B36" s="22" t="s">
        <v>177</v>
      </c>
      <c r="C36" s="2" t="s">
        <v>506</v>
      </c>
      <c r="D36" s="2" t="s">
        <v>507</v>
      </c>
      <c r="E36" s="43">
        <v>504</v>
      </c>
      <c r="F36" s="4" t="s">
        <v>29</v>
      </c>
      <c r="G36" s="2" t="s">
        <v>59</v>
      </c>
      <c r="H36" s="44" t="s">
        <v>64</v>
      </c>
      <c r="I36" s="2" t="s">
        <v>522</v>
      </c>
      <c r="J36" s="2" t="s">
        <v>515</v>
      </c>
      <c r="K36" s="16" t="s">
        <v>1709</v>
      </c>
    </row>
    <row r="37" spans="1:11" ht="160.05000000000001" customHeight="1">
      <c r="A37" s="22" t="s">
        <v>528</v>
      </c>
      <c r="B37" s="22" t="s">
        <v>177</v>
      </c>
      <c r="C37" s="2" t="s">
        <v>529</v>
      </c>
      <c r="D37" s="2" t="s">
        <v>530</v>
      </c>
      <c r="E37" s="43">
        <v>365</v>
      </c>
      <c r="F37" s="4" t="s">
        <v>29</v>
      </c>
      <c r="G37" s="2" t="s">
        <v>59</v>
      </c>
      <c r="H37" s="44" t="s">
        <v>64</v>
      </c>
      <c r="I37" s="2" t="s">
        <v>545</v>
      </c>
      <c r="J37" s="2" t="s">
        <v>538</v>
      </c>
      <c r="K37" s="16" t="s">
        <v>1710</v>
      </c>
    </row>
    <row r="38" spans="1:11" ht="160.05000000000001" customHeight="1">
      <c r="A38" s="22" t="s">
        <v>547</v>
      </c>
      <c r="B38" s="22" t="s">
        <v>179</v>
      </c>
      <c r="C38" s="2" t="s">
        <v>548</v>
      </c>
      <c r="D38" s="2" t="s">
        <v>549</v>
      </c>
      <c r="E38" s="43">
        <v>354</v>
      </c>
      <c r="F38" s="5" t="s">
        <v>31</v>
      </c>
      <c r="G38" s="2" t="s">
        <v>59</v>
      </c>
      <c r="H38" s="44" t="s">
        <v>64</v>
      </c>
      <c r="I38" s="2" t="s">
        <v>561</v>
      </c>
      <c r="J38" s="2" t="s">
        <v>555</v>
      </c>
      <c r="K38" s="16" t="s">
        <v>1745</v>
      </c>
    </row>
    <row r="39" spans="1:11" ht="160.05000000000001" customHeight="1">
      <c r="A39" s="22" t="s">
        <v>566</v>
      </c>
      <c r="B39" s="22" t="s">
        <v>177</v>
      </c>
      <c r="C39" s="2" t="s">
        <v>567</v>
      </c>
      <c r="D39" s="2" t="s">
        <v>568</v>
      </c>
      <c r="E39" s="43">
        <v>80</v>
      </c>
      <c r="F39" s="4" t="s">
        <v>29</v>
      </c>
      <c r="G39" s="2" t="s">
        <v>59</v>
      </c>
      <c r="H39" s="44" t="s">
        <v>64</v>
      </c>
      <c r="I39" s="2" t="s">
        <v>582</v>
      </c>
      <c r="J39" s="2" t="s">
        <v>576</v>
      </c>
      <c r="K39" s="16" t="s">
        <v>1711</v>
      </c>
    </row>
    <row r="40" spans="1:11" ht="160.05000000000001" customHeight="1">
      <c r="A40" s="22" t="s">
        <v>585</v>
      </c>
      <c r="B40" s="22" t="s">
        <v>177</v>
      </c>
      <c r="C40" s="2" t="s">
        <v>586</v>
      </c>
      <c r="D40" s="2" t="s">
        <v>587</v>
      </c>
      <c r="E40" s="43">
        <v>63</v>
      </c>
      <c r="F40" s="4" t="s">
        <v>29</v>
      </c>
      <c r="G40" s="2" t="s">
        <v>59</v>
      </c>
      <c r="H40" s="44" t="s">
        <v>64</v>
      </c>
      <c r="I40" s="2" t="s">
        <v>600</v>
      </c>
      <c r="J40" s="2" t="s">
        <v>594</v>
      </c>
      <c r="K40" s="16" t="s">
        <v>1712</v>
      </c>
    </row>
    <row r="41" spans="1:11" ht="160.05000000000001" customHeight="1">
      <c r="A41" s="22" t="s">
        <v>606</v>
      </c>
      <c r="B41" s="22" t="s">
        <v>179</v>
      </c>
      <c r="C41" s="2" t="s">
        <v>607</v>
      </c>
      <c r="D41" s="2" t="s">
        <v>608</v>
      </c>
      <c r="E41" s="43">
        <v>120</v>
      </c>
      <c r="F41" s="5" t="s">
        <v>31</v>
      </c>
      <c r="G41" s="2" t="s">
        <v>59</v>
      </c>
      <c r="H41" s="44" t="s">
        <v>64</v>
      </c>
      <c r="I41" s="2" t="s">
        <v>622</v>
      </c>
      <c r="J41" s="2" t="s">
        <v>616</v>
      </c>
      <c r="K41" s="16" t="s">
        <v>1746</v>
      </c>
    </row>
    <row r="42" spans="1:11" ht="160.05000000000001" customHeight="1">
      <c r="A42" s="22" t="s">
        <v>627</v>
      </c>
      <c r="B42" s="22" t="s">
        <v>177</v>
      </c>
      <c r="C42" s="2" t="s">
        <v>628</v>
      </c>
      <c r="D42" s="2" t="s">
        <v>629</v>
      </c>
      <c r="E42" s="43">
        <v>62</v>
      </c>
      <c r="F42" s="5" t="s">
        <v>31</v>
      </c>
      <c r="G42" s="2" t="s">
        <v>59</v>
      </c>
      <c r="H42" s="46" t="s">
        <v>66</v>
      </c>
      <c r="I42" s="2" t="s">
        <v>643</v>
      </c>
      <c r="J42" s="2" t="s">
        <v>636</v>
      </c>
      <c r="K42" s="16" t="s">
        <v>1713</v>
      </c>
    </row>
    <row r="43" spans="1:11" ht="160.05000000000001" customHeight="1">
      <c r="A43" s="22" t="s">
        <v>649</v>
      </c>
      <c r="B43" s="22" t="s">
        <v>177</v>
      </c>
      <c r="C43" s="2" t="s">
        <v>650</v>
      </c>
      <c r="D43" s="2" t="s">
        <v>651</v>
      </c>
      <c r="E43" s="43">
        <v>51.4</v>
      </c>
      <c r="F43" s="5" t="s">
        <v>31</v>
      </c>
      <c r="G43" s="2" t="s">
        <v>59</v>
      </c>
      <c r="H43" s="44" t="s">
        <v>64</v>
      </c>
      <c r="I43" s="2" t="s">
        <v>662</v>
      </c>
      <c r="J43" s="2" t="s">
        <v>656</v>
      </c>
      <c r="K43" s="16" t="s">
        <v>1714</v>
      </c>
    </row>
    <row r="44" spans="1:11" ht="160.05000000000001" customHeight="1">
      <c r="A44" s="22" t="s">
        <v>666</v>
      </c>
      <c r="B44" s="22" t="s">
        <v>177</v>
      </c>
      <c r="C44" s="2" t="s">
        <v>667</v>
      </c>
      <c r="D44" s="2" t="s">
        <v>668</v>
      </c>
      <c r="E44" s="43">
        <v>47.5</v>
      </c>
      <c r="F44" s="5" t="s">
        <v>31</v>
      </c>
      <c r="G44" s="2" t="s">
        <v>59</v>
      </c>
      <c r="H44" s="44" t="s">
        <v>64</v>
      </c>
      <c r="I44" s="2" t="s">
        <v>682</v>
      </c>
      <c r="J44" s="2" t="s">
        <v>675</v>
      </c>
      <c r="K44" s="16" t="s">
        <v>1715</v>
      </c>
    </row>
    <row r="45" spans="1:11" ht="160.05000000000001" customHeight="1">
      <c r="A45" s="32" t="s">
        <v>686</v>
      </c>
      <c r="B45" s="32" t="s">
        <v>185</v>
      </c>
      <c r="C45" s="33" t="s">
        <v>687</v>
      </c>
      <c r="D45" s="33" t="s">
        <v>688</v>
      </c>
      <c r="E45" s="36">
        <v>15</v>
      </c>
      <c r="F45" s="45" t="s">
        <v>35</v>
      </c>
      <c r="G45" s="9" t="s">
        <v>61</v>
      </c>
      <c r="H45" s="38" t="s">
        <v>66</v>
      </c>
      <c r="I45" s="33" t="s">
        <v>703</v>
      </c>
      <c r="J45" s="33" t="s">
        <v>697</v>
      </c>
      <c r="K45" s="39" t="s">
        <v>1775</v>
      </c>
    </row>
    <row r="46" spans="1:11" ht="160.05000000000001" customHeight="1">
      <c r="A46" s="32" t="s">
        <v>709</v>
      </c>
      <c r="B46" s="32" t="s">
        <v>191</v>
      </c>
      <c r="C46" s="33" t="s">
        <v>710</v>
      </c>
      <c r="D46" s="33" t="s">
        <v>711</v>
      </c>
      <c r="E46" s="36">
        <v>1000</v>
      </c>
      <c r="F46" s="51" t="s">
        <v>37</v>
      </c>
      <c r="G46" s="9" t="s">
        <v>61</v>
      </c>
      <c r="H46" s="52" t="s">
        <v>64</v>
      </c>
      <c r="I46" s="33" t="s">
        <v>727</v>
      </c>
      <c r="J46" s="33" t="s">
        <v>720</v>
      </c>
      <c r="K46" s="39" t="s">
        <v>1786</v>
      </c>
    </row>
    <row r="47" spans="1:11" ht="160.05000000000001" customHeight="1">
      <c r="A47" s="32" t="s">
        <v>733</v>
      </c>
      <c r="B47" s="32" t="s">
        <v>185</v>
      </c>
      <c r="C47" s="33" t="s">
        <v>734</v>
      </c>
      <c r="D47" s="33" t="s">
        <v>735</v>
      </c>
      <c r="E47" s="36">
        <v>800</v>
      </c>
      <c r="F47" s="51" t="s">
        <v>37</v>
      </c>
      <c r="G47" s="9" t="s">
        <v>61</v>
      </c>
      <c r="H47" s="52" t="s">
        <v>64</v>
      </c>
      <c r="I47" s="33" t="s">
        <v>751</v>
      </c>
      <c r="J47" s="33" t="s">
        <v>744</v>
      </c>
      <c r="K47" s="39" t="s">
        <v>1776</v>
      </c>
    </row>
    <row r="48" spans="1:11" ht="160.05000000000001" customHeight="1">
      <c r="A48" s="22" t="s">
        <v>757</v>
      </c>
      <c r="B48" s="22" t="s">
        <v>179</v>
      </c>
      <c r="C48" s="2" t="s">
        <v>758</v>
      </c>
      <c r="D48" s="2" t="s">
        <v>759</v>
      </c>
      <c r="E48" s="43">
        <v>200</v>
      </c>
      <c r="F48" s="8" t="s">
        <v>37</v>
      </c>
      <c r="G48" s="2" t="s">
        <v>59</v>
      </c>
      <c r="H48" s="44" t="s">
        <v>64</v>
      </c>
      <c r="I48" s="2" t="s">
        <v>770</v>
      </c>
      <c r="J48" s="2" t="s">
        <v>764</v>
      </c>
      <c r="K48" s="16" t="s">
        <v>1747</v>
      </c>
    </row>
    <row r="49" spans="1:11" ht="160.05000000000001" customHeight="1">
      <c r="A49" s="22" t="s">
        <v>775</v>
      </c>
      <c r="B49" s="22" t="s">
        <v>183</v>
      </c>
      <c r="C49" s="2" t="s">
        <v>776</v>
      </c>
      <c r="D49" s="2" t="s">
        <v>402</v>
      </c>
      <c r="E49" s="43">
        <v>192</v>
      </c>
      <c r="F49" s="8" t="s">
        <v>37</v>
      </c>
      <c r="G49" s="2" t="s">
        <v>59</v>
      </c>
      <c r="H49" s="46" t="s">
        <v>66</v>
      </c>
      <c r="I49" s="2" t="s">
        <v>791</v>
      </c>
      <c r="J49" s="2" t="s">
        <v>784</v>
      </c>
      <c r="K49" s="16" t="s">
        <v>1772</v>
      </c>
    </row>
    <row r="50" spans="1:11" ht="160.05000000000001" customHeight="1">
      <c r="A50" s="22" t="s">
        <v>796</v>
      </c>
      <c r="B50" s="22" t="s">
        <v>177</v>
      </c>
      <c r="C50" s="2" t="s">
        <v>797</v>
      </c>
      <c r="D50" s="2" t="s">
        <v>798</v>
      </c>
      <c r="E50" s="43">
        <v>81</v>
      </c>
      <c r="F50" s="8" t="s">
        <v>37</v>
      </c>
      <c r="G50" s="2" t="s">
        <v>59</v>
      </c>
      <c r="H50" s="44" t="s">
        <v>64</v>
      </c>
      <c r="I50" s="2" t="s">
        <v>811</v>
      </c>
      <c r="J50" s="2" t="s">
        <v>804</v>
      </c>
      <c r="K50" s="16" t="s">
        <v>1716</v>
      </c>
    </row>
    <row r="51" spans="1:11" ht="160.05000000000001" customHeight="1">
      <c r="A51" s="22" t="s">
        <v>815</v>
      </c>
      <c r="B51" s="22" t="s">
        <v>179</v>
      </c>
      <c r="C51" s="2" t="s">
        <v>816</v>
      </c>
      <c r="D51" s="2" t="s">
        <v>817</v>
      </c>
      <c r="E51" s="48" t="s">
        <v>307</v>
      </c>
      <c r="F51" s="8" t="s">
        <v>37</v>
      </c>
      <c r="G51" s="2" t="s">
        <v>59</v>
      </c>
      <c r="H51" s="46" t="s">
        <v>66</v>
      </c>
      <c r="I51" s="2" t="s">
        <v>829</v>
      </c>
      <c r="J51" s="2" t="s">
        <v>823</v>
      </c>
      <c r="K51" s="16" t="s">
        <v>1748</v>
      </c>
    </row>
    <row r="52" spans="1:11" ht="160.05000000000001" customHeight="1">
      <c r="A52" s="22" t="s">
        <v>834</v>
      </c>
      <c r="B52" s="22" t="s">
        <v>177</v>
      </c>
      <c r="C52" s="2" t="s">
        <v>835</v>
      </c>
      <c r="D52" s="2" t="s">
        <v>836</v>
      </c>
      <c r="E52" s="43">
        <v>400</v>
      </c>
      <c r="F52" s="4" t="s">
        <v>29</v>
      </c>
      <c r="G52" s="2" t="s">
        <v>59</v>
      </c>
      <c r="H52" s="44" t="s">
        <v>64</v>
      </c>
      <c r="I52" s="2" t="s">
        <v>849</v>
      </c>
      <c r="J52" s="2" t="s">
        <v>843</v>
      </c>
      <c r="K52" s="16" t="s">
        <v>1717</v>
      </c>
    </row>
    <row r="53" spans="1:11" ht="160.05000000000001" customHeight="1">
      <c r="A53" s="22" t="s">
        <v>852</v>
      </c>
      <c r="B53" s="22" t="s">
        <v>179</v>
      </c>
      <c r="C53" s="2" t="s">
        <v>853</v>
      </c>
      <c r="D53" s="2" t="s">
        <v>402</v>
      </c>
      <c r="E53" s="43">
        <v>400</v>
      </c>
      <c r="F53" s="4" t="s">
        <v>29</v>
      </c>
      <c r="G53" s="2" t="s">
        <v>59</v>
      </c>
      <c r="H53" s="44" t="s">
        <v>64</v>
      </c>
      <c r="I53" s="2" t="s">
        <v>866</v>
      </c>
      <c r="J53" s="2" t="s">
        <v>859</v>
      </c>
      <c r="K53" s="16" t="s">
        <v>1749</v>
      </c>
    </row>
    <row r="54" spans="1:11" ht="160.05000000000001" customHeight="1">
      <c r="A54" s="22" t="s">
        <v>871</v>
      </c>
      <c r="B54" s="22" t="s">
        <v>179</v>
      </c>
      <c r="C54" s="2" t="s">
        <v>872</v>
      </c>
      <c r="D54" s="2" t="s">
        <v>530</v>
      </c>
      <c r="E54" s="43">
        <v>207</v>
      </c>
      <c r="F54" s="4" t="s">
        <v>29</v>
      </c>
      <c r="G54" s="2" t="s">
        <v>59</v>
      </c>
      <c r="H54" s="44" t="s">
        <v>64</v>
      </c>
      <c r="I54" s="2" t="s">
        <v>885</v>
      </c>
      <c r="J54" s="2" t="s">
        <v>879</v>
      </c>
      <c r="K54" s="16" t="s">
        <v>1750</v>
      </c>
    </row>
    <row r="55" spans="1:11" ht="134.55000000000001" customHeight="1">
      <c r="A55" s="22" t="s">
        <v>890</v>
      </c>
      <c r="B55" s="22" t="s">
        <v>179</v>
      </c>
      <c r="C55" s="2" t="s">
        <v>891</v>
      </c>
      <c r="D55" s="2" t="s">
        <v>530</v>
      </c>
      <c r="E55" s="43">
        <v>162</v>
      </c>
      <c r="F55" s="4" t="s">
        <v>29</v>
      </c>
      <c r="G55" s="2" t="s">
        <v>59</v>
      </c>
      <c r="H55" s="44" t="s">
        <v>64</v>
      </c>
      <c r="I55" s="2" t="s">
        <v>902</v>
      </c>
      <c r="J55" s="2" t="s">
        <v>899</v>
      </c>
      <c r="K55" s="16" t="s">
        <v>1751</v>
      </c>
    </row>
    <row r="56" spans="1:11" ht="105.45" customHeight="1">
      <c r="A56" s="22" t="s">
        <v>907</v>
      </c>
      <c r="B56" s="22" t="s">
        <v>179</v>
      </c>
      <c r="C56" s="2" t="s">
        <v>908</v>
      </c>
      <c r="D56" s="2" t="s">
        <v>530</v>
      </c>
      <c r="E56" s="43">
        <v>72</v>
      </c>
      <c r="F56" s="4" t="s">
        <v>29</v>
      </c>
      <c r="G56" s="2" t="s">
        <v>59</v>
      </c>
      <c r="H56" s="44" t="s">
        <v>64</v>
      </c>
      <c r="I56" s="2" t="s">
        <v>915</v>
      </c>
      <c r="J56" s="2" t="s">
        <v>911</v>
      </c>
      <c r="K56" s="16" t="s">
        <v>1741</v>
      </c>
    </row>
    <row r="57" spans="1:11" ht="160.05000000000001" customHeight="1">
      <c r="A57" s="22" t="s">
        <v>919</v>
      </c>
      <c r="B57" s="22" t="s">
        <v>187</v>
      </c>
      <c r="C57" s="2" t="s">
        <v>920</v>
      </c>
      <c r="D57" s="2" t="s">
        <v>921</v>
      </c>
      <c r="E57" s="43">
        <v>20</v>
      </c>
      <c r="F57" s="4" t="s">
        <v>29</v>
      </c>
      <c r="G57" s="2" t="s">
        <v>59</v>
      </c>
      <c r="H57" s="44" t="s">
        <v>64</v>
      </c>
      <c r="I57" s="2" t="s">
        <v>935</v>
      </c>
      <c r="J57" s="2" t="s">
        <v>929</v>
      </c>
      <c r="K57" s="16" t="s">
        <v>1779</v>
      </c>
    </row>
    <row r="58" spans="1:11" ht="160.05000000000001" customHeight="1">
      <c r="A58" s="22" t="s">
        <v>941</v>
      </c>
      <c r="B58" s="22" t="s">
        <v>181</v>
      </c>
      <c r="C58" s="2" t="s">
        <v>942</v>
      </c>
      <c r="D58" s="2" t="s">
        <v>943</v>
      </c>
      <c r="E58" s="43">
        <v>500</v>
      </c>
      <c r="F58" s="5" t="s">
        <v>31</v>
      </c>
      <c r="G58" s="2" t="s">
        <v>59</v>
      </c>
      <c r="H58" s="46" t="s">
        <v>66</v>
      </c>
      <c r="I58" s="2" t="s">
        <v>958</v>
      </c>
      <c r="J58" s="2" t="s">
        <v>951</v>
      </c>
      <c r="K58" s="16" t="s">
        <v>1767</v>
      </c>
    </row>
    <row r="59" spans="1:11" ht="160.05000000000001" customHeight="1">
      <c r="A59" s="32" t="s">
        <v>964</v>
      </c>
      <c r="B59" s="32" t="s">
        <v>189</v>
      </c>
      <c r="C59" s="33" t="s">
        <v>965</v>
      </c>
      <c r="D59" s="33" t="s">
        <v>441</v>
      </c>
      <c r="E59" s="36">
        <v>288</v>
      </c>
      <c r="F59" s="53" t="s">
        <v>31</v>
      </c>
      <c r="G59" s="9" t="s">
        <v>61</v>
      </c>
      <c r="H59" s="52" t="s">
        <v>64</v>
      </c>
      <c r="I59" s="33" t="s">
        <v>980</v>
      </c>
      <c r="J59" s="33" t="s">
        <v>973</v>
      </c>
      <c r="K59" s="39" t="s">
        <v>1783</v>
      </c>
    </row>
    <row r="60" spans="1:11" ht="160.05000000000001" customHeight="1">
      <c r="A60" s="22" t="s">
        <v>985</v>
      </c>
      <c r="B60" s="22" t="s">
        <v>179</v>
      </c>
      <c r="C60" s="2" t="s">
        <v>986</v>
      </c>
      <c r="D60" s="2" t="s">
        <v>987</v>
      </c>
      <c r="E60" s="43">
        <v>210</v>
      </c>
      <c r="F60" s="5" t="s">
        <v>31</v>
      </c>
      <c r="G60" s="2" t="s">
        <v>59</v>
      </c>
      <c r="H60" s="46" t="s">
        <v>66</v>
      </c>
      <c r="I60" s="2" t="s">
        <v>998</v>
      </c>
      <c r="J60" s="2" t="s">
        <v>992</v>
      </c>
      <c r="K60" s="16" t="s">
        <v>1752</v>
      </c>
    </row>
    <row r="61" spans="1:11" ht="160.05000000000001" customHeight="1">
      <c r="A61" s="22" t="s">
        <v>1002</v>
      </c>
      <c r="B61" s="22" t="s">
        <v>177</v>
      </c>
      <c r="C61" s="2" t="s">
        <v>1003</v>
      </c>
      <c r="D61" s="2" t="s">
        <v>1004</v>
      </c>
      <c r="E61" s="43">
        <v>135</v>
      </c>
      <c r="F61" s="5" t="s">
        <v>31</v>
      </c>
      <c r="G61" s="2" t="s">
        <v>59</v>
      </c>
      <c r="H61" s="44" t="s">
        <v>64</v>
      </c>
      <c r="I61" s="2" t="s">
        <v>1016</v>
      </c>
      <c r="J61" s="2" t="s">
        <v>1009</v>
      </c>
      <c r="K61" s="16" t="s">
        <v>1718</v>
      </c>
    </row>
    <row r="62" spans="1:11" ht="160.05000000000001" customHeight="1">
      <c r="A62" s="22" t="s">
        <v>1020</v>
      </c>
      <c r="B62" s="22" t="s">
        <v>177</v>
      </c>
      <c r="C62" s="2" t="s">
        <v>1021</v>
      </c>
      <c r="D62" s="2" t="s">
        <v>1004</v>
      </c>
      <c r="E62" s="43">
        <v>85</v>
      </c>
      <c r="F62" s="5" t="s">
        <v>31</v>
      </c>
      <c r="G62" s="2" t="s">
        <v>59</v>
      </c>
      <c r="H62" s="44" t="s">
        <v>64</v>
      </c>
      <c r="I62" s="2" t="s">
        <v>1034</v>
      </c>
      <c r="J62" s="2" t="s">
        <v>1029</v>
      </c>
      <c r="K62" s="16" t="s">
        <v>1719</v>
      </c>
    </row>
    <row r="63" spans="1:11" ht="160.05000000000001" customHeight="1">
      <c r="A63" s="22" t="s">
        <v>1038</v>
      </c>
      <c r="B63" s="22" t="s">
        <v>187</v>
      </c>
      <c r="C63" s="2" t="s">
        <v>1039</v>
      </c>
      <c r="D63" s="2" t="s">
        <v>1040</v>
      </c>
      <c r="E63" s="43">
        <v>84</v>
      </c>
      <c r="F63" s="5" t="s">
        <v>31</v>
      </c>
      <c r="G63" s="2" t="s">
        <v>59</v>
      </c>
      <c r="H63" s="44" t="s">
        <v>64</v>
      </c>
      <c r="I63" s="2" t="s">
        <v>1053</v>
      </c>
      <c r="J63" s="2" t="s">
        <v>1047</v>
      </c>
      <c r="K63" s="16" t="s">
        <v>1780</v>
      </c>
    </row>
    <row r="64" spans="1:11" ht="160.05000000000001" customHeight="1">
      <c r="A64" s="22" t="s">
        <v>1059</v>
      </c>
      <c r="B64" s="22" t="s">
        <v>179</v>
      </c>
      <c r="C64" s="2" t="s">
        <v>1060</v>
      </c>
      <c r="D64" s="2" t="s">
        <v>1061</v>
      </c>
      <c r="E64" s="43">
        <v>80</v>
      </c>
      <c r="F64" s="5" t="s">
        <v>31</v>
      </c>
      <c r="G64" s="2" t="s">
        <v>59</v>
      </c>
      <c r="H64" s="44" t="s">
        <v>64</v>
      </c>
      <c r="I64" s="2" t="s">
        <v>1069</v>
      </c>
      <c r="J64" s="2" t="s">
        <v>1066</v>
      </c>
      <c r="K64" s="16" t="s">
        <v>1753</v>
      </c>
    </row>
    <row r="65" spans="1:11" ht="160.05000000000001" customHeight="1">
      <c r="A65" s="22" t="s">
        <v>1073</v>
      </c>
      <c r="B65" s="22" t="s">
        <v>177</v>
      </c>
      <c r="C65" s="2" t="s">
        <v>1074</v>
      </c>
      <c r="D65" s="2" t="s">
        <v>568</v>
      </c>
      <c r="E65" s="43">
        <v>68</v>
      </c>
      <c r="F65" s="5" t="s">
        <v>31</v>
      </c>
      <c r="G65" s="2" t="s">
        <v>59</v>
      </c>
      <c r="H65" s="44" t="s">
        <v>64</v>
      </c>
      <c r="I65" s="2" t="s">
        <v>1087</v>
      </c>
      <c r="J65" s="2" t="s">
        <v>1081</v>
      </c>
      <c r="K65" s="16" t="s">
        <v>1720</v>
      </c>
    </row>
    <row r="66" spans="1:11" ht="160.05000000000001" customHeight="1">
      <c r="A66" s="22" t="s">
        <v>1091</v>
      </c>
      <c r="B66" s="22" t="s">
        <v>177</v>
      </c>
      <c r="C66" s="2" t="s">
        <v>1092</v>
      </c>
      <c r="D66" s="2" t="s">
        <v>1093</v>
      </c>
      <c r="E66" s="43">
        <v>45</v>
      </c>
      <c r="F66" s="5" t="s">
        <v>31</v>
      </c>
      <c r="G66" s="2" t="s">
        <v>59</v>
      </c>
      <c r="H66" s="44" t="s">
        <v>64</v>
      </c>
      <c r="I66" s="2" t="s">
        <v>1107</v>
      </c>
      <c r="J66" s="2" t="s">
        <v>1101</v>
      </c>
      <c r="K66" s="16" t="s">
        <v>1721</v>
      </c>
    </row>
    <row r="67" spans="1:11" ht="160.05000000000001" customHeight="1">
      <c r="A67" s="22" t="s">
        <v>1111</v>
      </c>
      <c r="B67" s="22" t="s">
        <v>177</v>
      </c>
      <c r="C67" s="2" t="s">
        <v>1112</v>
      </c>
      <c r="D67" s="2" t="s">
        <v>1113</v>
      </c>
      <c r="E67" s="43">
        <v>34.299999999999997</v>
      </c>
      <c r="F67" s="5" t="s">
        <v>31</v>
      </c>
      <c r="G67" s="2" t="s">
        <v>59</v>
      </c>
      <c r="H67" s="44" t="s">
        <v>64</v>
      </c>
      <c r="I67" s="2" t="s">
        <v>1122</v>
      </c>
      <c r="J67" s="2" t="s">
        <v>1117</v>
      </c>
      <c r="K67" s="16" t="s">
        <v>1722</v>
      </c>
    </row>
    <row r="68" spans="1:11" ht="160.05000000000001" customHeight="1">
      <c r="A68" s="32" t="s">
        <v>1124</v>
      </c>
      <c r="B68" s="32" t="s">
        <v>177</v>
      </c>
      <c r="C68" s="33" t="s">
        <v>1125</v>
      </c>
      <c r="D68" s="33" t="s">
        <v>1126</v>
      </c>
      <c r="E68" s="36">
        <v>31.2</v>
      </c>
      <c r="F68" s="53" t="s">
        <v>31</v>
      </c>
      <c r="G68" s="9" t="s">
        <v>61</v>
      </c>
      <c r="H68" s="38" t="s">
        <v>66</v>
      </c>
      <c r="I68" s="33" t="s">
        <v>1141</v>
      </c>
      <c r="J68" s="33" t="s">
        <v>1135</v>
      </c>
      <c r="K68" s="39" t="s">
        <v>1723</v>
      </c>
    </row>
    <row r="69" spans="1:11" ht="160.05000000000001" customHeight="1">
      <c r="A69" s="22" t="s">
        <v>1146</v>
      </c>
      <c r="B69" s="22" t="s">
        <v>177</v>
      </c>
      <c r="C69" s="2" t="s">
        <v>1147</v>
      </c>
      <c r="D69" s="2" t="s">
        <v>1148</v>
      </c>
      <c r="E69" s="43">
        <v>20</v>
      </c>
      <c r="F69" s="5" t="s">
        <v>31</v>
      </c>
      <c r="G69" s="2" t="s">
        <v>59</v>
      </c>
      <c r="H69" s="44" t="s">
        <v>64</v>
      </c>
      <c r="I69" s="2" t="s">
        <v>1159</v>
      </c>
      <c r="J69" s="2" t="s">
        <v>1155</v>
      </c>
      <c r="K69" s="16" t="s">
        <v>1724</v>
      </c>
    </row>
    <row r="70" spans="1:11" ht="160.05000000000001" customHeight="1">
      <c r="A70" s="32" t="s">
        <v>1164</v>
      </c>
      <c r="B70" s="32" t="s">
        <v>185</v>
      </c>
      <c r="C70" s="33" t="s">
        <v>1165</v>
      </c>
      <c r="D70" s="33" t="s">
        <v>1166</v>
      </c>
      <c r="E70" s="36">
        <v>8</v>
      </c>
      <c r="F70" s="53" t="s">
        <v>31</v>
      </c>
      <c r="G70" s="9" t="s">
        <v>61</v>
      </c>
      <c r="H70" s="47" t="s">
        <v>68</v>
      </c>
      <c r="I70" s="33" t="s">
        <v>1179</v>
      </c>
      <c r="J70" s="33" t="s">
        <v>1174</v>
      </c>
      <c r="K70" s="39" t="s">
        <v>1777</v>
      </c>
    </row>
    <row r="71" spans="1:11" ht="91.05" customHeight="1">
      <c r="A71" s="22" t="s">
        <v>1183</v>
      </c>
      <c r="B71" s="22" t="s">
        <v>177</v>
      </c>
      <c r="C71" s="2" t="s">
        <v>1184</v>
      </c>
      <c r="D71" s="2" t="s">
        <v>318</v>
      </c>
      <c r="E71" s="48" t="s">
        <v>307</v>
      </c>
      <c r="F71" s="5" t="s">
        <v>31</v>
      </c>
      <c r="G71" s="2" t="s">
        <v>59</v>
      </c>
      <c r="H71" s="46" t="s">
        <v>66</v>
      </c>
      <c r="I71" s="2" t="s">
        <v>1193</v>
      </c>
      <c r="J71" s="2" t="s">
        <v>1188</v>
      </c>
      <c r="K71" s="16" t="s">
        <v>1706</v>
      </c>
    </row>
    <row r="72" spans="1:11" ht="160.05000000000001" customHeight="1">
      <c r="A72" s="32" t="s">
        <v>1215</v>
      </c>
      <c r="B72" s="32" t="s">
        <v>179</v>
      </c>
      <c r="C72" s="33" t="s">
        <v>1216</v>
      </c>
      <c r="D72" s="33" t="s">
        <v>1217</v>
      </c>
      <c r="E72" s="54" t="s">
        <v>307</v>
      </c>
      <c r="F72" s="53" t="s">
        <v>31</v>
      </c>
      <c r="G72" s="9" t="s">
        <v>61</v>
      </c>
      <c r="H72" s="52" t="s">
        <v>64</v>
      </c>
      <c r="I72" s="33" t="s">
        <v>1226</v>
      </c>
      <c r="J72" s="33" t="s">
        <v>1223</v>
      </c>
      <c r="K72" s="39" t="s">
        <v>1755</v>
      </c>
    </row>
    <row r="73" spans="1:11" ht="148.94999999999999" customHeight="1">
      <c r="A73" s="32" t="s">
        <v>1230</v>
      </c>
      <c r="B73" s="32" t="s">
        <v>179</v>
      </c>
      <c r="C73" s="33" t="s">
        <v>1231</v>
      </c>
      <c r="D73" s="33" t="s">
        <v>1232</v>
      </c>
      <c r="E73" s="54" t="s">
        <v>307</v>
      </c>
      <c r="F73" s="53" t="s">
        <v>31</v>
      </c>
      <c r="G73" s="9" t="s">
        <v>61</v>
      </c>
      <c r="H73" s="47" t="s">
        <v>68</v>
      </c>
      <c r="I73" s="33" t="s">
        <v>1242</v>
      </c>
      <c r="J73" s="33" t="s">
        <v>1239</v>
      </c>
      <c r="K73" s="39" t="s">
        <v>1756</v>
      </c>
    </row>
    <row r="74" spans="1:11" ht="160.05000000000001" customHeight="1">
      <c r="A74" s="22" t="s">
        <v>1246</v>
      </c>
      <c r="B74" s="22" t="s">
        <v>181</v>
      </c>
      <c r="C74" s="2" t="s">
        <v>1247</v>
      </c>
      <c r="D74" s="2" t="s">
        <v>1248</v>
      </c>
      <c r="E74" s="43">
        <v>1440</v>
      </c>
      <c r="F74" s="8" t="s">
        <v>37</v>
      </c>
      <c r="G74" s="2" t="s">
        <v>59</v>
      </c>
      <c r="H74" s="44" t="s">
        <v>64</v>
      </c>
      <c r="I74" s="2" t="s">
        <v>1262</v>
      </c>
      <c r="J74" s="2" t="s">
        <v>1255</v>
      </c>
      <c r="K74" s="16" t="s">
        <v>1768</v>
      </c>
    </row>
    <row r="75" spans="1:11" ht="160.05000000000001" customHeight="1">
      <c r="A75" s="22" t="s">
        <v>1268</v>
      </c>
      <c r="B75" s="22" t="s">
        <v>177</v>
      </c>
      <c r="C75" s="2" t="s">
        <v>1269</v>
      </c>
      <c r="D75" s="2" t="s">
        <v>249</v>
      </c>
      <c r="E75" s="43">
        <v>1400</v>
      </c>
      <c r="F75" s="8" t="s">
        <v>37</v>
      </c>
      <c r="G75" s="2" t="s">
        <v>59</v>
      </c>
      <c r="H75" s="44" t="s">
        <v>64</v>
      </c>
      <c r="I75" s="2" t="s">
        <v>1280</v>
      </c>
      <c r="J75" s="2" t="s">
        <v>1276</v>
      </c>
      <c r="K75" s="16" t="s">
        <v>1725</v>
      </c>
    </row>
    <row r="76" spans="1:11" ht="160.05000000000001" customHeight="1">
      <c r="A76" s="22" t="s">
        <v>1286</v>
      </c>
      <c r="B76" s="22" t="s">
        <v>177</v>
      </c>
      <c r="C76" s="2" t="s">
        <v>1287</v>
      </c>
      <c r="D76" s="2" t="s">
        <v>1288</v>
      </c>
      <c r="E76" s="43">
        <v>1000</v>
      </c>
      <c r="F76" s="8" t="s">
        <v>37</v>
      </c>
      <c r="G76" s="2" t="s">
        <v>59</v>
      </c>
      <c r="H76" s="44" t="s">
        <v>64</v>
      </c>
      <c r="I76" s="2" t="s">
        <v>1300</v>
      </c>
      <c r="J76" s="2" t="s">
        <v>1296</v>
      </c>
      <c r="K76" s="16" t="s">
        <v>1726</v>
      </c>
    </row>
    <row r="77" spans="1:11" ht="105.45" customHeight="1">
      <c r="A77" s="22" t="s">
        <v>1304</v>
      </c>
      <c r="B77" s="22" t="s">
        <v>177</v>
      </c>
      <c r="C77" s="2" t="s">
        <v>1305</v>
      </c>
      <c r="D77" s="2" t="s">
        <v>530</v>
      </c>
      <c r="E77" s="43">
        <v>612</v>
      </c>
      <c r="F77" s="8" t="s">
        <v>37</v>
      </c>
      <c r="G77" s="2" t="s">
        <v>59</v>
      </c>
      <c r="H77" s="44" t="s">
        <v>64</v>
      </c>
      <c r="I77" s="2" t="s">
        <v>1317</v>
      </c>
      <c r="J77" s="2" t="s">
        <v>1310</v>
      </c>
      <c r="K77" s="16" t="s">
        <v>1727</v>
      </c>
    </row>
    <row r="78" spans="1:11" ht="160.05000000000001" customHeight="1">
      <c r="A78" s="22" t="s">
        <v>1321</v>
      </c>
      <c r="B78" s="22" t="s">
        <v>177</v>
      </c>
      <c r="C78" s="2" t="s">
        <v>1322</v>
      </c>
      <c r="D78" s="2" t="s">
        <v>1323</v>
      </c>
      <c r="E78" s="43">
        <v>540</v>
      </c>
      <c r="F78" s="8" t="s">
        <v>37</v>
      </c>
      <c r="G78" s="2" t="s">
        <v>59</v>
      </c>
      <c r="H78" s="44" t="s">
        <v>64</v>
      </c>
      <c r="I78" s="2" t="s">
        <v>1336</v>
      </c>
      <c r="J78" s="2" t="s">
        <v>1330</v>
      </c>
      <c r="K78" s="16" t="s">
        <v>1728</v>
      </c>
    </row>
    <row r="79" spans="1:11" ht="160.05000000000001" customHeight="1">
      <c r="A79" s="22" t="s">
        <v>1340</v>
      </c>
      <c r="B79" s="22" t="s">
        <v>179</v>
      </c>
      <c r="C79" s="2" t="s">
        <v>1341</v>
      </c>
      <c r="D79" s="2" t="s">
        <v>1342</v>
      </c>
      <c r="E79" s="43">
        <v>488</v>
      </c>
      <c r="F79" s="8" t="s">
        <v>37</v>
      </c>
      <c r="G79" s="2" t="s">
        <v>59</v>
      </c>
      <c r="H79" s="44" t="s">
        <v>64</v>
      </c>
      <c r="I79" s="2" t="s">
        <v>1355</v>
      </c>
      <c r="J79" s="2" t="s">
        <v>1350</v>
      </c>
      <c r="K79" s="16" t="s">
        <v>1757</v>
      </c>
    </row>
    <row r="80" spans="1:11" ht="160.05000000000001" customHeight="1">
      <c r="A80" s="22" t="s">
        <v>1359</v>
      </c>
      <c r="B80" s="22" t="s">
        <v>177</v>
      </c>
      <c r="C80" s="2" t="s">
        <v>1360</v>
      </c>
      <c r="D80" s="2" t="s">
        <v>380</v>
      </c>
      <c r="E80" s="43">
        <v>450</v>
      </c>
      <c r="F80" s="8" t="s">
        <v>37</v>
      </c>
      <c r="G80" s="2" t="s">
        <v>59</v>
      </c>
      <c r="H80" s="44" t="s">
        <v>64</v>
      </c>
      <c r="I80" s="2" t="s">
        <v>1371</v>
      </c>
      <c r="J80" s="2" t="s">
        <v>1366</v>
      </c>
      <c r="K80" s="16" t="s">
        <v>1729</v>
      </c>
    </row>
    <row r="81" spans="1:11" ht="160.05000000000001" customHeight="1">
      <c r="A81" s="22" t="s">
        <v>1375</v>
      </c>
      <c r="B81" s="22" t="s">
        <v>179</v>
      </c>
      <c r="C81" s="2" t="s">
        <v>1376</v>
      </c>
      <c r="D81" s="2" t="s">
        <v>1377</v>
      </c>
      <c r="E81" s="43">
        <v>400</v>
      </c>
      <c r="F81" s="8" t="s">
        <v>37</v>
      </c>
      <c r="G81" s="2" t="s">
        <v>59</v>
      </c>
      <c r="H81" s="44" t="s">
        <v>64</v>
      </c>
      <c r="I81" s="2" t="s">
        <v>1387</v>
      </c>
      <c r="J81" s="2" t="s">
        <v>1384</v>
      </c>
      <c r="K81" s="16" t="s">
        <v>1758</v>
      </c>
    </row>
    <row r="82" spans="1:11" ht="91.05" customHeight="1">
      <c r="A82" s="22" t="s">
        <v>1391</v>
      </c>
      <c r="B82" s="22" t="s">
        <v>177</v>
      </c>
      <c r="C82" s="2" t="s">
        <v>1392</v>
      </c>
      <c r="D82" s="2" t="s">
        <v>1393</v>
      </c>
      <c r="E82" s="43">
        <v>348</v>
      </c>
      <c r="F82" s="8" t="s">
        <v>37</v>
      </c>
      <c r="G82" s="2" t="s">
        <v>59</v>
      </c>
      <c r="H82" s="44" t="s">
        <v>64</v>
      </c>
      <c r="I82" s="2" t="s">
        <v>1405</v>
      </c>
      <c r="J82" s="2" t="s">
        <v>1398</v>
      </c>
      <c r="K82" s="16" t="s">
        <v>1730</v>
      </c>
    </row>
    <row r="83" spans="1:11" ht="160.05000000000001" customHeight="1">
      <c r="A83" s="22" t="s">
        <v>1409</v>
      </c>
      <c r="B83" s="22" t="s">
        <v>177</v>
      </c>
      <c r="C83" s="2" t="s">
        <v>1410</v>
      </c>
      <c r="D83" s="2" t="s">
        <v>1411</v>
      </c>
      <c r="E83" s="43">
        <v>342</v>
      </c>
      <c r="F83" s="8" t="s">
        <v>37</v>
      </c>
      <c r="G83" s="2" t="s">
        <v>59</v>
      </c>
      <c r="H83" s="44" t="s">
        <v>64</v>
      </c>
      <c r="I83" s="2" t="s">
        <v>1419</v>
      </c>
      <c r="J83" s="2" t="s">
        <v>1415</v>
      </c>
      <c r="K83" s="16" t="s">
        <v>1731</v>
      </c>
    </row>
    <row r="84" spans="1:11" ht="160.05000000000001" customHeight="1">
      <c r="A84" s="22" t="s">
        <v>1424</v>
      </c>
      <c r="B84" s="22" t="s">
        <v>179</v>
      </c>
      <c r="C84" s="2" t="s">
        <v>1425</v>
      </c>
      <c r="D84" s="2" t="s">
        <v>1426</v>
      </c>
      <c r="E84" s="43">
        <v>336</v>
      </c>
      <c r="F84" s="8" t="s">
        <v>37</v>
      </c>
      <c r="G84" s="2" t="s">
        <v>59</v>
      </c>
      <c r="H84" s="44" t="s">
        <v>64</v>
      </c>
      <c r="I84" s="2" t="s">
        <v>1438</v>
      </c>
      <c r="J84" s="2" t="s">
        <v>1433</v>
      </c>
      <c r="K84" s="16" t="s">
        <v>1759</v>
      </c>
    </row>
    <row r="85" spans="1:11" ht="160.05000000000001" customHeight="1">
      <c r="A85" s="22" t="s">
        <v>1442</v>
      </c>
      <c r="B85" s="22" t="s">
        <v>179</v>
      </c>
      <c r="C85" s="2" t="s">
        <v>1443</v>
      </c>
      <c r="D85" s="2" t="s">
        <v>1444</v>
      </c>
      <c r="E85" s="43">
        <v>250</v>
      </c>
      <c r="F85" s="8" t="s">
        <v>37</v>
      </c>
      <c r="G85" s="2" t="s">
        <v>59</v>
      </c>
      <c r="H85" s="44" t="s">
        <v>64</v>
      </c>
      <c r="I85" s="2" t="s">
        <v>1453</v>
      </c>
      <c r="J85" s="2" t="s">
        <v>1450</v>
      </c>
      <c r="K85" s="16" t="s">
        <v>1760</v>
      </c>
    </row>
    <row r="86" spans="1:11" ht="160.05000000000001" customHeight="1">
      <c r="A86" s="22" t="s">
        <v>1457</v>
      </c>
      <c r="B86" s="22" t="s">
        <v>179</v>
      </c>
      <c r="C86" s="2" t="s">
        <v>1458</v>
      </c>
      <c r="D86" s="2" t="s">
        <v>1459</v>
      </c>
      <c r="E86" s="43">
        <v>250</v>
      </c>
      <c r="F86" s="8" t="s">
        <v>37</v>
      </c>
      <c r="G86" s="2" t="s">
        <v>59</v>
      </c>
      <c r="H86" s="44" t="s">
        <v>64</v>
      </c>
      <c r="I86" s="2" t="s">
        <v>1467</v>
      </c>
      <c r="J86" s="2" t="s">
        <v>1464</v>
      </c>
      <c r="K86" s="16" t="s">
        <v>1761</v>
      </c>
    </row>
    <row r="87" spans="1:11" ht="160.05000000000001" customHeight="1">
      <c r="A87" s="22" t="s">
        <v>1471</v>
      </c>
      <c r="B87" s="22" t="s">
        <v>179</v>
      </c>
      <c r="C87" s="2" t="s">
        <v>1472</v>
      </c>
      <c r="D87" s="2" t="s">
        <v>1473</v>
      </c>
      <c r="E87" s="43">
        <v>240</v>
      </c>
      <c r="F87" s="8" t="s">
        <v>37</v>
      </c>
      <c r="G87" s="2" t="s">
        <v>59</v>
      </c>
      <c r="H87" s="44" t="s">
        <v>64</v>
      </c>
      <c r="I87" s="2" t="s">
        <v>1486</v>
      </c>
      <c r="J87" s="2" t="s">
        <v>1481</v>
      </c>
      <c r="K87" s="16" t="s">
        <v>1762</v>
      </c>
    </row>
    <row r="88" spans="1:11" ht="134.55000000000001" customHeight="1">
      <c r="A88" s="22" t="s">
        <v>1491</v>
      </c>
      <c r="B88" s="22" t="s">
        <v>177</v>
      </c>
      <c r="C88" s="2" t="s">
        <v>1492</v>
      </c>
      <c r="D88" s="2" t="s">
        <v>1493</v>
      </c>
      <c r="E88" s="43">
        <v>169</v>
      </c>
      <c r="F88" s="8" t="s">
        <v>37</v>
      </c>
      <c r="G88" s="2" t="s">
        <v>59</v>
      </c>
      <c r="H88" s="44" t="s">
        <v>64</v>
      </c>
      <c r="I88" s="2" t="s">
        <v>1502</v>
      </c>
      <c r="J88" s="2" t="s">
        <v>1498</v>
      </c>
      <c r="K88" s="16" t="s">
        <v>1732</v>
      </c>
    </row>
    <row r="89" spans="1:11" ht="134.55000000000001" customHeight="1">
      <c r="A89" s="22" t="s">
        <v>1507</v>
      </c>
      <c r="B89" s="22" t="s">
        <v>177</v>
      </c>
      <c r="C89" s="2" t="s">
        <v>1508</v>
      </c>
      <c r="D89" s="2" t="s">
        <v>1509</v>
      </c>
      <c r="E89" s="43">
        <v>144</v>
      </c>
      <c r="F89" s="8" t="s">
        <v>37</v>
      </c>
      <c r="G89" s="2" t="s">
        <v>59</v>
      </c>
      <c r="H89" s="44" t="s">
        <v>64</v>
      </c>
      <c r="I89" s="2" t="s">
        <v>1516</v>
      </c>
      <c r="J89" s="2" t="s">
        <v>1513</v>
      </c>
      <c r="K89" s="16" t="s">
        <v>1733</v>
      </c>
    </row>
    <row r="90" spans="1:11" ht="160.05000000000001" customHeight="1">
      <c r="A90" s="32" t="s">
        <v>1520</v>
      </c>
      <c r="B90" s="32" t="s">
        <v>177</v>
      </c>
      <c r="C90" s="33" t="s">
        <v>1521</v>
      </c>
      <c r="D90" s="33" t="s">
        <v>1522</v>
      </c>
      <c r="E90" s="36">
        <v>140</v>
      </c>
      <c r="F90" s="51" t="s">
        <v>37</v>
      </c>
      <c r="G90" s="9" t="s">
        <v>61</v>
      </c>
      <c r="H90" s="38" t="s">
        <v>66</v>
      </c>
      <c r="I90" s="33" t="s">
        <v>1529</v>
      </c>
      <c r="J90" s="33" t="s">
        <v>1526</v>
      </c>
      <c r="K90" s="39" t="s">
        <v>1734</v>
      </c>
    </row>
    <row r="91" spans="1:11" ht="76.5" customHeight="1">
      <c r="A91" s="22" t="s">
        <v>1533</v>
      </c>
      <c r="B91" s="22" t="s">
        <v>177</v>
      </c>
      <c r="C91" s="2" t="s">
        <v>1534</v>
      </c>
      <c r="D91" s="2" t="s">
        <v>530</v>
      </c>
      <c r="E91" s="43">
        <v>134.4</v>
      </c>
      <c r="F91" s="8" t="s">
        <v>37</v>
      </c>
      <c r="G91" s="2" t="s">
        <v>59</v>
      </c>
      <c r="H91" s="44" t="s">
        <v>64</v>
      </c>
      <c r="I91" s="2" t="s">
        <v>1545</v>
      </c>
      <c r="J91" s="2" t="s">
        <v>1540</v>
      </c>
      <c r="K91" s="16" t="s">
        <v>1735</v>
      </c>
    </row>
    <row r="92" spans="1:11" ht="160.05000000000001" customHeight="1">
      <c r="A92" s="22" t="s">
        <v>1547</v>
      </c>
      <c r="B92" s="22" t="s">
        <v>177</v>
      </c>
      <c r="C92" s="2" t="s">
        <v>1548</v>
      </c>
      <c r="D92" s="2" t="s">
        <v>1549</v>
      </c>
      <c r="E92" s="43">
        <v>96</v>
      </c>
      <c r="F92" s="8" t="s">
        <v>37</v>
      </c>
      <c r="G92" s="2" t="s">
        <v>59</v>
      </c>
      <c r="H92" s="44" t="s">
        <v>64</v>
      </c>
      <c r="I92" s="2" t="s">
        <v>1557</v>
      </c>
      <c r="J92" s="2" t="s">
        <v>1552</v>
      </c>
      <c r="K92" s="16" t="s">
        <v>1708</v>
      </c>
    </row>
    <row r="93" spans="1:11" ht="105.45" customHeight="1">
      <c r="A93" s="22" t="s">
        <v>1562</v>
      </c>
      <c r="B93" s="22" t="s">
        <v>177</v>
      </c>
      <c r="C93" s="2" t="s">
        <v>1563</v>
      </c>
      <c r="D93" s="2" t="s">
        <v>530</v>
      </c>
      <c r="E93" s="43">
        <v>90</v>
      </c>
      <c r="F93" s="8" t="s">
        <v>37</v>
      </c>
      <c r="G93" s="2" t="s">
        <v>59</v>
      </c>
      <c r="H93" s="44" t="s">
        <v>64</v>
      </c>
      <c r="I93" s="2" t="s">
        <v>1571</v>
      </c>
      <c r="J93" s="2" t="s">
        <v>1566</v>
      </c>
      <c r="K93" s="16" t="s">
        <v>1736</v>
      </c>
    </row>
    <row r="94" spans="1:11" ht="160.05000000000001" customHeight="1">
      <c r="A94" s="22" t="s">
        <v>1575</v>
      </c>
      <c r="B94" s="22" t="s">
        <v>177</v>
      </c>
      <c r="C94" s="2" t="s">
        <v>1576</v>
      </c>
      <c r="D94" s="2" t="s">
        <v>1577</v>
      </c>
      <c r="E94" s="43">
        <v>70</v>
      </c>
      <c r="F94" s="8" t="s">
        <v>37</v>
      </c>
      <c r="G94" s="2" t="s">
        <v>59</v>
      </c>
      <c r="H94" s="46" t="s">
        <v>66</v>
      </c>
      <c r="I94" s="2" t="s">
        <v>1584</v>
      </c>
      <c r="J94" s="2" t="s">
        <v>1581</v>
      </c>
      <c r="K94" s="16" t="s">
        <v>1737</v>
      </c>
    </row>
    <row r="95" spans="1:11" ht="160.05000000000001" customHeight="1">
      <c r="A95" s="32" t="s">
        <v>1588</v>
      </c>
      <c r="B95" s="32" t="s">
        <v>189</v>
      </c>
      <c r="C95" s="33" t="s">
        <v>1589</v>
      </c>
      <c r="D95" s="33" t="s">
        <v>441</v>
      </c>
      <c r="E95" s="36">
        <v>52</v>
      </c>
      <c r="F95" s="51" t="s">
        <v>37</v>
      </c>
      <c r="G95" s="9" t="s">
        <v>61</v>
      </c>
      <c r="H95" s="52" t="s">
        <v>64</v>
      </c>
      <c r="I95" s="33" t="s">
        <v>1604</v>
      </c>
      <c r="J95" s="33" t="s">
        <v>1598</v>
      </c>
      <c r="K95" s="39" t="s">
        <v>1784</v>
      </c>
    </row>
    <row r="96" spans="1:11" ht="160.05000000000001" customHeight="1">
      <c r="A96" s="22" t="s">
        <v>1609</v>
      </c>
      <c r="B96" s="22" t="s">
        <v>179</v>
      </c>
      <c r="C96" s="2" t="s">
        <v>1610</v>
      </c>
      <c r="D96" s="2" t="s">
        <v>1611</v>
      </c>
      <c r="E96" s="43">
        <v>40</v>
      </c>
      <c r="F96" s="8" t="s">
        <v>37</v>
      </c>
      <c r="G96" s="2" t="s">
        <v>59</v>
      </c>
      <c r="H96" s="46" t="s">
        <v>66</v>
      </c>
      <c r="I96" s="2" t="s">
        <v>1623</v>
      </c>
      <c r="J96" s="2" t="s">
        <v>1618</v>
      </c>
      <c r="K96" s="16" t="s">
        <v>1763</v>
      </c>
    </row>
    <row r="97" spans="1:11" ht="160.05000000000001" customHeight="1">
      <c r="A97" s="32" t="s">
        <v>1627</v>
      </c>
      <c r="B97" s="32" t="s">
        <v>177</v>
      </c>
      <c r="C97" s="33" t="s">
        <v>1628</v>
      </c>
      <c r="D97" s="33" t="s">
        <v>1629</v>
      </c>
      <c r="E97" s="36">
        <v>38</v>
      </c>
      <c r="F97" s="51" t="s">
        <v>37</v>
      </c>
      <c r="G97" s="9" t="s">
        <v>61</v>
      </c>
      <c r="H97" s="38" t="s">
        <v>66</v>
      </c>
      <c r="I97" s="33" t="s">
        <v>1640</v>
      </c>
      <c r="J97" s="33" t="s">
        <v>1637</v>
      </c>
      <c r="K97" s="39" t="s">
        <v>1738</v>
      </c>
    </row>
    <row r="98" spans="1:11" ht="160.05000000000001" customHeight="1">
      <c r="A98" s="32" t="s">
        <v>1644</v>
      </c>
      <c r="B98" s="32" t="s">
        <v>181</v>
      </c>
      <c r="C98" s="33" t="s">
        <v>1645</v>
      </c>
      <c r="D98" s="33" t="s">
        <v>1646</v>
      </c>
      <c r="E98" s="54" t="s">
        <v>307</v>
      </c>
      <c r="F98" s="51" t="s">
        <v>37</v>
      </c>
      <c r="G98" s="9" t="s">
        <v>61</v>
      </c>
      <c r="H98" s="38" t="s">
        <v>66</v>
      </c>
      <c r="I98" s="33" t="s">
        <v>1657</v>
      </c>
      <c r="J98" s="33" t="s">
        <v>1654</v>
      </c>
      <c r="K98" s="39" t="s">
        <v>1769</v>
      </c>
    </row>
    <row r="99" spans="1:11" ht="120" customHeight="1">
      <c r="A99" s="32" t="s">
        <v>1660</v>
      </c>
      <c r="B99" s="32" t="s">
        <v>179</v>
      </c>
      <c r="C99" s="33" t="s">
        <v>1661</v>
      </c>
      <c r="D99" s="33" t="s">
        <v>1662</v>
      </c>
      <c r="E99" s="54" t="s">
        <v>307</v>
      </c>
      <c r="F99" s="51" t="s">
        <v>37</v>
      </c>
      <c r="G99" s="9" t="s">
        <v>61</v>
      </c>
      <c r="H99" s="47" t="s">
        <v>68</v>
      </c>
      <c r="I99" s="33" t="s">
        <v>1671</v>
      </c>
      <c r="J99" s="33" t="s">
        <v>1668</v>
      </c>
      <c r="K99" s="39" t="s">
        <v>1764</v>
      </c>
    </row>
    <row r="100" spans="1:11" ht="160.05000000000001" customHeight="1">
      <c r="A100" s="32" t="s">
        <v>1674</v>
      </c>
      <c r="B100" s="32" t="s">
        <v>179</v>
      </c>
      <c r="C100" s="33" t="s">
        <v>1675</v>
      </c>
      <c r="D100" s="33" t="s">
        <v>1676</v>
      </c>
      <c r="E100" s="54" t="s">
        <v>307</v>
      </c>
      <c r="F100" s="51" t="s">
        <v>37</v>
      </c>
      <c r="G100" s="9" t="s">
        <v>61</v>
      </c>
      <c r="H100" s="38" t="s">
        <v>66</v>
      </c>
      <c r="I100" s="33" t="s">
        <v>1686</v>
      </c>
      <c r="J100" s="33" t="s">
        <v>1683</v>
      </c>
      <c r="K100" s="39" t="s">
        <v>1765</v>
      </c>
    </row>
    <row r="102" spans="1:11" ht="22.05" customHeight="1">
      <c r="A102" s="70" t="s">
        <v>1895</v>
      </c>
      <c r="B102" s="71"/>
      <c r="C102" s="71"/>
      <c r="D102" s="71"/>
      <c r="E102" s="71"/>
      <c r="F102" s="71"/>
      <c r="G102" s="71"/>
      <c r="H102" s="71"/>
      <c r="I102" s="71"/>
      <c r="J102" s="71"/>
      <c r="K102" s="71"/>
    </row>
    <row r="103" spans="1:11" ht="31.95" customHeight="1">
      <c r="A103" s="20" t="s">
        <v>216</v>
      </c>
      <c r="B103" s="20" t="s">
        <v>173</v>
      </c>
      <c r="C103" s="20" t="s">
        <v>217</v>
      </c>
      <c r="D103" s="20" t="s">
        <v>218</v>
      </c>
      <c r="E103" s="20" t="s">
        <v>226</v>
      </c>
      <c r="F103" s="20" t="s">
        <v>101</v>
      </c>
      <c r="G103" s="20" t="s">
        <v>230</v>
      </c>
      <c r="H103" s="20" t="s">
        <v>103</v>
      </c>
      <c r="I103" s="20" t="s">
        <v>240</v>
      </c>
      <c r="J103" s="20" t="s">
        <v>233</v>
      </c>
      <c r="K103" s="20" t="s">
        <v>1704</v>
      </c>
    </row>
    <row r="104" spans="1:11" ht="160.05000000000001" customHeight="1">
      <c r="A104" s="32" t="s">
        <v>339</v>
      </c>
      <c r="B104" s="32" t="s">
        <v>179</v>
      </c>
      <c r="C104" s="33" t="s">
        <v>340</v>
      </c>
      <c r="D104" s="33" t="s">
        <v>341</v>
      </c>
      <c r="E104" s="36">
        <v>12</v>
      </c>
      <c r="F104" s="45" t="s">
        <v>35</v>
      </c>
      <c r="G104" s="9" t="s">
        <v>61</v>
      </c>
      <c r="H104" s="47" t="s">
        <v>68</v>
      </c>
      <c r="I104" s="33" t="s">
        <v>356</v>
      </c>
      <c r="J104" s="33" t="s">
        <v>350</v>
      </c>
      <c r="K104" s="39" t="s">
        <v>1742</v>
      </c>
    </row>
    <row r="105" spans="1:11" ht="134.55000000000001" customHeight="1">
      <c r="A105" s="22" t="s">
        <v>361</v>
      </c>
      <c r="B105" s="22" t="s">
        <v>177</v>
      </c>
      <c r="C105" s="2" t="s">
        <v>362</v>
      </c>
      <c r="D105" s="2" t="s">
        <v>363</v>
      </c>
      <c r="E105" s="48" t="s">
        <v>307</v>
      </c>
      <c r="F105" s="7" t="s">
        <v>35</v>
      </c>
      <c r="G105" s="2" t="s">
        <v>59</v>
      </c>
      <c r="H105" s="49" t="s">
        <v>68</v>
      </c>
      <c r="I105" s="2" t="s">
        <v>375</v>
      </c>
      <c r="J105" s="2" t="s">
        <v>370</v>
      </c>
      <c r="K105" s="16" t="s">
        <v>1707</v>
      </c>
    </row>
    <row r="106" spans="1:11" ht="160.05000000000001" customHeight="1">
      <c r="A106" s="32" t="s">
        <v>1164</v>
      </c>
      <c r="B106" s="32" t="s">
        <v>185</v>
      </c>
      <c r="C106" s="33" t="s">
        <v>1165</v>
      </c>
      <c r="D106" s="33" t="s">
        <v>1166</v>
      </c>
      <c r="E106" s="36">
        <v>8</v>
      </c>
      <c r="F106" s="53" t="s">
        <v>31</v>
      </c>
      <c r="G106" s="9" t="s">
        <v>61</v>
      </c>
      <c r="H106" s="47" t="s">
        <v>68</v>
      </c>
      <c r="I106" s="33" t="s">
        <v>1179</v>
      </c>
      <c r="J106" s="33" t="s">
        <v>1174</v>
      </c>
      <c r="K106" s="39" t="s">
        <v>1777</v>
      </c>
    </row>
    <row r="107" spans="1:11" ht="91.05" customHeight="1">
      <c r="A107" s="32" t="s">
        <v>1197</v>
      </c>
      <c r="B107" s="32" t="s">
        <v>179</v>
      </c>
      <c r="C107" s="33" t="s">
        <v>1198</v>
      </c>
      <c r="D107" s="33" t="s">
        <v>1199</v>
      </c>
      <c r="E107" s="54" t="s">
        <v>307</v>
      </c>
      <c r="F107" s="53" t="s">
        <v>31</v>
      </c>
      <c r="G107" s="9" t="s">
        <v>61</v>
      </c>
      <c r="H107" s="47" t="s">
        <v>68</v>
      </c>
      <c r="I107" s="33" t="s">
        <v>1211</v>
      </c>
      <c r="J107" s="33" t="s">
        <v>1208</v>
      </c>
      <c r="K107" s="39" t="s">
        <v>1754</v>
      </c>
    </row>
    <row r="108" spans="1:11" ht="148.94999999999999" customHeight="1">
      <c r="A108" s="32" t="s">
        <v>1230</v>
      </c>
      <c r="B108" s="32" t="s">
        <v>179</v>
      </c>
      <c r="C108" s="33" t="s">
        <v>1231</v>
      </c>
      <c r="D108" s="33" t="s">
        <v>1232</v>
      </c>
      <c r="E108" s="54" t="s">
        <v>307</v>
      </c>
      <c r="F108" s="53" t="s">
        <v>31</v>
      </c>
      <c r="G108" s="9" t="s">
        <v>61</v>
      </c>
      <c r="H108" s="47" t="s">
        <v>68</v>
      </c>
      <c r="I108" s="33" t="s">
        <v>1242</v>
      </c>
      <c r="J108" s="33" t="s">
        <v>1239</v>
      </c>
      <c r="K108" s="39" t="s">
        <v>1756</v>
      </c>
    </row>
    <row r="109" spans="1:11" ht="120" customHeight="1">
      <c r="A109" s="32" t="s">
        <v>1660</v>
      </c>
      <c r="B109" s="32" t="s">
        <v>179</v>
      </c>
      <c r="C109" s="33" t="s">
        <v>1661</v>
      </c>
      <c r="D109" s="33" t="s">
        <v>1662</v>
      </c>
      <c r="E109" s="54" t="s">
        <v>307</v>
      </c>
      <c r="F109" s="51" t="s">
        <v>37</v>
      </c>
      <c r="G109" s="9" t="s">
        <v>61</v>
      </c>
      <c r="H109" s="47" t="s">
        <v>68</v>
      </c>
      <c r="I109" s="33" t="s">
        <v>1671</v>
      </c>
      <c r="J109" s="33" t="s">
        <v>1668</v>
      </c>
      <c r="K109" s="39" t="s">
        <v>1764</v>
      </c>
    </row>
    <row r="111" spans="1:11" ht="22.05" customHeight="1">
      <c r="A111" s="70" t="s">
        <v>1896</v>
      </c>
      <c r="B111" s="71"/>
      <c r="C111" s="71"/>
      <c r="D111" s="71"/>
      <c r="E111" s="71"/>
      <c r="F111" s="71"/>
      <c r="G111" s="71"/>
      <c r="H111" s="71"/>
      <c r="I111" s="71"/>
      <c r="J111" s="71"/>
      <c r="K111" s="71"/>
    </row>
    <row r="112" spans="1:11" ht="31.95" customHeight="1">
      <c r="A112" s="20" t="s">
        <v>216</v>
      </c>
      <c r="B112" s="20" t="s">
        <v>173</v>
      </c>
      <c r="C112" s="20" t="s">
        <v>217</v>
      </c>
      <c r="D112" s="20" t="s">
        <v>218</v>
      </c>
      <c r="E112" s="20" t="s">
        <v>226</v>
      </c>
      <c r="F112" s="20" t="s">
        <v>101</v>
      </c>
      <c r="G112" s="20" t="s">
        <v>230</v>
      </c>
      <c r="H112" s="20" t="s">
        <v>103</v>
      </c>
      <c r="I112" s="20" t="s">
        <v>231</v>
      </c>
      <c r="J112" s="20" t="s">
        <v>237</v>
      </c>
      <c r="K112" s="20" t="s">
        <v>1704</v>
      </c>
    </row>
    <row r="113" spans="1:11" ht="76.5" customHeight="1">
      <c r="A113" s="32" t="s">
        <v>247</v>
      </c>
      <c r="B113" s="32" t="s">
        <v>179</v>
      </c>
      <c r="C113" s="33" t="s">
        <v>248</v>
      </c>
      <c r="D113" s="33" t="s">
        <v>249</v>
      </c>
      <c r="E113" s="36">
        <v>155</v>
      </c>
      <c r="F113" s="37" t="s">
        <v>33</v>
      </c>
      <c r="G113" s="9" t="s">
        <v>61</v>
      </c>
      <c r="H113" s="38" t="s">
        <v>66</v>
      </c>
      <c r="I113" s="33" t="s">
        <v>256</v>
      </c>
      <c r="J113" s="33" t="s">
        <v>262</v>
      </c>
      <c r="K113" s="39" t="s">
        <v>1740</v>
      </c>
    </row>
    <row r="114" spans="1:11" ht="105.45" customHeight="1">
      <c r="A114" s="32" t="s">
        <v>295</v>
      </c>
      <c r="B114" s="32" t="s">
        <v>179</v>
      </c>
      <c r="C114" s="33" t="s">
        <v>296</v>
      </c>
      <c r="D114" s="33" t="s">
        <v>297</v>
      </c>
      <c r="E114" s="36">
        <v>276</v>
      </c>
      <c r="F114" s="45" t="s">
        <v>35</v>
      </c>
      <c r="G114" s="9" t="s">
        <v>61</v>
      </c>
      <c r="H114" s="38" t="s">
        <v>66</v>
      </c>
      <c r="I114" s="33" t="s">
        <v>304</v>
      </c>
      <c r="J114" s="33" t="s">
        <v>308</v>
      </c>
      <c r="K114" s="39" t="s">
        <v>1741</v>
      </c>
    </row>
    <row r="115" spans="1:11" ht="105.45" customHeight="1">
      <c r="A115" s="32" t="s">
        <v>339</v>
      </c>
      <c r="B115" s="32" t="s">
        <v>179</v>
      </c>
      <c r="C115" s="33" t="s">
        <v>340</v>
      </c>
      <c r="D115" s="33" t="s">
        <v>341</v>
      </c>
      <c r="E115" s="36">
        <v>12</v>
      </c>
      <c r="F115" s="45" t="s">
        <v>35</v>
      </c>
      <c r="G115" s="9" t="s">
        <v>61</v>
      </c>
      <c r="H115" s="47" t="s">
        <v>68</v>
      </c>
      <c r="I115" s="33" t="s">
        <v>348</v>
      </c>
      <c r="J115" s="33" t="s">
        <v>354</v>
      </c>
      <c r="K115" s="39" t="s">
        <v>1742</v>
      </c>
    </row>
    <row r="116" spans="1:11" ht="160.05000000000001" customHeight="1">
      <c r="A116" s="32" t="s">
        <v>439</v>
      </c>
      <c r="B116" s="32" t="s">
        <v>189</v>
      </c>
      <c r="C116" s="33" t="s">
        <v>440</v>
      </c>
      <c r="D116" s="33" t="s">
        <v>441</v>
      </c>
      <c r="E116" s="36">
        <v>84</v>
      </c>
      <c r="F116" s="50" t="s">
        <v>29</v>
      </c>
      <c r="G116" s="9" t="s">
        <v>61</v>
      </c>
      <c r="H116" s="38" t="s">
        <v>66</v>
      </c>
      <c r="I116" s="33" t="s">
        <v>448</v>
      </c>
      <c r="J116" s="33" t="s">
        <v>454</v>
      </c>
      <c r="K116" s="39" t="s">
        <v>1782</v>
      </c>
    </row>
    <row r="117" spans="1:11" ht="160.05000000000001" customHeight="1">
      <c r="A117" s="32" t="s">
        <v>686</v>
      </c>
      <c r="B117" s="32" t="s">
        <v>185</v>
      </c>
      <c r="C117" s="33" t="s">
        <v>687</v>
      </c>
      <c r="D117" s="33" t="s">
        <v>688</v>
      </c>
      <c r="E117" s="36">
        <v>15</v>
      </c>
      <c r="F117" s="45" t="s">
        <v>35</v>
      </c>
      <c r="G117" s="9" t="s">
        <v>61</v>
      </c>
      <c r="H117" s="38" t="s">
        <v>66</v>
      </c>
      <c r="I117" s="33" t="s">
        <v>695</v>
      </c>
      <c r="J117" s="33" t="s">
        <v>701</v>
      </c>
      <c r="K117" s="39" t="s">
        <v>1775</v>
      </c>
    </row>
    <row r="118" spans="1:11" ht="160.05000000000001" customHeight="1">
      <c r="A118" s="32" t="s">
        <v>709</v>
      </c>
      <c r="B118" s="32" t="s">
        <v>191</v>
      </c>
      <c r="C118" s="33" t="s">
        <v>710</v>
      </c>
      <c r="D118" s="33" t="s">
        <v>711</v>
      </c>
      <c r="E118" s="36">
        <v>1000</v>
      </c>
      <c r="F118" s="51" t="s">
        <v>37</v>
      </c>
      <c r="G118" s="9" t="s">
        <v>61</v>
      </c>
      <c r="H118" s="52" t="s">
        <v>64</v>
      </c>
      <c r="I118" s="33" t="s">
        <v>718</v>
      </c>
      <c r="J118" s="33" t="s">
        <v>724</v>
      </c>
      <c r="K118" s="39" t="s">
        <v>1786</v>
      </c>
    </row>
    <row r="119" spans="1:11" ht="160.05000000000001" customHeight="1">
      <c r="A119" s="32" t="s">
        <v>733</v>
      </c>
      <c r="B119" s="32" t="s">
        <v>185</v>
      </c>
      <c r="C119" s="33" t="s">
        <v>734</v>
      </c>
      <c r="D119" s="33" t="s">
        <v>735</v>
      </c>
      <c r="E119" s="36">
        <v>800</v>
      </c>
      <c r="F119" s="51" t="s">
        <v>37</v>
      </c>
      <c r="G119" s="9" t="s">
        <v>61</v>
      </c>
      <c r="H119" s="52" t="s">
        <v>64</v>
      </c>
      <c r="I119" s="33" t="s">
        <v>742</v>
      </c>
      <c r="J119" s="33" t="s">
        <v>748</v>
      </c>
      <c r="K119" s="39" t="s">
        <v>1776</v>
      </c>
    </row>
    <row r="120" spans="1:11" ht="160.05000000000001" customHeight="1">
      <c r="A120" s="32" t="s">
        <v>964</v>
      </c>
      <c r="B120" s="32" t="s">
        <v>189</v>
      </c>
      <c r="C120" s="33" t="s">
        <v>965</v>
      </c>
      <c r="D120" s="33" t="s">
        <v>441</v>
      </c>
      <c r="E120" s="36">
        <v>288</v>
      </c>
      <c r="F120" s="53" t="s">
        <v>31</v>
      </c>
      <c r="G120" s="9" t="s">
        <v>61</v>
      </c>
      <c r="H120" s="52" t="s">
        <v>64</v>
      </c>
      <c r="I120" s="33" t="s">
        <v>972</v>
      </c>
      <c r="J120" s="33" t="s">
        <v>977</v>
      </c>
      <c r="K120" s="39" t="s">
        <v>1783</v>
      </c>
    </row>
    <row r="121" spans="1:11" ht="76.5" customHeight="1">
      <c r="A121" s="32" t="s">
        <v>1124</v>
      </c>
      <c r="B121" s="32" t="s">
        <v>177</v>
      </c>
      <c r="C121" s="33" t="s">
        <v>1125</v>
      </c>
      <c r="D121" s="33" t="s">
        <v>1126</v>
      </c>
      <c r="E121" s="36">
        <v>31.2</v>
      </c>
      <c r="F121" s="53" t="s">
        <v>31</v>
      </c>
      <c r="G121" s="9" t="s">
        <v>61</v>
      </c>
      <c r="H121" s="38" t="s">
        <v>66</v>
      </c>
      <c r="I121" s="33" t="s">
        <v>1133</v>
      </c>
      <c r="J121" s="33" t="s">
        <v>1139</v>
      </c>
      <c r="K121" s="39" t="s">
        <v>1723</v>
      </c>
    </row>
    <row r="122" spans="1:11" ht="91.05" customHeight="1">
      <c r="A122" s="32" t="s">
        <v>1164</v>
      </c>
      <c r="B122" s="32" t="s">
        <v>185</v>
      </c>
      <c r="C122" s="33" t="s">
        <v>1165</v>
      </c>
      <c r="D122" s="33" t="s">
        <v>1166</v>
      </c>
      <c r="E122" s="36">
        <v>8</v>
      </c>
      <c r="F122" s="53" t="s">
        <v>31</v>
      </c>
      <c r="G122" s="9" t="s">
        <v>61</v>
      </c>
      <c r="H122" s="47" t="s">
        <v>68</v>
      </c>
      <c r="I122" s="33" t="s">
        <v>1172</v>
      </c>
      <c r="J122" s="33" t="s">
        <v>1177</v>
      </c>
      <c r="K122" s="39" t="s">
        <v>1777</v>
      </c>
    </row>
    <row r="123" spans="1:11" ht="91.05" customHeight="1">
      <c r="A123" s="32" t="s">
        <v>1197</v>
      </c>
      <c r="B123" s="32" t="s">
        <v>179</v>
      </c>
      <c r="C123" s="33" t="s">
        <v>1198</v>
      </c>
      <c r="D123" s="33" t="s">
        <v>1199</v>
      </c>
      <c r="E123" s="54" t="s">
        <v>307</v>
      </c>
      <c r="F123" s="53" t="s">
        <v>31</v>
      </c>
      <c r="G123" s="9" t="s">
        <v>61</v>
      </c>
      <c r="H123" s="47" t="s">
        <v>68</v>
      </c>
      <c r="I123" s="33" t="s">
        <v>1206</v>
      </c>
      <c r="J123" s="33" t="s">
        <v>1209</v>
      </c>
      <c r="K123" s="39" t="s">
        <v>1754</v>
      </c>
    </row>
    <row r="124" spans="1:11" ht="91.05" customHeight="1">
      <c r="A124" s="32" t="s">
        <v>1215</v>
      </c>
      <c r="B124" s="32" t="s">
        <v>179</v>
      </c>
      <c r="C124" s="33" t="s">
        <v>1216</v>
      </c>
      <c r="D124" s="33" t="s">
        <v>1217</v>
      </c>
      <c r="E124" s="54" t="s">
        <v>307</v>
      </c>
      <c r="F124" s="53" t="s">
        <v>31</v>
      </c>
      <c r="G124" s="9" t="s">
        <v>61</v>
      </c>
      <c r="H124" s="52" t="s">
        <v>64</v>
      </c>
      <c r="I124" s="33" t="s">
        <v>1221</v>
      </c>
      <c r="J124" s="33" t="s">
        <v>1224</v>
      </c>
      <c r="K124" s="39" t="s">
        <v>1755</v>
      </c>
    </row>
    <row r="125" spans="1:11" ht="91.05" customHeight="1">
      <c r="A125" s="32" t="s">
        <v>1230</v>
      </c>
      <c r="B125" s="32" t="s">
        <v>179</v>
      </c>
      <c r="C125" s="33" t="s">
        <v>1231</v>
      </c>
      <c r="D125" s="33" t="s">
        <v>1232</v>
      </c>
      <c r="E125" s="54" t="s">
        <v>307</v>
      </c>
      <c r="F125" s="53" t="s">
        <v>31</v>
      </c>
      <c r="G125" s="9" t="s">
        <v>61</v>
      </c>
      <c r="H125" s="47" t="s">
        <v>68</v>
      </c>
      <c r="I125" s="33" t="s">
        <v>1237</v>
      </c>
      <c r="J125" s="33" t="s">
        <v>1240</v>
      </c>
      <c r="K125" s="39" t="s">
        <v>1756</v>
      </c>
    </row>
    <row r="126" spans="1:11" ht="120" customHeight="1">
      <c r="A126" s="32" t="s">
        <v>1520</v>
      </c>
      <c r="B126" s="32" t="s">
        <v>177</v>
      </c>
      <c r="C126" s="33" t="s">
        <v>1521</v>
      </c>
      <c r="D126" s="33" t="s">
        <v>1522</v>
      </c>
      <c r="E126" s="36">
        <v>140</v>
      </c>
      <c r="F126" s="51" t="s">
        <v>37</v>
      </c>
      <c r="G126" s="9" t="s">
        <v>61</v>
      </c>
      <c r="H126" s="38" t="s">
        <v>66</v>
      </c>
      <c r="I126" s="33" t="s">
        <v>1525</v>
      </c>
      <c r="J126" s="33" t="s">
        <v>1527</v>
      </c>
      <c r="K126" s="39" t="s">
        <v>1734</v>
      </c>
    </row>
    <row r="127" spans="1:11" ht="76.5" customHeight="1">
      <c r="A127" s="32" t="s">
        <v>1588</v>
      </c>
      <c r="B127" s="32" t="s">
        <v>189</v>
      </c>
      <c r="C127" s="33" t="s">
        <v>1589</v>
      </c>
      <c r="D127" s="33" t="s">
        <v>441</v>
      </c>
      <c r="E127" s="36">
        <v>52</v>
      </c>
      <c r="F127" s="51" t="s">
        <v>37</v>
      </c>
      <c r="G127" s="9" t="s">
        <v>61</v>
      </c>
      <c r="H127" s="52" t="s">
        <v>64</v>
      </c>
      <c r="I127" s="33" t="s">
        <v>1596</v>
      </c>
      <c r="J127" s="33" t="s">
        <v>1601</v>
      </c>
      <c r="K127" s="39" t="s">
        <v>1784</v>
      </c>
    </row>
    <row r="128" spans="1:11" ht="105.45" customHeight="1">
      <c r="A128" s="32" t="s">
        <v>1627</v>
      </c>
      <c r="B128" s="32" t="s">
        <v>177</v>
      </c>
      <c r="C128" s="33" t="s">
        <v>1628</v>
      </c>
      <c r="D128" s="33" t="s">
        <v>1629</v>
      </c>
      <c r="E128" s="36">
        <v>38</v>
      </c>
      <c r="F128" s="51" t="s">
        <v>37</v>
      </c>
      <c r="G128" s="9" t="s">
        <v>61</v>
      </c>
      <c r="H128" s="38" t="s">
        <v>66</v>
      </c>
      <c r="I128" s="33" t="s">
        <v>1635</v>
      </c>
      <c r="J128" s="33" t="s">
        <v>1638</v>
      </c>
      <c r="K128" s="39" t="s">
        <v>1738</v>
      </c>
    </row>
    <row r="129" spans="1:11" ht="134.55000000000001" customHeight="1">
      <c r="A129" s="32" t="s">
        <v>1644</v>
      </c>
      <c r="B129" s="32" t="s">
        <v>181</v>
      </c>
      <c r="C129" s="33" t="s">
        <v>1645</v>
      </c>
      <c r="D129" s="33" t="s">
        <v>1646</v>
      </c>
      <c r="E129" s="54" t="s">
        <v>307</v>
      </c>
      <c r="F129" s="51" t="s">
        <v>37</v>
      </c>
      <c r="G129" s="9" t="s">
        <v>61</v>
      </c>
      <c r="H129" s="38" t="s">
        <v>66</v>
      </c>
      <c r="I129" s="33" t="s">
        <v>1653</v>
      </c>
      <c r="J129" s="33" t="s">
        <v>1655</v>
      </c>
      <c r="K129" s="39" t="s">
        <v>1769</v>
      </c>
    </row>
    <row r="130" spans="1:11" ht="120" customHeight="1">
      <c r="A130" s="32" t="s">
        <v>1660</v>
      </c>
      <c r="B130" s="32" t="s">
        <v>179</v>
      </c>
      <c r="C130" s="33" t="s">
        <v>1661</v>
      </c>
      <c r="D130" s="33" t="s">
        <v>1662</v>
      </c>
      <c r="E130" s="54" t="s">
        <v>307</v>
      </c>
      <c r="F130" s="51" t="s">
        <v>37</v>
      </c>
      <c r="G130" s="9" t="s">
        <v>61</v>
      </c>
      <c r="H130" s="47" t="s">
        <v>68</v>
      </c>
      <c r="I130" s="33" t="s">
        <v>1667</v>
      </c>
      <c r="J130" s="33" t="s">
        <v>1669</v>
      </c>
      <c r="K130" s="39" t="s">
        <v>1764</v>
      </c>
    </row>
    <row r="131" spans="1:11" ht="91.05" customHeight="1">
      <c r="A131" s="32" t="s">
        <v>1674</v>
      </c>
      <c r="B131" s="32" t="s">
        <v>179</v>
      </c>
      <c r="C131" s="33" t="s">
        <v>1675</v>
      </c>
      <c r="D131" s="33" t="s">
        <v>1676</v>
      </c>
      <c r="E131" s="54" t="s">
        <v>307</v>
      </c>
      <c r="F131" s="51" t="s">
        <v>37</v>
      </c>
      <c r="G131" s="9" t="s">
        <v>61</v>
      </c>
      <c r="H131" s="38" t="s">
        <v>66</v>
      </c>
      <c r="I131" s="33" t="s">
        <v>1681</v>
      </c>
      <c r="J131" s="33" t="s">
        <v>1684</v>
      </c>
      <c r="K131" s="39" t="s">
        <v>1765</v>
      </c>
    </row>
  </sheetData>
  <mergeCells count="54">
    <mergeCell ref="A22:K22"/>
    <mergeCell ref="A4:K4"/>
    <mergeCell ref="J12:K12"/>
    <mergeCell ref="B15:C15"/>
    <mergeCell ref="B5:C5"/>
    <mergeCell ref="B20:C20"/>
    <mergeCell ref="J18:K18"/>
    <mergeCell ref="D6:I6"/>
    <mergeCell ref="J8:K8"/>
    <mergeCell ref="J17:K17"/>
    <mergeCell ref="A111:K111"/>
    <mergeCell ref="D9:I9"/>
    <mergeCell ref="B14:C14"/>
    <mergeCell ref="D12:I12"/>
    <mergeCell ref="B17:C17"/>
    <mergeCell ref="A102:K102"/>
    <mergeCell ref="D15:I15"/>
    <mergeCell ref="B13:C13"/>
    <mergeCell ref="J11:K11"/>
    <mergeCell ref="J20:K20"/>
    <mergeCell ref="D14:I14"/>
    <mergeCell ref="J16:K16"/>
    <mergeCell ref="B19:C19"/>
    <mergeCell ref="B10:C10"/>
    <mergeCell ref="D20:I20"/>
    <mergeCell ref="B9:C9"/>
    <mergeCell ref="A1:K1"/>
    <mergeCell ref="D7:I7"/>
    <mergeCell ref="J9:K9"/>
    <mergeCell ref="B12:C12"/>
    <mergeCell ref="B11:C11"/>
    <mergeCell ref="J6:K6"/>
    <mergeCell ref="B8:C8"/>
    <mergeCell ref="D8:I8"/>
    <mergeCell ref="D5:I5"/>
    <mergeCell ref="J7:K7"/>
    <mergeCell ref="A2:K2"/>
    <mergeCell ref="B6:C6"/>
    <mergeCell ref="D10:I10"/>
    <mergeCell ref="D17:I17"/>
    <mergeCell ref="J19:K19"/>
    <mergeCell ref="B18:C18"/>
    <mergeCell ref="J13:K13"/>
    <mergeCell ref="D16:I16"/>
    <mergeCell ref="J15:K15"/>
    <mergeCell ref="D18:I18"/>
    <mergeCell ref="D19:I19"/>
    <mergeCell ref="D11:I11"/>
    <mergeCell ref="B16:C16"/>
    <mergeCell ref="B7:C7"/>
    <mergeCell ref="J5:K5"/>
    <mergeCell ref="D13:I13"/>
    <mergeCell ref="J14:K14"/>
    <mergeCell ref="J10:K10"/>
  </mergeCells>
  <phoneticPr fontId="25" type="noConversion"/>
  <hyperlinks>
    <hyperlink ref="K24" r:id="rId1" xr:uid="{00000000-0004-0000-0C00-000000000000}"/>
    <hyperlink ref="K25" r:id="rId2" xr:uid="{00000000-0004-0000-0C00-000001000000}"/>
    <hyperlink ref="K26" r:id="rId3" xr:uid="{00000000-0004-0000-0C00-000002000000}"/>
    <hyperlink ref="K27" r:id="rId4" xr:uid="{00000000-0004-0000-0C00-000003000000}"/>
    <hyperlink ref="K28" r:id="rId5" xr:uid="{00000000-0004-0000-0C00-000004000000}"/>
    <hyperlink ref="K29" r:id="rId6" xr:uid="{00000000-0004-0000-0C00-000005000000}"/>
    <hyperlink ref="K30" r:id="rId7" xr:uid="{00000000-0004-0000-0C00-000006000000}"/>
    <hyperlink ref="K31" r:id="rId8" xr:uid="{00000000-0004-0000-0C00-000007000000}"/>
    <hyperlink ref="K32" r:id="rId9" xr:uid="{00000000-0004-0000-0C00-000008000000}"/>
    <hyperlink ref="K33" r:id="rId10" xr:uid="{00000000-0004-0000-0C00-000009000000}"/>
    <hyperlink ref="K34" r:id="rId11" xr:uid="{00000000-0004-0000-0C00-00000A000000}"/>
    <hyperlink ref="K35" r:id="rId12" xr:uid="{00000000-0004-0000-0C00-00000B000000}"/>
    <hyperlink ref="K36" r:id="rId13" xr:uid="{00000000-0004-0000-0C00-00000C000000}"/>
    <hyperlink ref="K37" r:id="rId14" xr:uid="{00000000-0004-0000-0C00-00000D000000}"/>
    <hyperlink ref="K38" r:id="rId15" xr:uid="{00000000-0004-0000-0C00-00000E000000}"/>
    <hyperlink ref="K39" r:id="rId16" xr:uid="{00000000-0004-0000-0C00-00000F000000}"/>
    <hyperlink ref="K40" r:id="rId17" xr:uid="{00000000-0004-0000-0C00-000010000000}"/>
    <hyperlink ref="K41" r:id="rId18" xr:uid="{00000000-0004-0000-0C00-000011000000}"/>
    <hyperlink ref="K42" r:id="rId19" xr:uid="{00000000-0004-0000-0C00-000012000000}"/>
    <hyperlink ref="K43" r:id="rId20" xr:uid="{00000000-0004-0000-0C00-000013000000}"/>
    <hyperlink ref="K44" r:id="rId21" xr:uid="{00000000-0004-0000-0C00-000014000000}"/>
    <hyperlink ref="K45" r:id="rId22" xr:uid="{00000000-0004-0000-0C00-000015000000}"/>
    <hyperlink ref="K46" r:id="rId23" xr:uid="{00000000-0004-0000-0C00-000016000000}"/>
    <hyperlink ref="K47" r:id="rId24" xr:uid="{00000000-0004-0000-0C00-000017000000}"/>
    <hyperlink ref="K48" r:id="rId25" xr:uid="{00000000-0004-0000-0C00-000018000000}"/>
    <hyperlink ref="K49" r:id="rId26" xr:uid="{00000000-0004-0000-0C00-000019000000}"/>
    <hyperlink ref="K50" r:id="rId27" xr:uid="{00000000-0004-0000-0C00-00001A000000}"/>
    <hyperlink ref="K51" r:id="rId28" xr:uid="{00000000-0004-0000-0C00-00001B000000}"/>
    <hyperlink ref="K52" r:id="rId29" xr:uid="{00000000-0004-0000-0C00-00001C000000}"/>
    <hyperlink ref="K53" r:id="rId30" xr:uid="{00000000-0004-0000-0C00-00001D000000}"/>
    <hyperlink ref="K54" r:id="rId31" xr:uid="{00000000-0004-0000-0C00-00001E000000}"/>
    <hyperlink ref="K55" r:id="rId32" xr:uid="{00000000-0004-0000-0C00-00001F000000}"/>
    <hyperlink ref="K56" r:id="rId33" xr:uid="{00000000-0004-0000-0C00-000020000000}"/>
    <hyperlink ref="K57" r:id="rId34" xr:uid="{00000000-0004-0000-0C00-000021000000}"/>
    <hyperlink ref="K58" r:id="rId35" xr:uid="{00000000-0004-0000-0C00-000022000000}"/>
    <hyperlink ref="K59" r:id="rId36" xr:uid="{00000000-0004-0000-0C00-000023000000}"/>
    <hyperlink ref="K60" r:id="rId37" xr:uid="{00000000-0004-0000-0C00-000024000000}"/>
    <hyperlink ref="K61" r:id="rId38" xr:uid="{00000000-0004-0000-0C00-000025000000}"/>
    <hyperlink ref="K62" r:id="rId39" xr:uid="{00000000-0004-0000-0C00-000026000000}"/>
    <hyperlink ref="K63" r:id="rId40" xr:uid="{00000000-0004-0000-0C00-000027000000}"/>
    <hyperlink ref="K64" r:id="rId41" xr:uid="{00000000-0004-0000-0C00-000028000000}"/>
    <hyperlink ref="K65" r:id="rId42" xr:uid="{00000000-0004-0000-0C00-000029000000}"/>
    <hyperlink ref="K66" r:id="rId43" xr:uid="{00000000-0004-0000-0C00-00002A000000}"/>
    <hyperlink ref="K67" r:id="rId44" xr:uid="{00000000-0004-0000-0C00-00002B000000}"/>
    <hyperlink ref="K68" r:id="rId45" xr:uid="{00000000-0004-0000-0C00-00002C000000}"/>
    <hyperlink ref="K69" r:id="rId46" xr:uid="{00000000-0004-0000-0C00-00002D000000}"/>
    <hyperlink ref="K70" r:id="rId47" xr:uid="{00000000-0004-0000-0C00-00002E000000}"/>
    <hyperlink ref="K71" r:id="rId48" xr:uid="{00000000-0004-0000-0C00-00002F000000}"/>
    <hyperlink ref="K72" r:id="rId49" xr:uid="{00000000-0004-0000-0C00-000030000000}"/>
    <hyperlink ref="K73" r:id="rId50" xr:uid="{00000000-0004-0000-0C00-000031000000}"/>
    <hyperlink ref="K74" r:id="rId51" xr:uid="{00000000-0004-0000-0C00-000032000000}"/>
    <hyperlink ref="K75" r:id="rId52" xr:uid="{00000000-0004-0000-0C00-000033000000}"/>
    <hyperlink ref="K76" r:id="rId53" xr:uid="{00000000-0004-0000-0C00-000034000000}"/>
    <hyperlink ref="K77" r:id="rId54" xr:uid="{00000000-0004-0000-0C00-000035000000}"/>
    <hyperlink ref="K78" r:id="rId55" xr:uid="{00000000-0004-0000-0C00-000036000000}"/>
    <hyperlink ref="K79" r:id="rId56" xr:uid="{00000000-0004-0000-0C00-000037000000}"/>
    <hyperlink ref="K80" r:id="rId57" xr:uid="{00000000-0004-0000-0C00-000038000000}"/>
    <hyperlink ref="K81" r:id="rId58" xr:uid="{00000000-0004-0000-0C00-000039000000}"/>
    <hyperlink ref="K82" r:id="rId59" xr:uid="{00000000-0004-0000-0C00-00003A000000}"/>
    <hyperlink ref="K83" r:id="rId60" xr:uid="{00000000-0004-0000-0C00-00003B000000}"/>
    <hyperlink ref="K84" r:id="rId61" xr:uid="{00000000-0004-0000-0C00-00003C000000}"/>
    <hyperlink ref="K85" r:id="rId62" xr:uid="{00000000-0004-0000-0C00-00003D000000}"/>
    <hyperlink ref="K86" r:id="rId63" xr:uid="{00000000-0004-0000-0C00-00003E000000}"/>
    <hyperlink ref="K87" r:id="rId64" xr:uid="{00000000-0004-0000-0C00-00003F000000}"/>
    <hyperlink ref="K88" r:id="rId65" xr:uid="{00000000-0004-0000-0C00-000040000000}"/>
    <hyperlink ref="K89" r:id="rId66" xr:uid="{00000000-0004-0000-0C00-000041000000}"/>
    <hyperlink ref="K90" r:id="rId67" xr:uid="{00000000-0004-0000-0C00-000042000000}"/>
    <hyperlink ref="K91" r:id="rId68" xr:uid="{00000000-0004-0000-0C00-000043000000}"/>
    <hyperlink ref="K92" r:id="rId69" xr:uid="{00000000-0004-0000-0C00-000044000000}"/>
    <hyperlink ref="K93" r:id="rId70" xr:uid="{00000000-0004-0000-0C00-000045000000}"/>
    <hyperlink ref="K94" r:id="rId71" xr:uid="{00000000-0004-0000-0C00-000046000000}"/>
    <hyperlink ref="K95" r:id="rId72" xr:uid="{00000000-0004-0000-0C00-000047000000}"/>
    <hyperlink ref="K96" r:id="rId73" xr:uid="{00000000-0004-0000-0C00-000048000000}"/>
    <hyperlink ref="K97" r:id="rId74" xr:uid="{00000000-0004-0000-0C00-000049000000}"/>
    <hyperlink ref="K98" r:id="rId75" xr:uid="{00000000-0004-0000-0C00-00004A000000}"/>
    <hyperlink ref="K99" r:id="rId76" xr:uid="{00000000-0004-0000-0C00-00004B000000}"/>
    <hyperlink ref="K100" r:id="rId77" xr:uid="{00000000-0004-0000-0C00-00004C000000}"/>
    <hyperlink ref="K104" r:id="rId78" xr:uid="{00000000-0004-0000-0C00-00004D000000}"/>
    <hyperlink ref="K105" r:id="rId79" xr:uid="{00000000-0004-0000-0C00-00004E000000}"/>
    <hyperlink ref="K106" r:id="rId80" xr:uid="{00000000-0004-0000-0C00-00004F000000}"/>
    <hyperlink ref="K107" r:id="rId81" xr:uid="{00000000-0004-0000-0C00-000050000000}"/>
    <hyperlink ref="K108" r:id="rId82" xr:uid="{00000000-0004-0000-0C00-000051000000}"/>
    <hyperlink ref="K109" r:id="rId83" xr:uid="{00000000-0004-0000-0C00-000052000000}"/>
    <hyperlink ref="K113" r:id="rId84" xr:uid="{00000000-0004-0000-0C00-000053000000}"/>
    <hyperlink ref="K114" r:id="rId85" xr:uid="{00000000-0004-0000-0C00-000054000000}"/>
    <hyperlink ref="K115" r:id="rId86" xr:uid="{00000000-0004-0000-0C00-000055000000}"/>
    <hyperlink ref="K116" r:id="rId87" xr:uid="{00000000-0004-0000-0C00-000056000000}"/>
    <hyperlink ref="K117" r:id="rId88" xr:uid="{00000000-0004-0000-0C00-000057000000}"/>
    <hyperlink ref="K118" r:id="rId89" xr:uid="{00000000-0004-0000-0C00-000058000000}"/>
    <hyperlink ref="K119" r:id="rId90" xr:uid="{00000000-0004-0000-0C00-000059000000}"/>
    <hyperlink ref="K120" r:id="rId91" xr:uid="{00000000-0004-0000-0C00-00005A000000}"/>
    <hyperlink ref="K121" r:id="rId92" xr:uid="{00000000-0004-0000-0C00-00005B000000}"/>
    <hyperlink ref="K122" r:id="rId93" xr:uid="{00000000-0004-0000-0C00-00005C000000}"/>
    <hyperlink ref="K123" r:id="rId94" xr:uid="{00000000-0004-0000-0C00-00005D000000}"/>
    <hyperlink ref="K124" r:id="rId95" xr:uid="{00000000-0004-0000-0C00-00005E000000}"/>
    <hyperlink ref="K125" r:id="rId96" xr:uid="{00000000-0004-0000-0C00-00005F000000}"/>
    <hyperlink ref="K126" r:id="rId97" xr:uid="{00000000-0004-0000-0C00-000060000000}"/>
    <hyperlink ref="K127" r:id="rId98" xr:uid="{00000000-0004-0000-0C00-000061000000}"/>
    <hyperlink ref="K128" r:id="rId99" xr:uid="{00000000-0004-0000-0C00-000062000000}"/>
    <hyperlink ref="K129" r:id="rId100" xr:uid="{00000000-0004-0000-0C00-000063000000}"/>
    <hyperlink ref="K130" r:id="rId101" xr:uid="{00000000-0004-0000-0C00-000064000000}"/>
    <hyperlink ref="K131" r:id="rId102" xr:uid="{00000000-0004-0000-0C00-000065000000}"/>
  </hyperlinks>
  <printOptions horizontalCentered="1"/>
  <pageMargins left="0.4" right="0.4" top="0.5" bottom="0.6" header="0.5" footer="0.5"/>
  <pageSetup paperSize="9" fitToHeight="0" orientation="landscape"/>
  <headerFooter>
    <oddFooter>&amp;C第 &amp;P 頁，共 &amp;N 頁</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D6A63C"/>
    <pageSetUpPr fitToPage="1"/>
  </sheetPr>
  <dimension ref="A1:I194"/>
  <sheetViews>
    <sheetView workbookViewId="0">
      <pane ySplit="4" topLeftCell="A5" activePane="bottomLeft" state="frozen"/>
      <selection pane="bottomLeft"/>
    </sheetView>
  </sheetViews>
  <sheetFormatPr defaultRowHeight="13.8"/>
  <cols>
    <col min="1" max="1" width="10" customWidth="1"/>
    <col min="2" max="2" width="13" customWidth="1"/>
    <col min="3" max="3" width="26" customWidth="1"/>
    <col min="4" max="4" width="18" customWidth="1"/>
    <col min="5" max="5" width="32" customWidth="1"/>
    <col min="6" max="6" width="10" customWidth="1"/>
    <col min="7" max="7" width="22" customWidth="1"/>
    <col min="8" max="8" width="36" customWidth="1"/>
    <col min="9" max="9" width="44" customWidth="1"/>
  </cols>
  <sheetData>
    <row r="1" spans="1:9" ht="27.15" customHeight="1">
      <c r="A1" s="73" t="s">
        <v>1897</v>
      </c>
      <c r="B1" s="71"/>
      <c r="C1" s="71"/>
      <c r="D1" s="71"/>
      <c r="E1" s="71"/>
      <c r="F1" s="71"/>
      <c r="G1" s="71"/>
      <c r="H1" s="71"/>
      <c r="I1" s="71"/>
    </row>
    <row r="2" spans="1:9" ht="19.95" customHeight="1">
      <c r="A2" s="79" t="s">
        <v>1898</v>
      </c>
      <c r="B2" s="71"/>
      <c r="C2" s="71"/>
      <c r="D2" s="71"/>
      <c r="E2" s="71"/>
      <c r="F2" s="71"/>
      <c r="G2" s="71"/>
      <c r="H2" s="71"/>
      <c r="I2" s="71"/>
    </row>
    <row r="4" spans="1:9" ht="31.95" customHeight="1">
      <c r="A4" s="20" t="s">
        <v>216</v>
      </c>
      <c r="B4" s="20" t="s">
        <v>173</v>
      </c>
      <c r="C4" s="20" t="s">
        <v>217</v>
      </c>
      <c r="D4" s="20" t="s">
        <v>218</v>
      </c>
      <c r="E4" s="20" t="s">
        <v>1899</v>
      </c>
      <c r="F4" s="20" t="s">
        <v>226</v>
      </c>
      <c r="G4" s="20" t="s">
        <v>1900</v>
      </c>
      <c r="H4" s="20" t="s">
        <v>1901</v>
      </c>
      <c r="I4" s="20" t="s">
        <v>24</v>
      </c>
    </row>
    <row r="5" spans="1:9" ht="105.45" customHeight="1">
      <c r="A5" s="22" t="s">
        <v>1902</v>
      </c>
      <c r="B5" s="22" t="s">
        <v>177</v>
      </c>
      <c r="C5" s="2" t="s">
        <v>1903</v>
      </c>
      <c r="D5" s="2" t="s">
        <v>1904</v>
      </c>
      <c r="E5" s="2" t="s">
        <v>1905</v>
      </c>
      <c r="F5" s="43">
        <v>53</v>
      </c>
      <c r="G5" s="2" t="s">
        <v>1906</v>
      </c>
      <c r="H5" s="2" t="s">
        <v>1907</v>
      </c>
      <c r="I5" s="16" t="s">
        <v>1908</v>
      </c>
    </row>
    <row r="6" spans="1:9" ht="61.95" customHeight="1">
      <c r="A6" s="22" t="s">
        <v>1909</v>
      </c>
      <c r="B6" s="22" t="s">
        <v>177</v>
      </c>
      <c r="C6" s="2" t="s">
        <v>1910</v>
      </c>
      <c r="D6" s="2" t="s">
        <v>1911</v>
      </c>
      <c r="E6" s="2" t="s">
        <v>1912</v>
      </c>
      <c r="F6" s="43">
        <v>53</v>
      </c>
      <c r="G6" s="2" t="s">
        <v>1906</v>
      </c>
      <c r="H6" s="2" t="s">
        <v>1913</v>
      </c>
      <c r="I6" s="16" t="s">
        <v>1914</v>
      </c>
    </row>
    <row r="7" spans="1:9" ht="148.94999999999999" customHeight="1">
      <c r="A7" s="22" t="s">
        <v>1915</v>
      </c>
      <c r="B7" s="22" t="s">
        <v>177</v>
      </c>
      <c r="C7" s="2" t="s">
        <v>1916</v>
      </c>
      <c r="D7" s="2" t="s">
        <v>1917</v>
      </c>
      <c r="E7" s="2" t="s">
        <v>1918</v>
      </c>
      <c r="F7" s="43">
        <v>202.4</v>
      </c>
      <c r="G7" s="2" t="s">
        <v>1906</v>
      </c>
      <c r="H7" s="2" t="s">
        <v>1919</v>
      </c>
      <c r="I7" s="16" t="s">
        <v>1920</v>
      </c>
    </row>
    <row r="8" spans="1:9" ht="148.94999999999999" customHeight="1">
      <c r="A8" s="22" t="s">
        <v>1921</v>
      </c>
      <c r="B8" s="22" t="s">
        <v>177</v>
      </c>
      <c r="C8" s="2" t="s">
        <v>1922</v>
      </c>
      <c r="D8" s="2" t="s">
        <v>1923</v>
      </c>
      <c r="E8" s="2" t="s">
        <v>1924</v>
      </c>
      <c r="F8" s="43">
        <v>35</v>
      </c>
      <c r="G8" s="2" t="s">
        <v>1906</v>
      </c>
      <c r="H8" s="2" t="s">
        <v>1925</v>
      </c>
      <c r="I8" s="16" t="s">
        <v>1926</v>
      </c>
    </row>
    <row r="9" spans="1:9" ht="160.05000000000001" customHeight="1">
      <c r="A9" s="22" t="s">
        <v>1927</v>
      </c>
      <c r="B9" s="22" t="s">
        <v>177</v>
      </c>
      <c r="C9" s="2" t="s">
        <v>1928</v>
      </c>
      <c r="D9" s="2" t="s">
        <v>1929</v>
      </c>
      <c r="E9" s="2" t="s">
        <v>1930</v>
      </c>
      <c r="F9" s="43">
        <v>160.85</v>
      </c>
      <c r="G9" s="2" t="s">
        <v>1906</v>
      </c>
      <c r="H9" s="2" t="s">
        <v>1931</v>
      </c>
      <c r="I9" s="16" t="s">
        <v>1932</v>
      </c>
    </row>
    <row r="10" spans="1:9" ht="105.45" customHeight="1">
      <c r="A10" s="22" t="s">
        <v>1933</v>
      </c>
      <c r="B10" s="22" t="s">
        <v>177</v>
      </c>
      <c r="C10" s="2" t="s">
        <v>1934</v>
      </c>
      <c r="D10" s="2" t="s">
        <v>1935</v>
      </c>
      <c r="E10" s="2" t="s">
        <v>1936</v>
      </c>
      <c r="F10" s="48" t="s">
        <v>307</v>
      </c>
      <c r="G10" s="2" t="s">
        <v>1906</v>
      </c>
      <c r="H10" s="2" t="s">
        <v>1937</v>
      </c>
      <c r="I10" s="16" t="s">
        <v>1938</v>
      </c>
    </row>
    <row r="11" spans="1:9" ht="120" customHeight="1">
      <c r="A11" s="22" t="s">
        <v>1939</v>
      </c>
      <c r="B11" s="22" t="s">
        <v>177</v>
      </c>
      <c r="C11" s="2" t="s">
        <v>1940</v>
      </c>
      <c r="D11" s="2" t="s">
        <v>1941</v>
      </c>
      <c r="E11" s="2" t="s">
        <v>1942</v>
      </c>
      <c r="F11" s="48" t="s">
        <v>307</v>
      </c>
      <c r="G11" s="2" t="s">
        <v>1906</v>
      </c>
      <c r="H11" s="2" t="s">
        <v>1943</v>
      </c>
      <c r="I11" s="16" t="s">
        <v>1944</v>
      </c>
    </row>
    <row r="12" spans="1:9" ht="134.55000000000001" customHeight="1">
      <c r="A12" s="22" t="s">
        <v>1945</v>
      </c>
      <c r="B12" s="22" t="s">
        <v>177</v>
      </c>
      <c r="C12" s="2" t="s">
        <v>1946</v>
      </c>
      <c r="D12" s="2" t="s">
        <v>1947</v>
      </c>
      <c r="E12" s="2" t="s">
        <v>1948</v>
      </c>
      <c r="F12" s="43">
        <v>96</v>
      </c>
      <c r="G12" s="2" t="s">
        <v>1906</v>
      </c>
      <c r="H12" s="2" t="s">
        <v>1949</v>
      </c>
      <c r="I12" s="16" t="s">
        <v>1950</v>
      </c>
    </row>
    <row r="13" spans="1:9" ht="91.05" customHeight="1">
      <c r="A13" s="22" t="s">
        <v>1951</v>
      </c>
      <c r="B13" s="22" t="s">
        <v>177</v>
      </c>
      <c r="C13" s="2" t="s">
        <v>1952</v>
      </c>
      <c r="D13" s="2" t="s">
        <v>1947</v>
      </c>
      <c r="E13" s="2" t="s">
        <v>1953</v>
      </c>
      <c r="F13" s="48" t="s">
        <v>307</v>
      </c>
      <c r="G13" s="2" t="s">
        <v>1906</v>
      </c>
      <c r="H13" s="2" t="s">
        <v>1954</v>
      </c>
      <c r="I13" s="16" t="s">
        <v>1955</v>
      </c>
    </row>
    <row r="14" spans="1:9" ht="134.55000000000001" customHeight="1">
      <c r="A14" s="22" t="s">
        <v>1956</v>
      </c>
      <c r="B14" s="22" t="s">
        <v>177</v>
      </c>
      <c r="C14" s="2" t="s">
        <v>1957</v>
      </c>
      <c r="D14" s="2" t="s">
        <v>1958</v>
      </c>
      <c r="E14" s="2" t="s">
        <v>1959</v>
      </c>
      <c r="F14" s="48" t="s">
        <v>307</v>
      </c>
      <c r="G14" s="2" t="s">
        <v>1906</v>
      </c>
      <c r="H14" s="2" t="s">
        <v>1960</v>
      </c>
      <c r="I14" s="16" t="s">
        <v>1961</v>
      </c>
    </row>
    <row r="15" spans="1:9" ht="61.95" customHeight="1">
      <c r="A15" s="22" t="s">
        <v>1962</v>
      </c>
      <c r="B15" s="22" t="s">
        <v>177</v>
      </c>
      <c r="C15" s="2" t="s">
        <v>1963</v>
      </c>
      <c r="D15" s="2" t="s">
        <v>1964</v>
      </c>
      <c r="E15" s="2" t="s">
        <v>1965</v>
      </c>
      <c r="F15" s="43">
        <v>0.8</v>
      </c>
      <c r="G15" s="2" t="s">
        <v>1966</v>
      </c>
      <c r="H15" s="2" t="s">
        <v>1967</v>
      </c>
      <c r="I15" s="16" t="s">
        <v>1968</v>
      </c>
    </row>
    <row r="16" spans="1:9" ht="61.95" customHeight="1">
      <c r="A16" s="22" t="s">
        <v>1969</v>
      </c>
      <c r="B16" s="22" t="s">
        <v>177</v>
      </c>
      <c r="C16" s="2" t="s">
        <v>1970</v>
      </c>
      <c r="D16" s="2" t="s">
        <v>307</v>
      </c>
      <c r="E16" s="2" t="s">
        <v>1971</v>
      </c>
      <c r="F16" s="43">
        <v>40</v>
      </c>
      <c r="G16" s="2" t="s">
        <v>1972</v>
      </c>
      <c r="H16" s="2" t="s">
        <v>1973</v>
      </c>
      <c r="I16" s="16" t="s">
        <v>1974</v>
      </c>
    </row>
    <row r="17" spans="1:9" ht="76.5" customHeight="1">
      <c r="A17" s="22" t="s">
        <v>1975</v>
      </c>
      <c r="B17" s="22" t="s">
        <v>177</v>
      </c>
      <c r="C17" s="2" t="s">
        <v>1976</v>
      </c>
      <c r="D17" s="2" t="s">
        <v>307</v>
      </c>
      <c r="E17" s="2" t="s">
        <v>1977</v>
      </c>
      <c r="F17" s="48" t="s">
        <v>307</v>
      </c>
      <c r="G17" s="2" t="s">
        <v>1972</v>
      </c>
      <c r="H17" s="2" t="s">
        <v>1978</v>
      </c>
      <c r="I17" s="16" t="s">
        <v>1979</v>
      </c>
    </row>
    <row r="18" spans="1:9" ht="47.55" customHeight="1">
      <c r="A18" s="22" t="s">
        <v>1980</v>
      </c>
      <c r="B18" s="22" t="s">
        <v>177</v>
      </c>
      <c r="C18" s="2" t="s">
        <v>1981</v>
      </c>
      <c r="D18" s="2" t="s">
        <v>1982</v>
      </c>
      <c r="E18" s="2" t="s">
        <v>1983</v>
      </c>
      <c r="F18" s="48" t="s">
        <v>307</v>
      </c>
      <c r="G18" s="2" t="s">
        <v>1972</v>
      </c>
      <c r="H18" s="2" t="s">
        <v>1984</v>
      </c>
      <c r="I18" s="16" t="s">
        <v>1979</v>
      </c>
    </row>
    <row r="19" spans="1:9" ht="47.55" customHeight="1">
      <c r="A19" s="22" t="s">
        <v>1985</v>
      </c>
      <c r="B19" s="22" t="s">
        <v>177</v>
      </c>
      <c r="C19" s="2" t="s">
        <v>1986</v>
      </c>
      <c r="D19" s="2" t="s">
        <v>1982</v>
      </c>
      <c r="E19" s="2" t="s">
        <v>1987</v>
      </c>
      <c r="F19" s="48" t="s">
        <v>307</v>
      </c>
      <c r="G19" s="2" t="s">
        <v>1972</v>
      </c>
      <c r="H19" s="2" t="s">
        <v>1988</v>
      </c>
      <c r="I19" s="16" t="s">
        <v>1989</v>
      </c>
    </row>
    <row r="20" spans="1:9" ht="160.05000000000001" customHeight="1">
      <c r="A20" s="22" t="s">
        <v>1990</v>
      </c>
      <c r="B20" s="22" t="s">
        <v>177</v>
      </c>
      <c r="C20" s="2" t="s">
        <v>1991</v>
      </c>
      <c r="D20" s="2" t="s">
        <v>1992</v>
      </c>
      <c r="E20" s="2" t="s">
        <v>1993</v>
      </c>
      <c r="F20" s="43">
        <v>90</v>
      </c>
      <c r="G20" s="2" t="s">
        <v>1972</v>
      </c>
      <c r="H20" s="2" t="s">
        <v>1994</v>
      </c>
      <c r="I20" s="16" t="s">
        <v>1995</v>
      </c>
    </row>
    <row r="21" spans="1:9" ht="61.95" customHeight="1">
      <c r="A21" s="22" t="s">
        <v>1996</v>
      </c>
      <c r="B21" s="22" t="s">
        <v>177</v>
      </c>
      <c r="C21" s="2" t="s">
        <v>1997</v>
      </c>
      <c r="D21" s="2" t="s">
        <v>1998</v>
      </c>
      <c r="E21" s="2" t="s">
        <v>1999</v>
      </c>
      <c r="F21" s="48" t="s">
        <v>307</v>
      </c>
      <c r="G21" s="2" t="s">
        <v>1972</v>
      </c>
      <c r="H21" s="2" t="s">
        <v>2000</v>
      </c>
      <c r="I21" s="16" t="s">
        <v>2001</v>
      </c>
    </row>
    <row r="22" spans="1:9" ht="91.05" customHeight="1">
      <c r="A22" s="22" t="s">
        <v>2002</v>
      </c>
      <c r="B22" s="22" t="s">
        <v>177</v>
      </c>
      <c r="C22" s="2" t="s">
        <v>2003</v>
      </c>
      <c r="D22" s="2" t="s">
        <v>2004</v>
      </c>
      <c r="E22" s="2" t="s">
        <v>2005</v>
      </c>
      <c r="F22" s="48" t="s">
        <v>307</v>
      </c>
      <c r="G22" s="2" t="s">
        <v>2006</v>
      </c>
      <c r="H22" s="2" t="s">
        <v>2007</v>
      </c>
      <c r="I22" s="16" t="s">
        <v>644</v>
      </c>
    </row>
    <row r="23" spans="1:9" ht="91.05" customHeight="1">
      <c r="A23" s="22" t="s">
        <v>2008</v>
      </c>
      <c r="B23" s="22" t="s">
        <v>177</v>
      </c>
      <c r="C23" s="2" t="s">
        <v>2009</v>
      </c>
      <c r="D23" s="2" t="s">
        <v>2010</v>
      </c>
      <c r="E23" s="2" t="s">
        <v>2011</v>
      </c>
      <c r="F23" s="48" t="s">
        <v>307</v>
      </c>
      <c r="G23" s="2" t="s">
        <v>2006</v>
      </c>
      <c r="H23" s="2" t="s">
        <v>2012</v>
      </c>
      <c r="I23" s="16" t="s">
        <v>2013</v>
      </c>
    </row>
    <row r="24" spans="1:9" ht="76.5" customHeight="1">
      <c r="A24" s="22" t="s">
        <v>2014</v>
      </c>
      <c r="B24" s="22" t="s">
        <v>177</v>
      </c>
      <c r="C24" s="2" t="s">
        <v>2015</v>
      </c>
      <c r="D24" s="2" t="s">
        <v>249</v>
      </c>
      <c r="E24" s="2" t="s">
        <v>2016</v>
      </c>
      <c r="F24" s="48" t="s">
        <v>307</v>
      </c>
      <c r="G24" s="2" t="s">
        <v>2006</v>
      </c>
      <c r="H24" s="2" t="s">
        <v>2017</v>
      </c>
      <c r="I24" s="16" t="s">
        <v>2018</v>
      </c>
    </row>
    <row r="25" spans="1:9" ht="160.05000000000001" customHeight="1">
      <c r="A25" s="22" t="s">
        <v>2019</v>
      </c>
      <c r="B25" s="22" t="s">
        <v>177</v>
      </c>
      <c r="C25" s="2" t="s">
        <v>2020</v>
      </c>
      <c r="D25" s="2" t="s">
        <v>249</v>
      </c>
      <c r="E25" s="2" t="s">
        <v>2021</v>
      </c>
      <c r="F25" s="48" t="s">
        <v>307</v>
      </c>
      <c r="G25" s="2" t="s">
        <v>2006</v>
      </c>
      <c r="H25" s="2" t="s">
        <v>2022</v>
      </c>
      <c r="I25" s="16" t="s">
        <v>2023</v>
      </c>
    </row>
    <row r="26" spans="1:9" ht="61.95" customHeight="1">
      <c r="A26" s="22" t="s">
        <v>2024</v>
      </c>
      <c r="B26" s="22" t="s">
        <v>177</v>
      </c>
      <c r="C26" s="2" t="s">
        <v>2025</v>
      </c>
      <c r="D26" s="2" t="s">
        <v>307</v>
      </c>
      <c r="E26" s="2" t="s">
        <v>2026</v>
      </c>
      <c r="F26" s="48" t="s">
        <v>307</v>
      </c>
      <c r="G26" s="2" t="s">
        <v>2006</v>
      </c>
      <c r="H26" s="2" t="s">
        <v>2027</v>
      </c>
      <c r="I26" s="16" t="s">
        <v>2028</v>
      </c>
    </row>
    <row r="27" spans="1:9" ht="134.55000000000001" customHeight="1">
      <c r="A27" s="22" t="s">
        <v>2029</v>
      </c>
      <c r="B27" s="22" t="s">
        <v>177</v>
      </c>
      <c r="C27" s="2" t="s">
        <v>2030</v>
      </c>
      <c r="D27" s="2" t="s">
        <v>2031</v>
      </c>
      <c r="E27" s="2" t="s">
        <v>2032</v>
      </c>
      <c r="F27" s="48" t="s">
        <v>307</v>
      </c>
      <c r="G27" s="2" t="s">
        <v>2006</v>
      </c>
      <c r="H27" s="2" t="s">
        <v>2033</v>
      </c>
      <c r="I27" s="16" t="s">
        <v>2034</v>
      </c>
    </row>
    <row r="28" spans="1:9" ht="91.05" customHeight="1">
      <c r="A28" s="22" t="s">
        <v>2035</v>
      </c>
      <c r="B28" s="22" t="s">
        <v>177</v>
      </c>
      <c r="C28" s="2" t="s">
        <v>2036</v>
      </c>
      <c r="D28" s="2" t="s">
        <v>2037</v>
      </c>
      <c r="E28" s="2" t="s">
        <v>2038</v>
      </c>
      <c r="F28" s="43">
        <v>14</v>
      </c>
      <c r="G28" s="2" t="s">
        <v>2006</v>
      </c>
      <c r="H28" s="2" t="s">
        <v>2039</v>
      </c>
      <c r="I28" s="16" t="s">
        <v>2040</v>
      </c>
    </row>
    <row r="29" spans="1:9" ht="91.05" customHeight="1">
      <c r="A29" s="22" t="s">
        <v>2041</v>
      </c>
      <c r="B29" s="22" t="s">
        <v>177</v>
      </c>
      <c r="C29" s="2" t="s">
        <v>2042</v>
      </c>
      <c r="D29" s="2" t="s">
        <v>2043</v>
      </c>
      <c r="E29" s="2" t="s">
        <v>2044</v>
      </c>
      <c r="F29" s="43">
        <v>6</v>
      </c>
      <c r="G29" s="2" t="s">
        <v>2006</v>
      </c>
      <c r="H29" s="2" t="s">
        <v>2045</v>
      </c>
      <c r="I29" s="16" t="s">
        <v>2046</v>
      </c>
    </row>
    <row r="30" spans="1:9" ht="120" customHeight="1">
      <c r="A30" s="22" t="s">
        <v>2047</v>
      </c>
      <c r="B30" s="22" t="s">
        <v>177</v>
      </c>
      <c r="C30" s="2" t="s">
        <v>2048</v>
      </c>
      <c r="D30" s="2" t="s">
        <v>2049</v>
      </c>
      <c r="E30" s="2" t="s">
        <v>2050</v>
      </c>
      <c r="F30" s="43">
        <v>6</v>
      </c>
      <c r="G30" s="2" t="s">
        <v>2006</v>
      </c>
      <c r="H30" s="2" t="s">
        <v>2051</v>
      </c>
      <c r="I30" s="16" t="s">
        <v>2052</v>
      </c>
    </row>
    <row r="31" spans="1:9" ht="160.05000000000001" customHeight="1">
      <c r="A31" s="22" t="s">
        <v>2053</v>
      </c>
      <c r="B31" s="22" t="s">
        <v>177</v>
      </c>
      <c r="C31" s="2" t="s">
        <v>2054</v>
      </c>
      <c r="D31" s="2" t="s">
        <v>2055</v>
      </c>
      <c r="E31" s="2" t="s">
        <v>2056</v>
      </c>
      <c r="F31" s="43">
        <v>110</v>
      </c>
      <c r="G31" s="2" t="s">
        <v>2006</v>
      </c>
      <c r="H31" s="2" t="s">
        <v>2057</v>
      </c>
      <c r="I31" s="16" t="s">
        <v>2058</v>
      </c>
    </row>
    <row r="32" spans="1:9" ht="134.55000000000001" customHeight="1">
      <c r="A32" s="22" t="s">
        <v>2059</v>
      </c>
      <c r="B32" s="22" t="s">
        <v>177</v>
      </c>
      <c r="C32" s="2" t="s">
        <v>2060</v>
      </c>
      <c r="D32" s="2" t="s">
        <v>2061</v>
      </c>
      <c r="E32" s="2" t="s">
        <v>307</v>
      </c>
      <c r="F32" s="48" t="s">
        <v>307</v>
      </c>
      <c r="G32" s="2" t="s">
        <v>2006</v>
      </c>
      <c r="H32" s="2" t="s">
        <v>2062</v>
      </c>
      <c r="I32" s="16" t="s">
        <v>2063</v>
      </c>
    </row>
    <row r="33" spans="1:9" ht="148.94999999999999" customHeight="1">
      <c r="A33" s="22" t="s">
        <v>2064</v>
      </c>
      <c r="B33" s="22" t="s">
        <v>177</v>
      </c>
      <c r="C33" s="2" t="s">
        <v>2065</v>
      </c>
      <c r="D33" s="2" t="s">
        <v>274</v>
      </c>
      <c r="E33" s="2" t="s">
        <v>2066</v>
      </c>
      <c r="F33" s="43">
        <v>200</v>
      </c>
      <c r="G33" s="2" t="s">
        <v>2006</v>
      </c>
      <c r="H33" s="2" t="s">
        <v>2067</v>
      </c>
      <c r="I33" s="16" t="s">
        <v>2068</v>
      </c>
    </row>
    <row r="34" spans="1:9" ht="160.05000000000001" customHeight="1">
      <c r="A34" s="22" t="s">
        <v>2069</v>
      </c>
      <c r="B34" s="22" t="s">
        <v>177</v>
      </c>
      <c r="C34" s="2" t="s">
        <v>2070</v>
      </c>
      <c r="D34" s="2" t="s">
        <v>2071</v>
      </c>
      <c r="E34" s="2" t="s">
        <v>2072</v>
      </c>
      <c r="F34" s="43">
        <v>200</v>
      </c>
      <c r="G34" s="2" t="s">
        <v>2006</v>
      </c>
      <c r="H34" s="2" t="s">
        <v>2073</v>
      </c>
      <c r="I34" s="16" t="s">
        <v>2074</v>
      </c>
    </row>
    <row r="35" spans="1:9" ht="105.45" customHeight="1">
      <c r="A35" s="22" t="s">
        <v>2075</v>
      </c>
      <c r="B35" s="22" t="s">
        <v>177</v>
      </c>
      <c r="C35" s="2" t="s">
        <v>2076</v>
      </c>
      <c r="D35" s="2" t="s">
        <v>2077</v>
      </c>
      <c r="E35" s="2" t="s">
        <v>2078</v>
      </c>
      <c r="F35" s="43">
        <v>200</v>
      </c>
      <c r="G35" s="2" t="s">
        <v>2006</v>
      </c>
      <c r="H35" s="2" t="s">
        <v>2079</v>
      </c>
      <c r="I35" s="16" t="s">
        <v>2080</v>
      </c>
    </row>
    <row r="36" spans="1:9" ht="120" customHeight="1">
      <c r="A36" s="22" t="s">
        <v>2081</v>
      </c>
      <c r="B36" s="22" t="s">
        <v>177</v>
      </c>
      <c r="C36" s="2" t="s">
        <v>2082</v>
      </c>
      <c r="D36" s="2" t="s">
        <v>2083</v>
      </c>
      <c r="E36" s="2" t="s">
        <v>2084</v>
      </c>
      <c r="F36" s="48" t="s">
        <v>307</v>
      </c>
      <c r="G36" s="2" t="s">
        <v>2006</v>
      </c>
      <c r="H36" s="2" t="s">
        <v>2085</v>
      </c>
      <c r="I36" s="16" t="s">
        <v>2086</v>
      </c>
    </row>
    <row r="37" spans="1:9" ht="160.05000000000001" customHeight="1">
      <c r="A37" s="22" t="s">
        <v>2087</v>
      </c>
      <c r="B37" s="22" t="s">
        <v>179</v>
      </c>
      <c r="C37" s="2" t="s">
        <v>2088</v>
      </c>
      <c r="D37" s="2" t="s">
        <v>2089</v>
      </c>
      <c r="E37" s="2" t="s">
        <v>2090</v>
      </c>
      <c r="F37" s="48" t="s">
        <v>307</v>
      </c>
      <c r="G37" s="2" t="s">
        <v>1906</v>
      </c>
      <c r="H37" s="2" t="s">
        <v>2091</v>
      </c>
      <c r="I37" s="16" t="s">
        <v>2092</v>
      </c>
    </row>
    <row r="38" spans="1:9" ht="160.05000000000001" customHeight="1">
      <c r="A38" s="22" t="s">
        <v>2093</v>
      </c>
      <c r="B38" s="22" t="s">
        <v>179</v>
      </c>
      <c r="C38" s="2" t="s">
        <v>2094</v>
      </c>
      <c r="D38" s="2" t="s">
        <v>1923</v>
      </c>
      <c r="E38" s="2" t="s">
        <v>2095</v>
      </c>
      <c r="F38" s="48" t="s">
        <v>307</v>
      </c>
      <c r="G38" s="2" t="s">
        <v>1906</v>
      </c>
      <c r="H38" s="2" t="s">
        <v>2096</v>
      </c>
      <c r="I38" s="16" t="s">
        <v>2097</v>
      </c>
    </row>
    <row r="39" spans="1:9" ht="76.5" customHeight="1">
      <c r="A39" s="22" t="s">
        <v>2098</v>
      </c>
      <c r="B39" s="22" t="s">
        <v>179</v>
      </c>
      <c r="C39" s="2" t="s">
        <v>2099</v>
      </c>
      <c r="D39" s="2" t="s">
        <v>1923</v>
      </c>
      <c r="E39" s="2" t="s">
        <v>2100</v>
      </c>
      <c r="F39" s="48" t="s">
        <v>307</v>
      </c>
      <c r="G39" s="2" t="s">
        <v>1906</v>
      </c>
      <c r="H39" s="2" t="s">
        <v>2101</v>
      </c>
      <c r="I39" s="16" t="s">
        <v>2102</v>
      </c>
    </row>
    <row r="40" spans="1:9" ht="160.05000000000001" customHeight="1">
      <c r="A40" s="22" t="s">
        <v>2103</v>
      </c>
      <c r="B40" s="22" t="s">
        <v>179</v>
      </c>
      <c r="C40" s="2" t="s">
        <v>2104</v>
      </c>
      <c r="D40" s="2" t="s">
        <v>2105</v>
      </c>
      <c r="E40" s="2" t="s">
        <v>2106</v>
      </c>
      <c r="F40" s="48" t="s">
        <v>307</v>
      </c>
      <c r="G40" s="2" t="s">
        <v>1906</v>
      </c>
      <c r="H40" s="2" t="s">
        <v>2107</v>
      </c>
      <c r="I40" s="16" t="s">
        <v>2108</v>
      </c>
    </row>
    <row r="41" spans="1:9" ht="47.55" customHeight="1">
      <c r="A41" s="22" t="s">
        <v>2109</v>
      </c>
      <c r="B41" s="22" t="s">
        <v>179</v>
      </c>
      <c r="C41" s="2" t="s">
        <v>2110</v>
      </c>
      <c r="D41" s="2" t="s">
        <v>2111</v>
      </c>
      <c r="E41" s="2" t="s">
        <v>2112</v>
      </c>
      <c r="F41" s="48" t="s">
        <v>307</v>
      </c>
      <c r="G41" s="2" t="s">
        <v>1906</v>
      </c>
      <c r="H41" s="2" t="s">
        <v>2113</v>
      </c>
      <c r="I41" s="16" t="s">
        <v>2114</v>
      </c>
    </row>
    <row r="42" spans="1:9" ht="76.5" customHeight="1">
      <c r="A42" s="22" t="s">
        <v>2115</v>
      </c>
      <c r="B42" s="22" t="s">
        <v>179</v>
      </c>
      <c r="C42" s="2" t="s">
        <v>2116</v>
      </c>
      <c r="D42" s="2" t="s">
        <v>2117</v>
      </c>
      <c r="E42" s="2" t="s">
        <v>2118</v>
      </c>
      <c r="F42" s="48" t="s">
        <v>307</v>
      </c>
      <c r="G42" s="2" t="s">
        <v>1906</v>
      </c>
      <c r="H42" s="2" t="s">
        <v>2119</v>
      </c>
      <c r="I42" s="16" t="s">
        <v>2120</v>
      </c>
    </row>
    <row r="43" spans="1:9" ht="47.55" customHeight="1">
      <c r="A43" s="22" t="s">
        <v>2121</v>
      </c>
      <c r="B43" s="22" t="s">
        <v>179</v>
      </c>
      <c r="C43" s="2" t="s">
        <v>2122</v>
      </c>
      <c r="D43" s="2" t="s">
        <v>2123</v>
      </c>
      <c r="E43" s="2" t="s">
        <v>2124</v>
      </c>
      <c r="F43" s="48" t="s">
        <v>307</v>
      </c>
      <c r="G43" s="2" t="s">
        <v>1906</v>
      </c>
      <c r="H43" s="2" t="s">
        <v>2125</v>
      </c>
      <c r="I43" s="16" t="s">
        <v>2114</v>
      </c>
    </row>
    <row r="44" spans="1:9" ht="47.55" customHeight="1">
      <c r="A44" s="22" t="s">
        <v>2126</v>
      </c>
      <c r="B44" s="22" t="s">
        <v>179</v>
      </c>
      <c r="C44" s="2" t="s">
        <v>2127</v>
      </c>
      <c r="D44" s="2" t="s">
        <v>2123</v>
      </c>
      <c r="E44" s="2" t="s">
        <v>2128</v>
      </c>
      <c r="F44" s="48" t="s">
        <v>307</v>
      </c>
      <c r="G44" s="2" t="s">
        <v>1906</v>
      </c>
      <c r="H44" s="2" t="s">
        <v>2129</v>
      </c>
      <c r="I44" s="16" t="s">
        <v>2114</v>
      </c>
    </row>
    <row r="45" spans="1:9" ht="47.55" customHeight="1">
      <c r="A45" s="22" t="s">
        <v>2130</v>
      </c>
      <c r="B45" s="22" t="s">
        <v>179</v>
      </c>
      <c r="C45" s="2" t="s">
        <v>2131</v>
      </c>
      <c r="D45" s="2" t="s">
        <v>2111</v>
      </c>
      <c r="E45" s="2" t="s">
        <v>2132</v>
      </c>
      <c r="F45" s="48" t="s">
        <v>307</v>
      </c>
      <c r="G45" s="2" t="s">
        <v>1906</v>
      </c>
      <c r="H45" s="2" t="s">
        <v>2133</v>
      </c>
      <c r="I45" s="16" t="s">
        <v>2114</v>
      </c>
    </row>
    <row r="46" spans="1:9" ht="47.55" customHeight="1">
      <c r="A46" s="22" t="s">
        <v>2134</v>
      </c>
      <c r="B46" s="22" t="s">
        <v>179</v>
      </c>
      <c r="C46" s="2" t="s">
        <v>2135</v>
      </c>
      <c r="D46" s="2" t="s">
        <v>2136</v>
      </c>
      <c r="E46" s="2" t="s">
        <v>2137</v>
      </c>
      <c r="F46" s="48" t="s">
        <v>307</v>
      </c>
      <c r="G46" s="2" t="s">
        <v>1966</v>
      </c>
      <c r="H46" s="2" t="s">
        <v>2138</v>
      </c>
      <c r="I46" s="16" t="s">
        <v>2139</v>
      </c>
    </row>
    <row r="47" spans="1:9" ht="91.05" customHeight="1">
      <c r="A47" s="22" t="s">
        <v>2140</v>
      </c>
      <c r="B47" s="22" t="s">
        <v>179</v>
      </c>
      <c r="C47" s="2" t="s">
        <v>2141</v>
      </c>
      <c r="D47" s="2" t="s">
        <v>2142</v>
      </c>
      <c r="E47" s="2" t="s">
        <v>2143</v>
      </c>
      <c r="F47" s="43">
        <v>1</v>
      </c>
      <c r="G47" s="2" t="s">
        <v>1966</v>
      </c>
      <c r="H47" s="2" t="s">
        <v>2144</v>
      </c>
      <c r="I47" s="16" t="s">
        <v>2145</v>
      </c>
    </row>
    <row r="48" spans="1:9" ht="76.5" customHeight="1">
      <c r="A48" s="22" t="s">
        <v>2146</v>
      </c>
      <c r="B48" s="22" t="s">
        <v>179</v>
      </c>
      <c r="C48" s="2" t="s">
        <v>2147</v>
      </c>
      <c r="D48" s="2" t="s">
        <v>2142</v>
      </c>
      <c r="E48" s="2" t="s">
        <v>2148</v>
      </c>
      <c r="F48" s="48" t="s">
        <v>307</v>
      </c>
      <c r="G48" s="2" t="s">
        <v>1966</v>
      </c>
      <c r="H48" s="2" t="s">
        <v>2149</v>
      </c>
      <c r="I48" s="16" t="s">
        <v>2150</v>
      </c>
    </row>
    <row r="49" spans="1:9" ht="61.95" customHeight="1">
      <c r="A49" s="22" t="s">
        <v>2151</v>
      </c>
      <c r="B49" s="22" t="s">
        <v>179</v>
      </c>
      <c r="C49" s="2" t="s">
        <v>2152</v>
      </c>
      <c r="D49" s="2" t="s">
        <v>2153</v>
      </c>
      <c r="E49" s="2" t="s">
        <v>2154</v>
      </c>
      <c r="F49" s="48" t="s">
        <v>307</v>
      </c>
      <c r="G49" s="2" t="s">
        <v>1966</v>
      </c>
      <c r="H49" s="2" t="s">
        <v>2155</v>
      </c>
      <c r="I49" s="16" t="s">
        <v>2156</v>
      </c>
    </row>
    <row r="50" spans="1:9" ht="33" customHeight="1">
      <c r="A50" s="22" t="s">
        <v>2157</v>
      </c>
      <c r="B50" s="22" t="s">
        <v>179</v>
      </c>
      <c r="C50" s="2" t="s">
        <v>2158</v>
      </c>
      <c r="D50" s="2" t="s">
        <v>2159</v>
      </c>
      <c r="E50" s="2" t="s">
        <v>2160</v>
      </c>
      <c r="F50" s="48" t="s">
        <v>307</v>
      </c>
      <c r="G50" s="2" t="s">
        <v>1966</v>
      </c>
      <c r="H50" s="2" t="s">
        <v>2161</v>
      </c>
      <c r="I50" s="16" t="s">
        <v>2162</v>
      </c>
    </row>
    <row r="51" spans="1:9" ht="160.05000000000001" customHeight="1">
      <c r="A51" s="22" t="s">
        <v>2163</v>
      </c>
      <c r="B51" s="22" t="s">
        <v>179</v>
      </c>
      <c r="C51" s="2" t="s">
        <v>2164</v>
      </c>
      <c r="D51" s="2" t="s">
        <v>2165</v>
      </c>
      <c r="E51" s="2" t="s">
        <v>2166</v>
      </c>
      <c r="F51" s="43">
        <v>4.4000000000000004</v>
      </c>
      <c r="G51" s="2" t="s">
        <v>1966</v>
      </c>
      <c r="H51" s="2" t="s">
        <v>2167</v>
      </c>
      <c r="I51" s="16" t="s">
        <v>2168</v>
      </c>
    </row>
    <row r="52" spans="1:9" ht="91.05" customHeight="1">
      <c r="A52" s="22" t="s">
        <v>2169</v>
      </c>
      <c r="B52" s="22" t="s">
        <v>179</v>
      </c>
      <c r="C52" s="2" t="s">
        <v>2170</v>
      </c>
      <c r="D52" s="2" t="s">
        <v>2171</v>
      </c>
      <c r="E52" s="2" t="s">
        <v>1613</v>
      </c>
      <c r="F52" s="43">
        <v>38</v>
      </c>
      <c r="G52" s="2" t="s">
        <v>1972</v>
      </c>
      <c r="H52" s="2" t="s">
        <v>2172</v>
      </c>
      <c r="I52" s="16" t="s">
        <v>2173</v>
      </c>
    </row>
    <row r="53" spans="1:9" ht="76.5" customHeight="1">
      <c r="A53" s="22" t="s">
        <v>2174</v>
      </c>
      <c r="B53" s="22" t="s">
        <v>179</v>
      </c>
      <c r="C53" s="2" t="s">
        <v>2175</v>
      </c>
      <c r="D53" s="2" t="s">
        <v>2176</v>
      </c>
      <c r="E53" s="2" t="s">
        <v>2177</v>
      </c>
      <c r="F53" s="48" t="s">
        <v>307</v>
      </c>
      <c r="G53" s="2" t="s">
        <v>2006</v>
      </c>
      <c r="H53" s="2" t="s">
        <v>2178</v>
      </c>
      <c r="I53" s="16" t="s">
        <v>2179</v>
      </c>
    </row>
    <row r="54" spans="1:9" ht="47.55" customHeight="1">
      <c r="A54" s="22" t="s">
        <v>2180</v>
      </c>
      <c r="B54" s="22" t="s">
        <v>179</v>
      </c>
      <c r="C54" s="2" t="s">
        <v>2181</v>
      </c>
      <c r="D54" s="2" t="s">
        <v>2182</v>
      </c>
      <c r="E54" s="2" t="s">
        <v>2183</v>
      </c>
      <c r="F54" s="48" t="s">
        <v>307</v>
      </c>
      <c r="G54" s="2" t="s">
        <v>2006</v>
      </c>
      <c r="H54" s="2" t="s">
        <v>2184</v>
      </c>
      <c r="I54" s="16" t="s">
        <v>2114</v>
      </c>
    </row>
    <row r="55" spans="1:9" ht="76.5" customHeight="1">
      <c r="A55" s="22" t="s">
        <v>2185</v>
      </c>
      <c r="B55" s="22" t="s">
        <v>179</v>
      </c>
      <c r="C55" s="2" t="s">
        <v>2186</v>
      </c>
      <c r="D55" s="2" t="s">
        <v>2187</v>
      </c>
      <c r="E55" s="2" t="s">
        <v>2188</v>
      </c>
      <c r="F55" s="48" t="s">
        <v>307</v>
      </c>
      <c r="G55" s="2" t="s">
        <v>2006</v>
      </c>
      <c r="H55" s="2" t="s">
        <v>2189</v>
      </c>
      <c r="I55" s="16" t="s">
        <v>2190</v>
      </c>
    </row>
    <row r="56" spans="1:9" ht="47.55" customHeight="1">
      <c r="A56" s="22" t="s">
        <v>2191</v>
      </c>
      <c r="B56" s="22" t="s">
        <v>179</v>
      </c>
      <c r="C56" s="2" t="s">
        <v>2192</v>
      </c>
      <c r="D56" s="2" t="s">
        <v>2171</v>
      </c>
      <c r="E56" s="2" t="s">
        <v>2193</v>
      </c>
      <c r="F56" s="48" t="s">
        <v>307</v>
      </c>
      <c r="G56" s="2" t="s">
        <v>2006</v>
      </c>
      <c r="H56" s="2" t="s">
        <v>2194</v>
      </c>
      <c r="I56" s="16" t="s">
        <v>2114</v>
      </c>
    </row>
    <row r="57" spans="1:9" ht="105.45" customHeight="1">
      <c r="A57" s="22" t="s">
        <v>2195</v>
      </c>
      <c r="B57" s="22" t="s">
        <v>179</v>
      </c>
      <c r="C57" s="2" t="s">
        <v>2196</v>
      </c>
      <c r="D57" s="2" t="s">
        <v>2197</v>
      </c>
      <c r="E57" s="2" t="s">
        <v>2198</v>
      </c>
      <c r="F57" s="48" t="s">
        <v>307</v>
      </c>
      <c r="G57" s="2" t="s">
        <v>2006</v>
      </c>
      <c r="H57" s="2" t="s">
        <v>2199</v>
      </c>
      <c r="I57" s="16" t="s">
        <v>2200</v>
      </c>
    </row>
    <row r="58" spans="1:9" ht="61.95" customHeight="1">
      <c r="A58" s="22" t="s">
        <v>2201</v>
      </c>
      <c r="B58" s="22" t="s">
        <v>179</v>
      </c>
      <c r="C58" s="2" t="s">
        <v>2202</v>
      </c>
      <c r="D58" s="2" t="s">
        <v>2171</v>
      </c>
      <c r="E58" s="2" t="s">
        <v>2203</v>
      </c>
      <c r="F58" s="48" t="s">
        <v>307</v>
      </c>
      <c r="G58" s="2" t="s">
        <v>2006</v>
      </c>
      <c r="H58" s="2" t="s">
        <v>2204</v>
      </c>
      <c r="I58" s="16" t="s">
        <v>2205</v>
      </c>
    </row>
    <row r="59" spans="1:9" ht="105.45" customHeight="1">
      <c r="A59" s="22" t="s">
        <v>2206</v>
      </c>
      <c r="B59" s="22" t="s">
        <v>179</v>
      </c>
      <c r="C59" s="2" t="s">
        <v>2207</v>
      </c>
      <c r="D59" s="2" t="s">
        <v>2171</v>
      </c>
      <c r="E59" s="2" t="s">
        <v>2208</v>
      </c>
      <c r="F59" s="48" t="s">
        <v>307</v>
      </c>
      <c r="G59" s="2" t="s">
        <v>2006</v>
      </c>
      <c r="H59" s="2" t="s">
        <v>2209</v>
      </c>
      <c r="I59" s="16" t="s">
        <v>2210</v>
      </c>
    </row>
    <row r="60" spans="1:9" ht="76.5" customHeight="1">
      <c r="A60" s="22" t="s">
        <v>2211</v>
      </c>
      <c r="B60" s="22" t="s">
        <v>179</v>
      </c>
      <c r="C60" s="2" t="s">
        <v>2212</v>
      </c>
      <c r="D60" s="2" t="s">
        <v>2031</v>
      </c>
      <c r="E60" s="2" t="s">
        <v>2213</v>
      </c>
      <c r="F60" s="43">
        <v>13.4</v>
      </c>
      <c r="G60" s="2" t="s">
        <v>2006</v>
      </c>
      <c r="H60" s="2" t="s">
        <v>2214</v>
      </c>
      <c r="I60" s="16" t="s">
        <v>2215</v>
      </c>
    </row>
    <row r="61" spans="1:9" ht="76.5" customHeight="1">
      <c r="A61" s="22" t="s">
        <v>2216</v>
      </c>
      <c r="B61" s="22" t="s">
        <v>179</v>
      </c>
      <c r="C61" s="2" t="s">
        <v>2217</v>
      </c>
      <c r="D61" s="2" t="s">
        <v>2031</v>
      </c>
      <c r="E61" s="2" t="s">
        <v>2218</v>
      </c>
      <c r="F61" s="43">
        <v>13.4</v>
      </c>
      <c r="G61" s="2" t="s">
        <v>2006</v>
      </c>
      <c r="H61" s="2" t="s">
        <v>2219</v>
      </c>
      <c r="I61" s="16" t="s">
        <v>2220</v>
      </c>
    </row>
    <row r="62" spans="1:9" ht="91.05" customHeight="1">
      <c r="A62" s="22" t="s">
        <v>2221</v>
      </c>
      <c r="B62" s="22" t="s">
        <v>179</v>
      </c>
      <c r="C62" s="2" t="s">
        <v>2222</v>
      </c>
      <c r="D62" s="2" t="s">
        <v>1126</v>
      </c>
      <c r="E62" s="2" t="s">
        <v>2223</v>
      </c>
      <c r="F62" s="48" t="s">
        <v>307</v>
      </c>
      <c r="G62" s="2" t="s">
        <v>2006</v>
      </c>
      <c r="H62" s="2" t="s">
        <v>2224</v>
      </c>
      <c r="I62" s="16" t="s">
        <v>2225</v>
      </c>
    </row>
    <row r="63" spans="1:9" ht="105.45" customHeight="1">
      <c r="A63" s="22" t="s">
        <v>2226</v>
      </c>
      <c r="B63" s="22" t="s">
        <v>179</v>
      </c>
      <c r="C63" s="2" t="s">
        <v>2227</v>
      </c>
      <c r="D63" s="2" t="s">
        <v>1126</v>
      </c>
      <c r="E63" s="2" t="s">
        <v>2228</v>
      </c>
      <c r="F63" s="48" t="s">
        <v>307</v>
      </c>
      <c r="G63" s="2" t="s">
        <v>2006</v>
      </c>
      <c r="H63" s="2" t="s">
        <v>2229</v>
      </c>
      <c r="I63" s="16" t="s">
        <v>2230</v>
      </c>
    </row>
    <row r="64" spans="1:9" ht="134.55000000000001" customHeight="1">
      <c r="A64" s="22" t="s">
        <v>2231</v>
      </c>
      <c r="B64" s="22" t="s">
        <v>179</v>
      </c>
      <c r="C64" s="2" t="s">
        <v>2232</v>
      </c>
      <c r="D64" s="2" t="s">
        <v>2233</v>
      </c>
      <c r="E64" s="2" t="s">
        <v>2234</v>
      </c>
      <c r="F64" s="43">
        <v>1000</v>
      </c>
      <c r="G64" s="2" t="s">
        <v>2006</v>
      </c>
      <c r="H64" s="2" t="s">
        <v>2235</v>
      </c>
      <c r="I64" s="16" t="s">
        <v>2236</v>
      </c>
    </row>
    <row r="65" spans="1:9" ht="160.05000000000001" customHeight="1">
      <c r="A65" s="22" t="s">
        <v>2237</v>
      </c>
      <c r="B65" s="22" t="s">
        <v>179</v>
      </c>
      <c r="C65" s="2" t="s">
        <v>2238</v>
      </c>
      <c r="D65" s="2" t="s">
        <v>2239</v>
      </c>
      <c r="E65" s="2" t="s">
        <v>2240</v>
      </c>
      <c r="F65" s="43">
        <v>720</v>
      </c>
      <c r="G65" s="2" t="s">
        <v>2006</v>
      </c>
      <c r="H65" s="2" t="s">
        <v>2241</v>
      </c>
      <c r="I65" s="16" t="s">
        <v>2242</v>
      </c>
    </row>
    <row r="66" spans="1:9" ht="160.05000000000001" customHeight="1">
      <c r="A66" s="22" t="s">
        <v>2243</v>
      </c>
      <c r="B66" s="22" t="s">
        <v>179</v>
      </c>
      <c r="C66" s="2" t="s">
        <v>2244</v>
      </c>
      <c r="D66" s="2" t="s">
        <v>287</v>
      </c>
      <c r="E66" s="2" t="s">
        <v>2245</v>
      </c>
      <c r="F66" s="48" t="s">
        <v>307</v>
      </c>
      <c r="G66" s="2" t="s">
        <v>2006</v>
      </c>
      <c r="H66" s="2" t="s">
        <v>2246</v>
      </c>
      <c r="I66" s="16" t="s">
        <v>2247</v>
      </c>
    </row>
    <row r="67" spans="1:9" ht="61.95" customHeight="1">
      <c r="A67" s="22" t="s">
        <v>2248</v>
      </c>
      <c r="B67" s="22" t="s">
        <v>179</v>
      </c>
      <c r="C67" s="2" t="s">
        <v>2249</v>
      </c>
      <c r="D67" s="2" t="s">
        <v>2165</v>
      </c>
      <c r="E67" s="2" t="s">
        <v>2250</v>
      </c>
      <c r="F67" s="48" t="s">
        <v>307</v>
      </c>
      <c r="G67" s="2" t="s">
        <v>2006</v>
      </c>
      <c r="H67" s="2" t="s">
        <v>2251</v>
      </c>
      <c r="I67" s="16" t="s">
        <v>2114</v>
      </c>
    </row>
    <row r="68" spans="1:9" ht="160.05000000000001" customHeight="1">
      <c r="A68" s="22" t="s">
        <v>2252</v>
      </c>
      <c r="B68" s="22" t="s">
        <v>179</v>
      </c>
      <c r="C68" s="2" t="s">
        <v>2253</v>
      </c>
      <c r="D68" s="2" t="s">
        <v>2165</v>
      </c>
      <c r="E68" s="2" t="s">
        <v>2254</v>
      </c>
      <c r="F68" s="48" t="s">
        <v>307</v>
      </c>
      <c r="G68" s="2" t="s">
        <v>2006</v>
      </c>
      <c r="H68" s="2" t="s">
        <v>2255</v>
      </c>
      <c r="I68" s="16" t="s">
        <v>2256</v>
      </c>
    </row>
    <row r="69" spans="1:9" ht="160.05000000000001" customHeight="1">
      <c r="A69" s="22" t="s">
        <v>2257</v>
      </c>
      <c r="B69" s="22" t="s">
        <v>179</v>
      </c>
      <c r="C69" s="2" t="s">
        <v>2258</v>
      </c>
      <c r="D69" s="2" t="s">
        <v>2259</v>
      </c>
      <c r="E69" s="2" t="s">
        <v>2260</v>
      </c>
      <c r="F69" s="48" t="s">
        <v>307</v>
      </c>
      <c r="G69" s="2" t="s">
        <v>2006</v>
      </c>
      <c r="H69" s="2" t="s">
        <v>2261</v>
      </c>
      <c r="I69" s="16" t="s">
        <v>2262</v>
      </c>
    </row>
    <row r="70" spans="1:9" ht="61.95" customHeight="1">
      <c r="A70" s="22" t="s">
        <v>2263</v>
      </c>
      <c r="B70" s="22" t="s">
        <v>179</v>
      </c>
      <c r="C70" s="2" t="s">
        <v>2264</v>
      </c>
      <c r="D70" s="2" t="s">
        <v>380</v>
      </c>
      <c r="E70" s="2" t="s">
        <v>426</v>
      </c>
      <c r="F70" s="43">
        <v>72</v>
      </c>
      <c r="G70" s="2" t="s">
        <v>2006</v>
      </c>
      <c r="H70" s="2" t="s">
        <v>2265</v>
      </c>
      <c r="I70" s="16" t="s">
        <v>2266</v>
      </c>
    </row>
    <row r="71" spans="1:9" ht="33" customHeight="1">
      <c r="A71" s="22" t="s">
        <v>2267</v>
      </c>
      <c r="B71" s="22" t="s">
        <v>179</v>
      </c>
      <c r="C71" s="2" t="s">
        <v>2268</v>
      </c>
      <c r="D71" s="2" t="s">
        <v>2269</v>
      </c>
      <c r="E71" s="2" t="s">
        <v>2270</v>
      </c>
      <c r="F71" s="48" t="s">
        <v>307</v>
      </c>
      <c r="G71" s="2" t="s">
        <v>2006</v>
      </c>
      <c r="H71" s="2" t="s">
        <v>2271</v>
      </c>
      <c r="I71" s="16" t="s">
        <v>2272</v>
      </c>
    </row>
    <row r="72" spans="1:9" ht="47.55" customHeight="1">
      <c r="A72" s="22" t="s">
        <v>2273</v>
      </c>
      <c r="B72" s="22" t="s">
        <v>179</v>
      </c>
      <c r="C72" s="2" t="s">
        <v>2274</v>
      </c>
      <c r="D72" s="2" t="s">
        <v>2275</v>
      </c>
      <c r="E72" s="2" t="s">
        <v>2276</v>
      </c>
      <c r="F72" s="48" t="s">
        <v>307</v>
      </c>
      <c r="G72" s="2" t="s">
        <v>2006</v>
      </c>
      <c r="H72" s="2" t="s">
        <v>2277</v>
      </c>
      <c r="I72" s="16" t="s">
        <v>2114</v>
      </c>
    </row>
    <row r="73" spans="1:9" ht="160.05000000000001" customHeight="1">
      <c r="A73" s="22" t="s">
        <v>2278</v>
      </c>
      <c r="B73" s="22" t="s">
        <v>179</v>
      </c>
      <c r="C73" s="2" t="s">
        <v>2279</v>
      </c>
      <c r="D73" s="2" t="s">
        <v>2280</v>
      </c>
      <c r="E73" s="2" t="s">
        <v>2281</v>
      </c>
      <c r="F73" s="43">
        <v>2400</v>
      </c>
      <c r="G73" s="2" t="s">
        <v>2006</v>
      </c>
      <c r="H73" s="2" t="s">
        <v>2282</v>
      </c>
      <c r="I73" s="16" t="s">
        <v>2283</v>
      </c>
    </row>
    <row r="74" spans="1:9" ht="76.5" customHeight="1">
      <c r="A74" s="22" t="s">
        <v>2284</v>
      </c>
      <c r="B74" s="22" t="s">
        <v>179</v>
      </c>
      <c r="C74" s="2" t="s">
        <v>2285</v>
      </c>
      <c r="D74" s="2" t="s">
        <v>466</v>
      </c>
      <c r="E74" s="2" t="s">
        <v>2286</v>
      </c>
      <c r="F74" s="48" t="s">
        <v>307</v>
      </c>
      <c r="G74" s="2" t="s">
        <v>2006</v>
      </c>
      <c r="H74" s="2" t="s">
        <v>2287</v>
      </c>
      <c r="I74" s="16" t="s">
        <v>2288</v>
      </c>
    </row>
    <row r="75" spans="1:9" ht="91.05" customHeight="1">
      <c r="A75" s="22" t="s">
        <v>2289</v>
      </c>
      <c r="B75" s="22" t="s">
        <v>179</v>
      </c>
      <c r="C75" s="2" t="s">
        <v>2290</v>
      </c>
      <c r="D75" s="2" t="s">
        <v>466</v>
      </c>
      <c r="E75" s="2" t="s">
        <v>2291</v>
      </c>
      <c r="F75" s="48" t="s">
        <v>307</v>
      </c>
      <c r="G75" s="2" t="s">
        <v>2006</v>
      </c>
      <c r="H75" s="2" t="s">
        <v>2292</v>
      </c>
      <c r="I75" s="16" t="s">
        <v>2293</v>
      </c>
    </row>
    <row r="76" spans="1:9" ht="120" customHeight="1">
      <c r="A76" s="22" t="s">
        <v>2294</v>
      </c>
      <c r="B76" s="22" t="s">
        <v>179</v>
      </c>
      <c r="C76" s="2" t="s">
        <v>2295</v>
      </c>
      <c r="D76" s="2" t="s">
        <v>466</v>
      </c>
      <c r="E76" s="2" t="s">
        <v>2296</v>
      </c>
      <c r="F76" s="48" t="s">
        <v>307</v>
      </c>
      <c r="G76" s="2" t="s">
        <v>2006</v>
      </c>
      <c r="H76" s="2" t="s">
        <v>2297</v>
      </c>
      <c r="I76" s="16" t="s">
        <v>2298</v>
      </c>
    </row>
    <row r="77" spans="1:9" ht="120" customHeight="1">
      <c r="A77" s="22" t="s">
        <v>2299</v>
      </c>
      <c r="B77" s="22" t="s">
        <v>179</v>
      </c>
      <c r="C77" s="2" t="s">
        <v>2300</v>
      </c>
      <c r="D77" s="2" t="s">
        <v>2301</v>
      </c>
      <c r="E77" s="2" t="s">
        <v>2302</v>
      </c>
      <c r="F77" s="43">
        <v>2400</v>
      </c>
      <c r="G77" s="2" t="s">
        <v>2006</v>
      </c>
      <c r="H77" s="2" t="s">
        <v>2303</v>
      </c>
      <c r="I77" s="16" t="s">
        <v>2304</v>
      </c>
    </row>
    <row r="78" spans="1:9" ht="148.94999999999999" customHeight="1">
      <c r="A78" s="22" t="s">
        <v>2305</v>
      </c>
      <c r="B78" s="22" t="s">
        <v>179</v>
      </c>
      <c r="C78" s="2" t="s">
        <v>2306</v>
      </c>
      <c r="D78" s="2" t="s">
        <v>2307</v>
      </c>
      <c r="E78" s="2" t="s">
        <v>2308</v>
      </c>
      <c r="F78" s="48" t="s">
        <v>307</v>
      </c>
      <c r="G78" s="2" t="s">
        <v>2006</v>
      </c>
      <c r="H78" s="2" t="s">
        <v>2309</v>
      </c>
      <c r="I78" s="16" t="s">
        <v>2310</v>
      </c>
    </row>
    <row r="79" spans="1:9" ht="61.95" customHeight="1">
      <c r="A79" s="22" t="s">
        <v>2311</v>
      </c>
      <c r="B79" s="22" t="s">
        <v>179</v>
      </c>
      <c r="C79" s="2" t="s">
        <v>2312</v>
      </c>
      <c r="D79" s="2" t="s">
        <v>2313</v>
      </c>
      <c r="E79" s="2" t="s">
        <v>2314</v>
      </c>
      <c r="F79" s="43">
        <v>100</v>
      </c>
      <c r="G79" s="2" t="s">
        <v>2006</v>
      </c>
      <c r="H79" s="2" t="s">
        <v>2315</v>
      </c>
      <c r="I79" s="16" t="s">
        <v>2316</v>
      </c>
    </row>
    <row r="80" spans="1:9" ht="47.55" customHeight="1">
      <c r="A80" s="22" t="s">
        <v>2317</v>
      </c>
      <c r="B80" s="22" t="s">
        <v>181</v>
      </c>
      <c r="C80" s="2" t="s">
        <v>2318</v>
      </c>
      <c r="D80" s="2" t="s">
        <v>2319</v>
      </c>
      <c r="E80" s="2" t="s">
        <v>2320</v>
      </c>
      <c r="F80" s="43">
        <v>4.5</v>
      </c>
      <c r="G80" s="2" t="s">
        <v>1966</v>
      </c>
      <c r="H80" s="2" t="s">
        <v>2321</v>
      </c>
      <c r="I80" s="16" t="s">
        <v>2322</v>
      </c>
    </row>
    <row r="81" spans="1:9" ht="160.05000000000001" customHeight="1">
      <c r="A81" s="22" t="s">
        <v>2323</v>
      </c>
      <c r="B81" s="22" t="s">
        <v>181</v>
      </c>
      <c r="C81" s="2" t="s">
        <v>2324</v>
      </c>
      <c r="D81" s="2" t="s">
        <v>2325</v>
      </c>
      <c r="E81" s="2" t="s">
        <v>2326</v>
      </c>
      <c r="F81" s="43">
        <v>3.5</v>
      </c>
      <c r="G81" s="2" t="s">
        <v>1966</v>
      </c>
      <c r="H81" s="2" t="s">
        <v>2327</v>
      </c>
      <c r="I81" s="16" t="s">
        <v>2328</v>
      </c>
    </row>
    <row r="82" spans="1:9" ht="61.95" customHeight="1">
      <c r="A82" s="22" t="s">
        <v>2329</v>
      </c>
      <c r="B82" s="22" t="s">
        <v>181</v>
      </c>
      <c r="C82" s="2" t="s">
        <v>2330</v>
      </c>
      <c r="D82" s="2" t="s">
        <v>2142</v>
      </c>
      <c r="E82" s="2" t="s">
        <v>2331</v>
      </c>
      <c r="F82" s="43">
        <v>5.2</v>
      </c>
      <c r="G82" s="2" t="s">
        <v>1966</v>
      </c>
      <c r="H82" s="2" t="s">
        <v>2332</v>
      </c>
      <c r="I82" s="16" t="s">
        <v>2333</v>
      </c>
    </row>
    <row r="83" spans="1:9" ht="160.05000000000001" customHeight="1">
      <c r="A83" s="22" t="s">
        <v>2334</v>
      </c>
      <c r="B83" s="22" t="s">
        <v>181</v>
      </c>
      <c r="C83" s="2" t="s">
        <v>2335</v>
      </c>
      <c r="D83" s="2" t="s">
        <v>2336</v>
      </c>
      <c r="E83" s="2" t="s">
        <v>2337</v>
      </c>
      <c r="F83" s="43">
        <v>2</v>
      </c>
      <c r="G83" s="2" t="s">
        <v>1966</v>
      </c>
      <c r="H83" s="2" t="s">
        <v>2338</v>
      </c>
      <c r="I83" s="16" t="s">
        <v>2339</v>
      </c>
    </row>
    <row r="84" spans="1:9" ht="76.5" customHeight="1">
      <c r="A84" s="22" t="s">
        <v>2340</v>
      </c>
      <c r="B84" s="22" t="s">
        <v>181</v>
      </c>
      <c r="C84" s="2" t="s">
        <v>2341</v>
      </c>
      <c r="D84" s="2" t="s">
        <v>530</v>
      </c>
      <c r="E84" s="2" t="s">
        <v>2342</v>
      </c>
      <c r="F84" s="43">
        <v>2.25</v>
      </c>
      <c r="G84" s="2" t="s">
        <v>1966</v>
      </c>
      <c r="H84" s="2" t="s">
        <v>2343</v>
      </c>
      <c r="I84" s="16" t="s">
        <v>2344</v>
      </c>
    </row>
    <row r="85" spans="1:9" ht="47.55" customHeight="1">
      <c r="A85" s="22" t="s">
        <v>2345</v>
      </c>
      <c r="B85" s="22" t="s">
        <v>181</v>
      </c>
      <c r="C85" s="2" t="s">
        <v>2346</v>
      </c>
      <c r="D85" s="2" t="s">
        <v>2165</v>
      </c>
      <c r="E85" s="2" t="s">
        <v>2347</v>
      </c>
      <c r="F85" s="43">
        <v>2</v>
      </c>
      <c r="G85" s="2" t="s">
        <v>1966</v>
      </c>
      <c r="H85" s="2" t="s">
        <v>2348</v>
      </c>
      <c r="I85" s="16" t="s">
        <v>2349</v>
      </c>
    </row>
    <row r="86" spans="1:9" ht="160.05000000000001" customHeight="1">
      <c r="A86" s="22" t="s">
        <v>2350</v>
      </c>
      <c r="B86" s="22" t="s">
        <v>181</v>
      </c>
      <c r="C86" s="2" t="s">
        <v>2351</v>
      </c>
      <c r="D86" s="2" t="s">
        <v>530</v>
      </c>
      <c r="E86" s="2" t="s">
        <v>2352</v>
      </c>
      <c r="F86" s="43">
        <v>1</v>
      </c>
      <c r="G86" s="2" t="s">
        <v>1966</v>
      </c>
      <c r="H86" s="2" t="s">
        <v>2353</v>
      </c>
      <c r="I86" s="16" t="s">
        <v>2354</v>
      </c>
    </row>
    <row r="87" spans="1:9" ht="160.05000000000001" customHeight="1">
      <c r="A87" s="22" t="s">
        <v>2355</v>
      </c>
      <c r="B87" s="22" t="s">
        <v>181</v>
      </c>
      <c r="C87" s="2" t="s">
        <v>2356</v>
      </c>
      <c r="D87" s="2" t="s">
        <v>2357</v>
      </c>
      <c r="E87" s="2" t="s">
        <v>2358</v>
      </c>
      <c r="F87" s="43">
        <v>2.5</v>
      </c>
      <c r="G87" s="2" t="s">
        <v>1966</v>
      </c>
      <c r="H87" s="2" t="s">
        <v>2359</v>
      </c>
      <c r="I87" s="16" t="s">
        <v>2360</v>
      </c>
    </row>
    <row r="88" spans="1:9" ht="120" customHeight="1">
      <c r="A88" s="22" t="s">
        <v>2361</v>
      </c>
      <c r="B88" s="22" t="s">
        <v>181</v>
      </c>
      <c r="C88" s="2" t="s">
        <v>2362</v>
      </c>
      <c r="D88" s="2" t="s">
        <v>2363</v>
      </c>
      <c r="E88" s="2" t="s">
        <v>2364</v>
      </c>
      <c r="F88" s="43">
        <v>2.5</v>
      </c>
      <c r="G88" s="2" t="s">
        <v>1966</v>
      </c>
      <c r="H88" s="2" t="s">
        <v>2365</v>
      </c>
      <c r="I88" s="16" t="s">
        <v>2366</v>
      </c>
    </row>
    <row r="89" spans="1:9" ht="160.05000000000001" customHeight="1">
      <c r="A89" s="22" t="s">
        <v>2367</v>
      </c>
      <c r="B89" s="22" t="s">
        <v>181</v>
      </c>
      <c r="C89" s="2" t="s">
        <v>2368</v>
      </c>
      <c r="D89" s="2" t="s">
        <v>2325</v>
      </c>
      <c r="E89" s="2" t="s">
        <v>2369</v>
      </c>
      <c r="F89" s="43">
        <v>19.600000000000001</v>
      </c>
      <c r="G89" s="2" t="s">
        <v>2006</v>
      </c>
      <c r="H89" s="2" t="s">
        <v>2370</v>
      </c>
      <c r="I89" s="16" t="s">
        <v>2371</v>
      </c>
    </row>
    <row r="90" spans="1:9" ht="76.5" customHeight="1">
      <c r="A90" s="22" t="s">
        <v>2372</v>
      </c>
      <c r="B90" s="22" t="s">
        <v>181</v>
      </c>
      <c r="C90" s="2" t="s">
        <v>2373</v>
      </c>
      <c r="D90" s="2" t="s">
        <v>2142</v>
      </c>
      <c r="E90" s="2" t="s">
        <v>2374</v>
      </c>
      <c r="F90" s="48" t="s">
        <v>307</v>
      </c>
      <c r="G90" s="2" t="s">
        <v>2006</v>
      </c>
      <c r="H90" s="2" t="s">
        <v>2375</v>
      </c>
      <c r="I90" s="16" t="s">
        <v>2376</v>
      </c>
    </row>
    <row r="91" spans="1:9" ht="76.5" customHeight="1">
      <c r="A91" s="22" t="s">
        <v>2377</v>
      </c>
      <c r="B91" s="22" t="s">
        <v>181</v>
      </c>
      <c r="C91" s="2" t="s">
        <v>2378</v>
      </c>
      <c r="D91" s="2" t="s">
        <v>530</v>
      </c>
      <c r="E91" s="2" t="s">
        <v>2379</v>
      </c>
      <c r="F91" s="43">
        <v>1</v>
      </c>
      <c r="G91" s="2" t="s">
        <v>2006</v>
      </c>
      <c r="H91" s="2" t="s">
        <v>2380</v>
      </c>
      <c r="I91" s="16" t="s">
        <v>2381</v>
      </c>
    </row>
    <row r="92" spans="1:9" ht="76.5" customHeight="1">
      <c r="A92" s="22" t="s">
        <v>2382</v>
      </c>
      <c r="B92" s="22" t="s">
        <v>181</v>
      </c>
      <c r="C92" s="2" t="s">
        <v>2383</v>
      </c>
      <c r="D92" s="2" t="s">
        <v>2384</v>
      </c>
      <c r="E92" s="2" t="s">
        <v>2385</v>
      </c>
      <c r="F92" s="48" t="s">
        <v>307</v>
      </c>
      <c r="G92" s="2" t="s">
        <v>2006</v>
      </c>
      <c r="H92" s="2" t="s">
        <v>2386</v>
      </c>
      <c r="I92" s="16" t="s">
        <v>2387</v>
      </c>
    </row>
    <row r="93" spans="1:9" ht="105.45" customHeight="1">
      <c r="A93" s="22" t="s">
        <v>2388</v>
      </c>
      <c r="B93" s="22" t="s">
        <v>181</v>
      </c>
      <c r="C93" s="2" t="s">
        <v>2389</v>
      </c>
      <c r="D93" s="2" t="s">
        <v>2390</v>
      </c>
      <c r="E93" s="2" t="s">
        <v>2391</v>
      </c>
      <c r="F93" s="43">
        <v>7</v>
      </c>
      <c r="G93" s="2" t="s">
        <v>2006</v>
      </c>
      <c r="H93" s="2" t="s">
        <v>2392</v>
      </c>
      <c r="I93" s="16" t="s">
        <v>2393</v>
      </c>
    </row>
    <row r="94" spans="1:9" ht="105.45" customHeight="1">
      <c r="A94" s="22" t="s">
        <v>2394</v>
      </c>
      <c r="B94" s="22" t="s">
        <v>181</v>
      </c>
      <c r="C94" s="2" t="s">
        <v>2395</v>
      </c>
      <c r="D94" s="2" t="s">
        <v>2396</v>
      </c>
      <c r="E94" s="2" t="s">
        <v>945</v>
      </c>
      <c r="F94" s="43">
        <v>780</v>
      </c>
      <c r="G94" s="2" t="s">
        <v>2006</v>
      </c>
      <c r="H94" s="2" t="s">
        <v>2397</v>
      </c>
      <c r="I94" s="16" t="s">
        <v>2398</v>
      </c>
    </row>
    <row r="95" spans="1:9" ht="148.94999999999999" customHeight="1">
      <c r="A95" s="22" t="s">
        <v>2399</v>
      </c>
      <c r="B95" s="22" t="s">
        <v>181</v>
      </c>
      <c r="C95" s="2" t="s">
        <v>2400</v>
      </c>
      <c r="D95" s="2" t="s">
        <v>331</v>
      </c>
      <c r="E95" s="2" t="s">
        <v>2401</v>
      </c>
      <c r="F95" s="48" t="s">
        <v>307</v>
      </c>
      <c r="G95" s="2" t="s">
        <v>2006</v>
      </c>
      <c r="H95" s="2" t="s">
        <v>2402</v>
      </c>
      <c r="I95" s="16" t="s">
        <v>2403</v>
      </c>
    </row>
    <row r="96" spans="1:9" ht="148.94999999999999" customHeight="1">
      <c r="A96" s="22" t="s">
        <v>2404</v>
      </c>
      <c r="B96" s="22" t="s">
        <v>181</v>
      </c>
      <c r="C96" s="2" t="s">
        <v>2405</v>
      </c>
      <c r="D96" s="2" t="s">
        <v>2406</v>
      </c>
      <c r="E96" s="2" t="s">
        <v>2407</v>
      </c>
      <c r="F96" s="48" t="s">
        <v>307</v>
      </c>
      <c r="G96" s="2" t="s">
        <v>2006</v>
      </c>
      <c r="H96" s="2" t="s">
        <v>2408</v>
      </c>
      <c r="I96" s="16" t="s">
        <v>2409</v>
      </c>
    </row>
    <row r="97" spans="1:9" ht="160.05000000000001" customHeight="1">
      <c r="A97" s="22" t="s">
        <v>2410</v>
      </c>
      <c r="B97" s="22" t="s">
        <v>183</v>
      </c>
      <c r="C97" s="2" t="s">
        <v>2411</v>
      </c>
      <c r="D97" s="2" t="s">
        <v>1126</v>
      </c>
      <c r="E97" s="2" t="s">
        <v>2412</v>
      </c>
      <c r="F97" s="48" t="s">
        <v>307</v>
      </c>
      <c r="G97" s="2" t="s">
        <v>1966</v>
      </c>
      <c r="H97" s="2" t="s">
        <v>2413</v>
      </c>
      <c r="I97" s="16" t="s">
        <v>2414</v>
      </c>
    </row>
    <row r="98" spans="1:9" ht="160.05000000000001" customHeight="1">
      <c r="A98" s="22" t="s">
        <v>2415</v>
      </c>
      <c r="B98" s="22" t="s">
        <v>183</v>
      </c>
      <c r="C98" s="2" t="s">
        <v>2416</v>
      </c>
      <c r="D98" s="2" t="s">
        <v>2165</v>
      </c>
      <c r="E98" s="2" t="s">
        <v>2417</v>
      </c>
      <c r="F98" s="43">
        <v>2</v>
      </c>
      <c r="G98" s="2" t="s">
        <v>1966</v>
      </c>
      <c r="H98" s="2" t="s">
        <v>2418</v>
      </c>
      <c r="I98" s="16" t="s">
        <v>2419</v>
      </c>
    </row>
    <row r="99" spans="1:9" ht="160.05000000000001" customHeight="1">
      <c r="A99" s="22" t="s">
        <v>2420</v>
      </c>
      <c r="B99" s="22" t="s">
        <v>183</v>
      </c>
      <c r="C99" s="2" t="s">
        <v>2421</v>
      </c>
      <c r="D99" s="2" t="s">
        <v>2165</v>
      </c>
      <c r="E99" s="2" t="s">
        <v>2422</v>
      </c>
      <c r="F99" s="43">
        <v>2</v>
      </c>
      <c r="G99" s="2" t="s">
        <v>1966</v>
      </c>
      <c r="H99" s="2" t="s">
        <v>2423</v>
      </c>
      <c r="I99" s="16" t="s">
        <v>2424</v>
      </c>
    </row>
    <row r="100" spans="1:9" ht="134.55000000000001" customHeight="1">
      <c r="A100" s="22" t="s">
        <v>2425</v>
      </c>
      <c r="B100" s="22" t="s">
        <v>183</v>
      </c>
      <c r="C100" s="2" t="s">
        <v>2426</v>
      </c>
      <c r="D100" s="2" t="s">
        <v>2165</v>
      </c>
      <c r="E100" s="2" t="s">
        <v>2427</v>
      </c>
      <c r="F100" s="43">
        <v>4</v>
      </c>
      <c r="G100" s="2" t="s">
        <v>1966</v>
      </c>
      <c r="H100" s="2" t="s">
        <v>2428</v>
      </c>
      <c r="I100" s="16" t="s">
        <v>2429</v>
      </c>
    </row>
    <row r="101" spans="1:9" ht="160.05000000000001" customHeight="1">
      <c r="A101" s="22" t="s">
        <v>2430</v>
      </c>
      <c r="B101" s="22" t="s">
        <v>183</v>
      </c>
      <c r="C101" s="2" t="s">
        <v>2431</v>
      </c>
      <c r="D101" s="2" t="s">
        <v>2165</v>
      </c>
      <c r="E101" s="2" t="s">
        <v>2432</v>
      </c>
      <c r="F101" s="43">
        <v>4</v>
      </c>
      <c r="G101" s="2" t="s">
        <v>1966</v>
      </c>
      <c r="H101" s="2" t="s">
        <v>2433</v>
      </c>
      <c r="I101" s="16" t="s">
        <v>2434</v>
      </c>
    </row>
    <row r="102" spans="1:9" ht="134.55000000000001" customHeight="1">
      <c r="A102" s="22" t="s">
        <v>2435</v>
      </c>
      <c r="B102" s="22" t="s">
        <v>183</v>
      </c>
      <c r="C102" s="2" t="s">
        <v>2436</v>
      </c>
      <c r="D102" s="2" t="s">
        <v>2165</v>
      </c>
      <c r="E102" s="2" t="s">
        <v>2437</v>
      </c>
      <c r="F102" s="43">
        <v>1.5</v>
      </c>
      <c r="G102" s="2" t="s">
        <v>1966</v>
      </c>
      <c r="H102" s="2" t="s">
        <v>2438</v>
      </c>
      <c r="I102" s="16" t="s">
        <v>2439</v>
      </c>
    </row>
    <row r="103" spans="1:9" ht="134.55000000000001" customHeight="1">
      <c r="A103" s="22" t="s">
        <v>2440</v>
      </c>
      <c r="B103" s="22" t="s">
        <v>183</v>
      </c>
      <c r="C103" s="2" t="s">
        <v>2441</v>
      </c>
      <c r="D103" s="2" t="s">
        <v>2442</v>
      </c>
      <c r="E103" s="2" t="s">
        <v>2443</v>
      </c>
      <c r="F103" s="43">
        <v>2</v>
      </c>
      <c r="G103" s="2" t="s">
        <v>1966</v>
      </c>
      <c r="H103" s="2" t="s">
        <v>2444</v>
      </c>
      <c r="I103" s="16" t="s">
        <v>2445</v>
      </c>
    </row>
    <row r="104" spans="1:9" ht="160.05000000000001" customHeight="1">
      <c r="A104" s="22" t="s">
        <v>2446</v>
      </c>
      <c r="B104" s="22" t="s">
        <v>183</v>
      </c>
      <c r="C104" s="2" t="s">
        <v>2447</v>
      </c>
      <c r="D104" s="2" t="s">
        <v>2448</v>
      </c>
      <c r="E104" s="2" t="s">
        <v>2449</v>
      </c>
      <c r="F104" s="43">
        <v>1</v>
      </c>
      <c r="G104" s="2" t="s">
        <v>1966</v>
      </c>
      <c r="H104" s="2" t="s">
        <v>2450</v>
      </c>
      <c r="I104" s="16" t="s">
        <v>2451</v>
      </c>
    </row>
    <row r="105" spans="1:9" ht="160.05000000000001" customHeight="1">
      <c r="A105" s="22" t="s">
        <v>2452</v>
      </c>
      <c r="B105" s="22" t="s">
        <v>183</v>
      </c>
      <c r="C105" s="2" t="s">
        <v>2453</v>
      </c>
      <c r="D105" s="2" t="s">
        <v>2454</v>
      </c>
      <c r="E105" s="2" t="s">
        <v>2455</v>
      </c>
      <c r="F105" s="43">
        <v>120</v>
      </c>
      <c r="G105" s="2" t="s">
        <v>1972</v>
      </c>
      <c r="H105" s="2" t="s">
        <v>2456</v>
      </c>
      <c r="I105" s="16" t="s">
        <v>2457</v>
      </c>
    </row>
    <row r="106" spans="1:9" ht="160.05000000000001" customHeight="1">
      <c r="A106" s="22" t="s">
        <v>2458</v>
      </c>
      <c r="B106" s="22" t="s">
        <v>183</v>
      </c>
      <c r="C106" s="2" t="s">
        <v>2459</v>
      </c>
      <c r="D106" s="2" t="s">
        <v>2460</v>
      </c>
      <c r="E106" s="2" t="s">
        <v>2461</v>
      </c>
      <c r="F106" s="43">
        <v>120</v>
      </c>
      <c r="G106" s="2" t="s">
        <v>1972</v>
      </c>
      <c r="H106" s="2" t="s">
        <v>2462</v>
      </c>
      <c r="I106" s="16" t="s">
        <v>2463</v>
      </c>
    </row>
    <row r="107" spans="1:9" ht="134.55000000000001" customHeight="1">
      <c r="A107" s="22" t="s">
        <v>2464</v>
      </c>
      <c r="B107" s="22" t="s">
        <v>183</v>
      </c>
      <c r="C107" s="2" t="s">
        <v>2465</v>
      </c>
      <c r="D107" s="2" t="s">
        <v>249</v>
      </c>
      <c r="E107" s="2" t="s">
        <v>2466</v>
      </c>
      <c r="F107" s="48" t="s">
        <v>307</v>
      </c>
      <c r="G107" s="2" t="s">
        <v>2006</v>
      </c>
      <c r="H107" s="2" t="s">
        <v>2467</v>
      </c>
      <c r="I107" s="16" t="s">
        <v>2468</v>
      </c>
    </row>
    <row r="108" spans="1:9" ht="134.55000000000001" customHeight="1">
      <c r="A108" s="22" t="s">
        <v>2469</v>
      </c>
      <c r="B108" s="22" t="s">
        <v>183</v>
      </c>
      <c r="C108" s="2" t="s">
        <v>2470</v>
      </c>
      <c r="D108" s="2" t="s">
        <v>249</v>
      </c>
      <c r="E108" s="2" t="s">
        <v>2471</v>
      </c>
      <c r="F108" s="48" t="s">
        <v>307</v>
      </c>
      <c r="G108" s="2" t="s">
        <v>2006</v>
      </c>
      <c r="H108" s="2" t="s">
        <v>2472</v>
      </c>
      <c r="I108" s="16" t="s">
        <v>2473</v>
      </c>
    </row>
    <row r="109" spans="1:9" ht="91.05" customHeight="1">
      <c r="A109" s="22" t="s">
        <v>2474</v>
      </c>
      <c r="B109" s="22" t="s">
        <v>183</v>
      </c>
      <c r="C109" s="2" t="s">
        <v>2475</v>
      </c>
      <c r="D109" s="2" t="s">
        <v>2476</v>
      </c>
      <c r="E109" s="2" t="s">
        <v>2477</v>
      </c>
      <c r="F109" s="48" t="s">
        <v>307</v>
      </c>
      <c r="G109" s="2" t="s">
        <v>2006</v>
      </c>
      <c r="H109" s="2" t="s">
        <v>2478</v>
      </c>
      <c r="I109" s="16" t="s">
        <v>2479</v>
      </c>
    </row>
    <row r="110" spans="1:9" ht="160.05000000000001" customHeight="1">
      <c r="A110" s="22" t="s">
        <v>2480</v>
      </c>
      <c r="B110" s="22" t="s">
        <v>183</v>
      </c>
      <c r="C110" s="2" t="s">
        <v>2481</v>
      </c>
      <c r="D110" s="2" t="s">
        <v>2482</v>
      </c>
      <c r="E110" s="2" t="s">
        <v>2483</v>
      </c>
      <c r="F110" s="43">
        <v>5</v>
      </c>
      <c r="G110" s="2" t="s">
        <v>2006</v>
      </c>
      <c r="H110" s="2" t="s">
        <v>2484</v>
      </c>
      <c r="I110" s="16" t="s">
        <v>2485</v>
      </c>
    </row>
    <row r="111" spans="1:9" ht="160.05000000000001" customHeight="1">
      <c r="A111" s="22" t="s">
        <v>2486</v>
      </c>
      <c r="B111" s="22" t="s">
        <v>183</v>
      </c>
      <c r="C111" s="2" t="s">
        <v>2487</v>
      </c>
      <c r="D111" s="2" t="s">
        <v>2488</v>
      </c>
      <c r="E111" s="2" t="s">
        <v>2489</v>
      </c>
      <c r="F111" s="43">
        <v>240</v>
      </c>
      <c r="G111" s="2" t="s">
        <v>2006</v>
      </c>
      <c r="H111" s="2" t="s">
        <v>2490</v>
      </c>
      <c r="I111" s="16" t="s">
        <v>2491</v>
      </c>
    </row>
    <row r="112" spans="1:9" ht="160.05000000000001" customHeight="1">
      <c r="A112" s="22" t="s">
        <v>2492</v>
      </c>
      <c r="B112" s="22" t="s">
        <v>183</v>
      </c>
      <c r="C112" s="2" t="s">
        <v>2493</v>
      </c>
      <c r="D112" s="2" t="s">
        <v>2454</v>
      </c>
      <c r="E112" s="2" t="s">
        <v>2494</v>
      </c>
      <c r="F112" s="43">
        <v>96</v>
      </c>
      <c r="G112" s="2" t="s">
        <v>2006</v>
      </c>
      <c r="H112" s="2" t="s">
        <v>2495</v>
      </c>
      <c r="I112" s="16" t="s">
        <v>2496</v>
      </c>
    </row>
    <row r="113" spans="1:9" ht="160.05000000000001" customHeight="1">
      <c r="A113" s="22" t="s">
        <v>2497</v>
      </c>
      <c r="B113" s="22" t="s">
        <v>183</v>
      </c>
      <c r="C113" s="2" t="s">
        <v>2498</v>
      </c>
      <c r="D113" s="2" t="s">
        <v>2454</v>
      </c>
      <c r="E113" s="2" t="s">
        <v>2499</v>
      </c>
      <c r="F113" s="43">
        <v>96</v>
      </c>
      <c r="G113" s="2" t="s">
        <v>2006</v>
      </c>
      <c r="H113" s="2" t="s">
        <v>2500</v>
      </c>
      <c r="I113" s="16" t="s">
        <v>2501</v>
      </c>
    </row>
    <row r="114" spans="1:9" ht="76.5" customHeight="1">
      <c r="A114" s="22" t="s">
        <v>2502</v>
      </c>
      <c r="B114" s="22" t="s">
        <v>183</v>
      </c>
      <c r="C114" s="2" t="s">
        <v>2503</v>
      </c>
      <c r="D114" s="2" t="s">
        <v>2165</v>
      </c>
      <c r="E114" s="2" t="s">
        <v>2504</v>
      </c>
      <c r="F114" s="48" t="s">
        <v>307</v>
      </c>
      <c r="G114" s="2" t="s">
        <v>2006</v>
      </c>
      <c r="H114" s="2" t="s">
        <v>2505</v>
      </c>
      <c r="I114" s="16" t="s">
        <v>2506</v>
      </c>
    </row>
    <row r="115" spans="1:9" ht="61.95" customHeight="1">
      <c r="A115" s="22" t="s">
        <v>2507</v>
      </c>
      <c r="B115" s="22" t="s">
        <v>183</v>
      </c>
      <c r="C115" s="2" t="s">
        <v>2508</v>
      </c>
      <c r="D115" s="2" t="s">
        <v>2509</v>
      </c>
      <c r="E115" s="2" t="s">
        <v>2510</v>
      </c>
      <c r="F115" s="48" t="s">
        <v>307</v>
      </c>
      <c r="G115" s="2" t="s">
        <v>2006</v>
      </c>
      <c r="H115" s="2" t="s">
        <v>2511</v>
      </c>
      <c r="I115" s="16" t="s">
        <v>2512</v>
      </c>
    </row>
    <row r="116" spans="1:9" ht="76.5" customHeight="1">
      <c r="A116" s="22" t="s">
        <v>2513</v>
      </c>
      <c r="B116" s="22" t="s">
        <v>183</v>
      </c>
      <c r="C116" s="2" t="s">
        <v>2514</v>
      </c>
      <c r="D116" s="2" t="s">
        <v>2515</v>
      </c>
      <c r="E116" s="2" t="s">
        <v>2516</v>
      </c>
      <c r="F116" s="48" t="s">
        <v>307</v>
      </c>
      <c r="G116" s="2" t="s">
        <v>2006</v>
      </c>
      <c r="H116" s="2" t="s">
        <v>2517</v>
      </c>
      <c r="I116" s="16" t="s">
        <v>2518</v>
      </c>
    </row>
    <row r="117" spans="1:9" ht="160.05000000000001" customHeight="1">
      <c r="A117" s="22" t="s">
        <v>2519</v>
      </c>
      <c r="B117" s="22" t="s">
        <v>183</v>
      </c>
      <c r="C117" s="2" t="s">
        <v>2520</v>
      </c>
      <c r="D117" s="2" t="s">
        <v>380</v>
      </c>
      <c r="E117" s="2" t="s">
        <v>2521</v>
      </c>
      <c r="F117" s="48" t="s">
        <v>307</v>
      </c>
      <c r="G117" s="2" t="s">
        <v>2006</v>
      </c>
      <c r="H117" s="2" t="s">
        <v>2522</v>
      </c>
      <c r="I117" s="16" t="s">
        <v>2523</v>
      </c>
    </row>
    <row r="118" spans="1:9" ht="134.55000000000001" customHeight="1">
      <c r="A118" s="22" t="s">
        <v>2524</v>
      </c>
      <c r="B118" s="22" t="s">
        <v>185</v>
      </c>
      <c r="C118" s="2" t="s">
        <v>2525</v>
      </c>
      <c r="D118" s="2" t="s">
        <v>2526</v>
      </c>
      <c r="E118" s="2" t="s">
        <v>2527</v>
      </c>
      <c r="F118" s="48" t="s">
        <v>307</v>
      </c>
      <c r="G118" s="2" t="s">
        <v>1906</v>
      </c>
      <c r="H118" s="2" t="s">
        <v>2528</v>
      </c>
      <c r="I118" s="16" t="s">
        <v>2529</v>
      </c>
    </row>
    <row r="119" spans="1:9" ht="76.5" customHeight="1">
      <c r="A119" s="22" t="s">
        <v>2530</v>
      </c>
      <c r="B119" s="22" t="s">
        <v>185</v>
      </c>
      <c r="C119" s="2" t="s">
        <v>2531</v>
      </c>
      <c r="D119" s="2" t="s">
        <v>2532</v>
      </c>
      <c r="E119" s="2" t="s">
        <v>2533</v>
      </c>
      <c r="F119" s="48" t="s">
        <v>307</v>
      </c>
      <c r="G119" s="2" t="s">
        <v>1966</v>
      </c>
      <c r="H119" s="2" t="s">
        <v>2534</v>
      </c>
      <c r="I119" s="16" t="s">
        <v>2535</v>
      </c>
    </row>
    <row r="120" spans="1:9" ht="47.55" customHeight="1">
      <c r="A120" s="22" t="s">
        <v>2536</v>
      </c>
      <c r="B120" s="22" t="s">
        <v>185</v>
      </c>
      <c r="C120" s="2" t="s">
        <v>2537</v>
      </c>
      <c r="D120" s="2" t="s">
        <v>2538</v>
      </c>
      <c r="E120" s="2" t="s">
        <v>2539</v>
      </c>
      <c r="F120" s="43">
        <v>2</v>
      </c>
      <c r="G120" s="2" t="s">
        <v>1966</v>
      </c>
      <c r="H120" s="2" t="s">
        <v>2540</v>
      </c>
      <c r="I120" s="16" t="s">
        <v>2541</v>
      </c>
    </row>
    <row r="121" spans="1:9" ht="33" customHeight="1">
      <c r="A121" s="22" t="s">
        <v>2542</v>
      </c>
      <c r="B121" s="22" t="s">
        <v>185</v>
      </c>
      <c r="C121" s="2" t="s">
        <v>2543</v>
      </c>
      <c r="D121" s="2" t="s">
        <v>2544</v>
      </c>
      <c r="E121" s="2" t="s">
        <v>2545</v>
      </c>
      <c r="F121" s="43">
        <v>1.6</v>
      </c>
      <c r="G121" s="2" t="s">
        <v>1966</v>
      </c>
      <c r="H121" s="2" t="s">
        <v>2546</v>
      </c>
      <c r="I121" s="16" t="s">
        <v>2547</v>
      </c>
    </row>
    <row r="122" spans="1:9" ht="120" customHeight="1">
      <c r="A122" s="22" t="s">
        <v>2548</v>
      </c>
      <c r="B122" s="22" t="s">
        <v>185</v>
      </c>
      <c r="C122" s="2" t="s">
        <v>2549</v>
      </c>
      <c r="D122" s="2" t="s">
        <v>2544</v>
      </c>
      <c r="E122" s="2" t="s">
        <v>2550</v>
      </c>
      <c r="F122" s="43">
        <v>4</v>
      </c>
      <c r="G122" s="2" t="s">
        <v>1966</v>
      </c>
      <c r="H122" s="2" t="s">
        <v>2551</v>
      </c>
      <c r="I122" s="16" t="s">
        <v>2552</v>
      </c>
    </row>
    <row r="123" spans="1:9" ht="47.55" customHeight="1">
      <c r="A123" s="22" t="s">
        <v>2553</v>
      </c>
      <c r="B123" s="22" t="s">
        <v>185</v>
      </c>
      <c r="C123" s="2" t="s">
        <v>2554</v>
      </c>
      <c r="D123" s="2" t="s">
        <v>2555</v>
      </c>
      <c r="E123" s="2" t="s">
        <v>2556</v>
      </c>
      <c r="F123" s="48" t="s">
        <v>307</v>
      </c>
      <c r="G123" s="2" t="s">
        <v>1966</v>
      </c>
      <c r="H123" s="2" t="s">
        <v>2557</v>
      </c>
      <c r="I123" s="16" t="s">
        <v>2558</v>
      </c>
    </row>
    <row r="124" spans="1:9" ht="61.95" customHeight="1">
      <c r="A124" s="22" t="s">
        <v>2559</v>
      </c>
      <c r="B124" s="22" t="s">
        <v>185</v>
      </c>
      <c r="C124" s="2" t="s">
        <v>2560</v>
      </c>
      <c r="D124" s="2" t="s">
        <v>2561</v>
      </c>
      <c r="E124" s="2" t="s">
        <v>2562</v>
      </c>
      <c r="F124" s="48" t="s">
        <v>307</v>
      </c>
      <c r="G124" s="2" t="s">
        <v>1966</v>
      </c>
      <c r="H124" s="2" t="s">
        <v>2563</v>
      </c>
      <c r="I124" s="16" t="s">
        <v>2564</v>
      </c>
    </row>
    <row r="125" spans="1:9" ht="160.05000000000001" customHeight="1">
      <c r="A125" s="22" t="s">
        <v>2565</v>
      </c>
      <c r="B125" s="22" t="s">
        <v>185</v>
      </c>
      <c r="C125" s="2" t="s">
        <v>2566</v>
      </c>
      <c r="D125" s="2" t="s">
        <v>2165</v>
      </c>
      <c r="E125" s="2" t="s">
        <v>2567</v>
      </c>
      <c r="F125" s="43">
        <v>5</v>
      </c>
      <c r="G125" s="2" t="s">
        <v>1966</v>
      </c>
      <c r="H125" s="2" t="s">
        <v>2568</v>
      </c>
      <c r="I125" s="16" t="s">
        <v>2569</v>
      </c>
    </row>
    <row r="126" spans="1:9" ht="61.95" customHeight="1">
      <c r="A126" s="22" t="s">
        <v>2570</v>
      </c>
      <c r="B126" s="22" t="s">
        <v>185</v>
      </c>
      <c r="C126" s="2" t="s">
        <v>2571</v>
      </c>
      <c r="D126" s="2" t="s">
        <v>2572</v>
      </c>
      <c r="E126" s="2" t="s">
        <v>2573</v>
      </c>
      <c r="F126" s="48" t="s">
        <v>307</v>
      </c>
      <c r="G126" s="2" t="s">
        <v>1966</v>
      </c>
      <c r="H126" s="2" t="s">
        <v>2574</v>
      </c>
      <c r="I126" s="16" t="s">
        <v>2535</v>
      </c>
    </row>
    <row r="127" spans="1:9" ht="160.05000000000001" customHeight="1">
      <c r="A127" s="22" t="s">
        <v>2575</v>
      </c>
      <c r="B127" s="22" t="s">
        <v>185</v>
      </c>
      <c r="C127" s="2" t="s">
        <v>2576</v>
      </c>
      <c r="D127" s="2" t="s">
        <v>2577</v>
      </c>
      <c r="E127" s="2" t="s">
        <v>2578</v>
      </c>
      <c r="F127" s="43">
        <v>1000</v>
      </c>
      <c r="G127" s="2" t="s">
        <v>2006</v>
      </c>
      <c r="H127" s="2" t="s">
        <v>2579</v>
      </c>
      <c r="I127" s="16" t="s">
        <v>2580</v>
      </c>
    </row>
    <row r="128" spans="1:9" ht="148.94999999999999" customHeight="1">
      <c r="A128" s="22" t="s">
        <v>2581</v>
      </c>
      <c r="B128" s="22" t="s">
        <v>185</v>
      </c>
      <c r="C128" s="2" t="s">
        <v>2582</v>
      </c>
      <c r="D128" s="2" t="s">
        <v>2583</v>
      </c>
      <c r="E128" s="2" t="s">
        <v>2584</v>
      </c>
      <c r="F128" s="43">
        <v>17</v>
      </c>
      <c r="G128" s="2" t="s">
        <v>2006</v>
      </c>
      <c r="H128" s="2" t="s">
        <v>2585</v>
      </c>
      <c r="I128" s="16" t="s">
        <v>2586</v>
      </c>
    </row>
    <row r="129" spans="1:9" ht="76.5" customHeight="1">
      <c r="A129" s="22" t="s">
        <v>2587</v>
      </c>
      <c r="B129" s="22" t="s">
        <v>185</v>
      </c>
      <c r="C129" s="2" t="s">
        <v>2588</v>
      </c>
      <c r="D129" s="2" t="s">
        <v>2544</v>
      </c>
      <c r="E129" s="2" t="s">
        <v>2545</v>
      </c>
      <c r="F129" s="43">
        <v>5.4</v>
      </c>
      <c r="G129" s="2" t="s">
        <v>2006</v>
      </c>
      <c r="H129" s="2" t="s">
        <v>2589</v>
      </c>
      <c r="I129" s="16" t="s">
        <v>2590</v>
      </c>
    </row>
    <row r="130" spans="1:9" ht="134.55000000000001" customHeight="1">
      <c r="A130" s="22" t="s">
        <v>2591</v>
      </c>
      <c r="B130" s="22" t="s">
        <v>185</v>
      </c>
      <c r="C130" s="2" t="s">
        <v>2592</v>
      </c>
      <c r="D130" s="2" t="s">
        <v>2526</v>
      </c>
      <c r="E130" s="2" t="s">
        <v>2593</v>
      </c>
      <c r="F130" s="43">
        <v>1300</v>
      </c>
      <c r="G130" s="2" t="s">
        <v>2006</v>
      </c>
      <c r="H130" s="2" t="s">
        <v>2594</v>
      </c>
      <c r="I130" s="16" t="s">
        <v>2595</v>
      </c>
    </row>
    <row r="131" spans="1:9" ht="160.05000000000001" customHeight="1">
      <c r="A131" s="22" t="s">
        <v>2596</v>
      </c>
      <c r="B131" s="22" t="s">
        <v>185</v>
      </c>
      <c r="C131" s="2" t="s">
        <v>2597</v>
      </c>
      <c r="D131" s="2" t="s">
        <v>2526</v>
      </c>
      <c r="E131" s="2" t="s">
        <v>2598</v>
      </c>
      <c r="F131" s="43">
        <v>1000</v>
      </c>
      <c r="G131" s="2" t="s">
        <v>2006</v>
      </c>
      <c r="H131" s="2" t="s">
        <v>2599</v>
      </c>
      <c r="I131" s="16" t="s">
        <v>2600</v>
      </c>
    </row>
    <row r="132" spans="1:9" ht="76.5" customHeight="1">
      <c r="A132" s="22" t="s">
        <v>2601</v>
      </c>
      <c r="B132" s="22" t="s">
        <v>185</v>
      </c>
      <c r="C132" s="2" t="s">
        <v>2566</v>
      </c>
      <c r="D132" s="2" t="s">
        <v>2165</v>
      </c>
      <c r="E132" s="2" t="s">
        <v>2602</v>
      </c>
      <c r="F132" s="43">
        <v>5</v>
      </c>
      <c r="G132" s="2" t="s">
        <v>2006</v>
      </c>
      <c r="H132" s="2" t="s">
        <v>2603</v>
      </c>
      <c r="I132" s="16" t="s">
        <v>2604</v>
      </c>
    </row>
    <row r="133" spans="1:9" ht="47.55" customHeight="1">
      <c r="A133" s="22" t="s">
        <v>2605</v>
      </c>
      <c r="B133" s="22" t="s">
        <v>185</v>
      </c>
      <c r="C133" s="2" t="s">
        <v>2606</v>
      </c>
      <c r="D133" s="2" t="s">
        <v>2607</v>
      </c>
      <c r="E133" s="2" t="s">
        <v>2608</v>
      </c>
      <c r="F133" s="43">
        <v>75</v>
      </c>
      <c r="G133" s="2" t="s">
        <v>2006</v>
      </c>
      <c r="H133" s="2" t="s">
        <v>2609</v>
      </c>
      <c r="I133" s="16" t="s">
        <v>2610</v>
      </c>
    </row>
    <row r="134" spans="1:9" ht="76.5" customHeight="1">
      <c r="A134" s="22" t="s">
        <v>2611</v>
      </c>
      <c r="B134" s="22" t="s">
        <v>185</v>
      </c>
      <c r="C134" s="2" t="s">
        <v>2612</v>
      </c>
      <c r="D134" s="2" t="s">
        <v>2613</v>
      </c>
      <c r="E134" s="2" t="s">
        <v>2614</v>
      </c>
      <c r="F134" s="43">
        <v>1200</v>
      </c>
      <c r="G134" s="2" t="s">
        <v>2006</v>
      </c>
      <c r="H134" s="2" t="s">
        <v>2615</v>
      </c>
      <c r="I134" s="16" t="s">
        <v>2610</v>
      </c>
    </row>
    <row r="135" spans="1:9" ht="120" customHeight="1">
      <c r="A135" s="22" t="s">
        <v>2616</v>
      </c>
      <c r="B135" s="22" t="s">
        <v>185</v>
      </c>
      <c r="C135" s="2" t="s">
        <v>2617</v>
      </c>
      <c r="D135" s="2" t="s">
        <v>2618</v>
      </c>
      <c r="E135" s="2" t="s">
        <v>2619</v>
      </c>
      <c r="F135" s="43">
        <v>800</v>
      </c>
      <c r="G135" s="2" t="s">
        <v>2006</v>
      </c>
      <c r="H135" s="2" t="s">
        <v>2620</v>
      </c>
      <c r="I135" s="16" t="s">
        <v>2621</v>
      </c>
    </row>
    <row r="136" spans="1:9" ht="76.5" customHeight="1">
      <c r="A136" s="22" t="s">
        <v>2622</v>
      </c>
      <c r="B136" s="22" t="s">
        <v>185</v>
      </c>
      <c r="C136" s="2" t="s">
        <v>2623</v>
      </c>
      <c r="D136" s="2" t="s">
        <v>2624</v>
      </c>
      <c r="E136" s="2" t="s">
        <v>2625</v>
      </c>
      <c r="F136" s="43">
        <v>1200</v>
      </c>
      <c r="G136" s="2" t="s">
        <v>2006</v>
      </c>
      <c r="H136" s="2" t="s">
        <v>2626</v>
      </c>
      <c r="I136" s="16" t="s">
        <v>2610</v>
      </c>
    </row>
    <row r="137" spans="1:9" ht="76.5" customHeight="1">
      <c r="A137" s="22" t="s">
        <v>2627</v>
      </c>
      <c r="B137" s="22" t="s">
        <v>187</v>
      </c>
      <c r="C137" s="2" t="s">
        <v>2628</v>
      </c>
      <c r="D137" s="2" t="s">
        <v>2165</v>
      </c>
      <c r="E137" s="2" t="s">
        <v>2629</v>
      </c>
      <c r="F137" s="43">
        <v>4.4000000000000004</v>
      </c>
      <c r="G137" s="2" t="s">
        <v>1966</v>
      </c>
      <c r="H137" s="2" t="s">
        <v>2630</v>
      </c>
      <c r="I137" s="16" t="s">
        <v>2631</v>
      </c>
    </row>
    <row r="138" spans="1:9" ht="76.5" customHeight="1">
      <c r="A138" s="22" t="s">
        <v>2632</v>
      </c>
      <c r="B138" s="22" t="s">
        <v>187</v>
      </c>
      <c r="C138" s="2" t="s">
        <v>2628</v>
      </c>
      <c r="D138" s="2" t="s">
        <v>2165</v>
      </c>
      <c r="E138" s="2" t="s">
        <v>2633</v>
      </c>
      <c r="F138" s="43">
        <v>4.4000000000000004</v>
      </c>
      <c r="G138" s="2" t="s">
        <v>1966</v>
      </c>
      <c r="H138" s="2" t="s">
        <v>2634</v>
      </c>
      <c r="I138" s="16" t="s">
        <v>2635</v>
      </c>
    </row>
    <row r="139" spans="1:9" ht="61.95" customHeight="1">
      <c r="A139" s="22" t="s">
        <v>2636</v>
      </c>
      <c r="B139" s="22" t="s">
        <v>187</v>
      </c>
      <c r="C139" s="2" t="s">
        <v>2637</v>
      </c>
      <c r="D139" s="2" t="s">
        <v>2638</v>
      </c>
      <c r="E139" s="2" t="s">
        <v>2639</v>
      </c>
      <c r="F139" s="48" t="s">
        <v>307</v>
      </c>
      <c r="G139" s="2" t="s">
        <v>1966</v>
      </c>
      <c r="H139" s="2" t="s">
        <v>2640</v>
      </c>
      <c r="I139" s="16" t="s">
        <v>2641</v>
      </c>
    </row>
    <row r="140" spans="1:9" ht="134.55000000000001" customHeight="1">
      <c r="A140" s="22" t="s">
        <v>2642</v>
      </c>
      <c r="B140" s="22" t="s">
        <v>187</v>
      </c>
      <c r="C140" s="2" t="s">
        <v>2643</v>
      </c>
      <c r="D140" s="2" t="s">
        <v>2644</v>
      </c>
      <c r="E140" s="2" t="s">
        <v>2645</v>
      </c>
      <c r="F140" s="48" t="s">
        <v>307</v>
      </c>
      <c r="G140" s="2" t="s">
        <v>2006</v>
      </c>
      <c r="H140" s="2" t="s">
        <v>2646</v>
      </c>
      <c r="I140" s="16" t="s">
        <v>2647</v>
      </c>
    </row>
    <row r="141" spans="1:9" ht="76.5" customHeight="1">
      <c r="A141" s="22" t="s">
        <v>2648</v>
      </c>
      <c r="B141" s="22" t="s">
        <v>187</v>
      </c>
      <c r="C141" s="2" t="s">
        <v>2649</v>
      </c>
      <c r="D141" s="2" t="s">
        <v>2650</v>
      </c>
      <c r="E141" s="2" t="s">
        <v>2651</v>
      </c>
      <c r="F141" s="48" t="s">
        <v>307</v>
      </c>
      <c r="G141" s="2" t="s">
        <v>2006</v>
      </c>
      <c r="H141" s="2" t="s">
        <v>2652</v>
      </c>
      <c r="I141" s="16" t="s">
        <v>2653</v>
      </c>
    </row>
    <row r="142" spans="1:9" ht="76.5" customHeight="1">
      <c r="A142" s="22" t="s">
        <v>2654</v>
      </c>
      <c r="B142" s="22" t="s">
        <v>187</v>
      </c>
      <c r="C142" s="2" t="s">
        <v>2655</v>
      </c>
      <c r="D142" s="2" t="s">
        <v>2656</v>
      </c>
      <c r="E142" s="2" t="s">
        <v>2657</v>
      </c>
      <c r="F142" s="48" t="s">
        <v>307</v>
      </c>
      <c r="G142" s="2" t="s">
        <v>2006</v>
      </c>
      <c r="H142" s="2" t="s">
        <v>2658</v>
      </c>
      <c r="I142" s="16" t="s">
        <v>2659</v>
      </c>
    </row>
    <row r="143" spans="1:9" ht="160.05000000000001" customHeight="1">
      <c r="A143" s="22" t="s">
        <v>2660</v>
      </c>
      <c r="B143" s="22" t="s">
        <v>187</v>
      </c>
      <c r="C143" s="2" t="s">
        <v>2661</v>
      </c>
      <c r="D143" s="2" t="s">
        <v>2662</v>
      </c>
      <c r="E143" s="2" t="s">
        <v>2663</v>
      </c>
      <c r="F143" s="48" t="s">
        <v>307</v>
      </c>
      <c r="G143" s="2" t="s">
        <v>2006</v>
      </c>
      <c r="H143" s="2" t="s">
        <v>2664</v>
      </c>
      <c r="I143" s="16" t="s">
        <v>2665</v>
      </c>
    </row>
    <row r="144" spans="1:9" ht="76.5" customHeight="1">
      <c r="A144" s="22" t="s">
        <v>2666</v>
      </c>
      <c r="B144" s="22" t="s">
        <v>187</v>
      </c>
      <c r="C144" s="2" t="s">
        <v>2667</v>
      </c>
      <c r="D144" s="2" t="s">
        <v>2668</v>
      </c>
      <c r="E144" s="2" t="s">
        <v>2669</v>
      </c>
      <c r="F144" s="48" t="s">
        <v>307</v>
      </c>
      <c r="G144" s="2" t="s">
        <v>2006</v>
      </c>
      <c r="H144" s="2" t="s">
        <v>2670</v>
      </c>
      <c r="I144" s="16" t="s">
        <v>2671</v>
      </c>
    </row>
    <row r="145" spans="1:9" ht="91.05" customHeight="1">
      <c r="A145" s="22" t="s">
        <v>2672</v>
      </c>
      <c r="B145" s="22" t="s">
        <v>187</v>
      </c>
      <c r="C145" s="2" t="s">
        <v>2673</v>
      </c>
      <c r="D145" s="2" t="s">
        <v>2674</v>
      </c>
      <c r="E145" s="2" t="s">
        <v>2675</v>
      </c>
      <c r="F145" s="43">
        <v>5.6</v>
      </c>
      <c r="G145" s="2" t="s">
        <v>2006</v>
      </c>
      <c r="H145" s="2" t="s">
        <v>2676</v>
      </c>
      <c r="I145" s="16" t="s">
        <v>2677</v>
      </c>
    </row>
    <row r="146" spans="1:9" ht="160.05000000000001" customHeight="1">
      <c r="A146" s="22" t="s">
        <v>2678</v>
      </c>
      <c r="B146" s="22" t="s">
        <v>187</v>
      </c>
      <c r="C146" s="2" t="s">
        <v>2679</v>
      </c>
      <c r="D146" s="2" t="s">
        <v>2668</v>
      </c>
      <c r="E146" s="2" t="s">
        <v>2680</v>
      </c>
      <c r="F146" s="48" t="s">
        <v>307</v>
      </c>
      <c r="G146" s="2" t="s">
        <v>2006</v>
      </c>
      <c r="H146" s="2" t="s">
        <v>2681</v>
      </c>
      <c r="I146" s="16" t="s">
        <v>2682</v>
      </c>
    </row>
    <row r="147" spans="1:9" ht="160.05000000000001" customHeight="1">
      <c r="A147" s="22" t="s">
        <v>2683</v>
      </c>
      <c r="B147" s="22" t="s">
        <v>187</v>
      </c>
      <c r="C147" s="2" t="s">
        <v>2684</v>
      </c>
      <c r="D147" s="2" t="s">
        <v>249</v>
      </c>
      <c r="E147" s="2" t="s">
        <v>2685</v>
      </c>
      <c r="F147" s="43">
        <v>35</v>
      </c>
      <c r="G147" s="2" t="s">
        <v>2006</v>
      </c>
      <c r="H147" s="2" t="s">
        <v>2686</v>
      </c>
      <c r="I147" s="16" t="s">
        <v>2687</v>
      </c>
    </row>
    <row r="148" spans="1:9" ht="148.94999999999999" customHeight="1">
      <c r="A148" s="22" t="s">
        <v>2688</v>
      </c>
      <c r="B148" s="22" t="s">
        <v>187</v>
      </c>
      <c r="C148" s="2" t="s">
        <v>2689</v>
      </c>
      <c r="D148" s="2" t="s">
        <v>249</v>
      </c>
      <c r="E148" s="2" t="s">
        <v>2690</v>
      </c>
      <c r="F148" s="43">
        <v>39</v>
      </c>
      <c r="G148" s="2" t="s">
        <v>2006</v>
      </c>
      <c r="H148" s="2" t="s">
        <v>2691</v>
      </c>
      <c r="I148" s="16" t="s">
        <v>2692</v>
      </c>
    </row>
    <row r="149" spans="1:9" ht="160.05000000000001" customHeight="1">
      <c r="A149" s="22" t="s">
        <v>2693</v>
      </c>
      <c r="B149" s="22" t="s">
        <v>187</v>
      </c>
      <c r="C149" s="2" t="s">
        <v>2694</v>
      </c>
      <c r="D149" s="2" t="s">
        <v>249</v>
      </c>
      <c r="E149" s="2" t="s">
        <v>2695</v>
      </c>
      <c r="F149" s="43">
        <v>45</v>
      </c>
      <c r="G149" s="2" t="s">
        <v>2006</v>
      </c>
      <c r="H149" s="2" t="s">
        <v>2696</v>
      </c>
      <c r="I149" s="16" t="s">
        <v>2697</v>
      </c>
    </row>
    <row r="150" spans="1:9" ht="134.55000000000001" customHeight="1">
      <c r="A150" s="22" t="s">
        <v>2698</v>
      </c>
      <c r="B150" s="22" t="s">
        <v>187</v>
      </c>
      <c r="C150" s="2" t="s">
        <v>2694</v>
      </c>
      <c r="D150" s="2" t="s">
        <v>249</v>
      </c>
      <c r="E150" s="2" t="s">
        <v>2699</v>
      </c>
      <c r="F150" s="43">
        <v>45</v>
      </c>
      <c r="G150" s="2" t="s">
        <v>2006</v>
      </c>
      <c r="H150" s="2" t="s">
        <v>2700</v>
      </c>
      <c r="I150" s="16" t="s">
        <v>2701</v>
      </c>
    </row>
    <row r="151" spans="1:9" ht="33" customHeight="1">
      <c r="A151" s="22" t="s">
        <v>2702</v>
      </c>
      <c r="B151" s="22" t="s">
        <v>187</v>
      </c>
      <c r="C151" s="2" t="s">
        <v>2703</v>
      </c>
      <c r="D151" s="2" t="s">
        <v>249</v>
      </c>
      <c r="E151" s="2" t="s">
        <v>2704</v>
      </c>
      <c r="F151" s="43">
        <v>576</v>
      </c>
      <c r="G151" s="2" t="s">
        <v>2006</v>
      </c>
      <c r="H151" s="2" t="s">
        <v>2705</v>
      </c>
      <c r="I151" s="22"/>
    </row>
    <row r="152" spans="1:9" ht="61.95" customHeight="1">
      <c r="A152" s="22" t="s">
        <v>2706</v>
      </c>
      <c r="B152" s="22" t="s">
        <v>187</v>
      </c>
      <c r="C152" s="2" t="s">
        <v>2707</v>
      </c>
      <c r="D152" s="2" t="s">
        <v>249</v>
      </c>
      <c r="E152" s="2" t="s">
        <v>2708</v>
      </c>
      <c r="F152" s="43">
        <v>21</v>
      </c>
      <c r="G152" s="2" t="s">
        <v>2006</v>
      </c>
      <c r="H152" s="2" t="s">
        <v>2709</v>
      </c>
      <c r="I152" s="16" t="s">
        <v>2710</v>
      </c>
    </row>
    <row r="153" spans="1:9" ht="61.95" customHeight="1">
      <c r="A153" s="22" t="s">
        <v>2711</v>
      </c>
      <c r="B153" s="22" t="s">
        <v>187</v>
      </c>
      <c r="C153" s="2" t="s">
        <v>2707</v>
      </c>
      <c r="D153" s="2" t="s">
        <v>249</v>
      </c>
      <c r="E153" s="2" t="s">
        <v>2712</v>
      </c>
      <c r="F153" s="43">
        <v>21</v>
      </c>
      <c r="G153" s="2" t="s">
        <v>2006</v>
      </c>
      <c r="H153" s="2" t="s">
        <v>2713</v>
      </c>
      <c r="I153" s="16" t="s">
        <v>2714</v>
      </c>
    </row>
    <row r="154" spans="1:9" ht="61.95" customHeight="1">
      <c r="A154" s="22" t="s">
        <v>2715</v>
      </c>
      <c r="B154" s="22" t="s">
        <v>187</v>
      </c>
      <c r="C154" s="2" t="s">
        <v>2716</v>
      </c>
      <c r="D154" s="2" t="s">
        <v>249</v>
      </c>
      <c r="E154" s="2" t="s">
        <v>2717</v>
      </c>
      <c r="F154" s="43">
        <v>51</v>
      </c>
      <c r="G154" s="2" t="s">
        <v>2006</v>
      </c>
      <c r="H154" s="2" t="s">
        <v>2718</v>
      </c>
      <c r="I154" s="16" t="s">
        <v>2719</v>
      </c>
    </row>
    <row r="155" spans="1:9" ht="47.55" customHeight="1">
      <c r="A155" s="22" t="s">
        <v>2720</v>
      </c>
      <c r="B155" s="22" t="s">
        <v>187</v>
      </c>
      <c r="C155" s="2" t="s">
        <v>2721</v>
      </c>
      <c r="D155" s="2" t="s">
        <v>249</v>
      </c>
      <c r="E155" s="2" t="s">
        <v>2722</v>
      </c>
      <c r="F155" s="43">
        <v>51</v>
      </c>
      <c r="G155" s="2" t="s">
        <v>2006</v>
      </c>
      <c r="H155" s="2" t="s">
        <v>2723</v>
      </c>
      <c r="I155" s="16" t="s">
        <v>2724</v>
      </c>
    </row>
    <row r="156" spans="1:9" ht="76.5" customHeight="1">
      <c r="A156" s="22" t="s">
        <v>2725</v>
      </c>
      <c r="B156" s="22" t="s">
        <v>187</v>
      </c>
      <c r="C156" s="2" t="s">
        <v>2726</v>
      </c>
      <c r="D156" s="2" t="s">
        <v>2727</v>
      </c>
      <c r="E156" s="2" t="s">
        <v>2728</v>
      </c>
      <c r="F156" s="48" t="s">
        <v>307</v>
      </c>
      <c r="G156" s="2" t="s">
        <v>2006</v>
      </c>
      <c r="H156" s="2" t="s">
        <v>2729</v>
      </c>
      <c r="I156" s="16" t="s">
        <v>2730</v>
      </c>
    </row>
    <row r="157" spans="1:9" ht="160.05000000000001" customHeight="1">
      <c r="A157" s="22" t="s">
        <v>2731</v>
      </c>
      <c r="B157" s="22" t="s">
        <v>187</v>
      </c>
      <c r="C157" s="2" t="s">
        <v>2732</v>
      </c>
      <c r="D157" s="2" t="s">
        <v>2733</v>
      </c>
      <c r="E157" s="2" t="s">
        <v>2734</v>
      </c>
      <c r="F157" s="43">
        <v>20</v>
      </c>
      <c r="G157" s="2" t="s">
        <v>2006</v>
      </c>
      <c r="H157" s="2" t="s">
        <v>2735</v>
      </c>
      <c r="I157" s="16" t="s">
        <v>2736</v>
      </c>
    </row>
    <row r="158" spans="1:9" ht="148.94999999999999" customHeight="1">
      <c r="A158" s="22" t="s">
        <v>2737</v>
      </c>
      <c r="B158" s="22" t="s">
        <v>187</v>
      </c>
      <c r="C158" s="2" t="s">
        <v>2738</v>
      </c>
      <c r="D158" s="2" t="s">
        <v>2544</v>
      </c>
      <c r="E158" s="2" t="s">
        <v>2739</v>
      </c>
      <c r="F158" s="43">
        <v>20</v>
      </c>
      <c r="G158" s="2" t="s">
        <v>2006</v>
      </c>
      <c r="H158" s="2" t="s">
        <v>2740</v>
      </c>
      <c r="I158" s="16" t="s">
        <v>2741</v>
      </c>
    </row>
    <row r="159" spans="1:9" ht="91.05" customHeight="1">
      <c r="A159" s="22" t="s">
        <v>2742</v>
      </c>
      <c r="B159" s="22" t="s">
        <v>187</v>
      </c>
      <c r="C159" s="2" t="s">
        <v>2743</v>
      </c>
      <c r="D159" s="2" t="s">
        <v>1126</v>
      </c>
      <c r="E159" s="2" t="s">
        <v>2744</v>
      </c>
      <c r="F159" s="48" t="s">
        <v>307</v>
      </c>
      <c r="G159" s="2" t="s">
        <v>2006</v>
      </c>
      <c r="H159" s="2" t="s">
        <v>2745</v>
      </c>
      <c r="I159" s="16" t="s">
        <v>2746</v>
      </c>
    </row>
    <row r="160" spans="1:9" ht="76.5" customHeight="1">
      <c r="A160" s="22" t="s">
        <v>2747</v>
      </c>
      <c r="B160" s="22" t="s">
        <v>187</v>
      </c>
      <c r="C160" s="2" t="s">
        <v>2743</v>
      </c>
      <c r="D160" s="2" t="s">
        <v>1126</v>
      </c>
      <c r="E160" s="2" t="s">
        <v>2748</v>
      </c>
      <c r="F160" s="43">
        <v>5</v>
      </c>
      <c r="G160" s="2" t="s">
        <v>2006</v>
      </c>
      <c r="H160" s="2" t="s">
        <v>2749</v>
      </c>
      <c r="I160" s="16" t="s">
        <v>2750</v>
      </c>
    </row>
    <row r="161" spans="1:9" ht="160.05000000000001" customHeight="1">
      <c r="A161" s="22" t="s">
        <v>2751</v>
      </c>
      <c r="B161" s="22" t="s">
        <v>187</v>
      </c>
      <c r="C161" s="2" t="s">
        <v>2752</v>
      </c>
      <c r="D161" s="2" t="s">
        <v>274</v>
      </c>
      <c r="E161" s="2" t="s">
        <v>2753</v>
      </c>
      <c r="F161" s="48" t="s">
        <v>307</v>
      </c>
      <c r="G161" s="2" t="s">
        <v>2006</v>
      </c>
      <c r="H161" s="2" t="s">
        <v>2754</v>
      </c>
      <c r="I161" s="16" t="s">
        <v>2755</v>
      </c>
    </row>
    <row r="162" spans="1:9" ht="134.55000000000001" customHeight="1">
      <c r="A162" s="22" t="s">
        <v>2756</v>
      </c>
      <c r="B162" s="22" t="s">
        <v>187</v>
      </c>
      <c r="C162" s="2" t="s">
        <v>2757</v>
      </c>
      <c r="D162" s="2" t="s">
        <v>2758</v>
      </c>
      <c r="E162" s="2" t="s">
        <v>2759</v>
      </c>
      <c r="F162" s="48" t="s">
        <v>307</v>
      </c>
      <c r="G162" s="2" t="s">
        <v>2006</v>
      </c>
      <c r="H162" s="2" t="s">
        <v>2760</v>
      </c>
      <c r="I162" s="16" t="s">
        <v>2761</v>
      </c>
    </row>
    <row r="163" spans="1:9" ht="148.94999999999999" customHeight="1">
      <c r="A163" s="22" t="s">
        <v>2762</v>
      </c>
      <c r="B163" s="22" t="s">
        <v>187</v>
      </c>
      <c r="C163" s="2" t="s">
        <v>2763</v>
      </c>
      <c r="D163" s="2" t="s">
        <v>2764</v>
      </c>
      <c r="E163" s="2" t="s">
        <v>2765</v>
      </c>
      <c r="F163" s="43">
        <v>28</v>
      </c>
      <c r="G163" s="2" t="s">
        <v>2006</v>
      </c>
      <c r="H163" s="2" t="s">
        <v>2766</v>
      </c>
      <c r="I163" s="16" t="s">
        <v>2767</v>
      </c>
    </row>
    <row r="164" spans="1:9" ht="160.05000000000001" customHeight="1">
      <c r="A164" s="22" t="s">
        <v>2768</v>
      </c>
      <c r="B164" s="22" t="s">
        <v>187</v>
      </c>
      <c r="C164" s="2" t="s">
        <v>2769</v>
      </c>
      <c r="D164" s="2" t="s">
        <v>380</v>
      </c>
      <c r="E164" s="2" t="s">
        <v>2770</v>
      </c>
      <c r="F164" s="43">
        <v>28</v>
      </c>
      <c r="G164" s="2" t="s">
        <v>2006</v>
      </c>
      <c r="H164" s="2" t="s">
        <v>2771</v>
      </c>
      <c r="I164" s="16" t="s">
        <v>2772</v>
      </c>
    </row>
    <row r="165" spans="1:9" ht="160.05000000000001" customHeight="1">
      <c r="A165" s="22" t="s">
        <v>2773</v>
      </c>
      <c r="B165" s="22" t="s">
        <v>187</v>
      </c>
      <c r="C165" s="2" t="s">
        <v>2774</v>
      </c>
      <c r="D165" s="2" t="s">
        <v>2775</v>
      </c>
      <c r="E165" s="2" t="s">
        <v>2776</v>
      </c>
      <c r="F165" s="48" t="s">
        <v>307</v>
      </c>
      <c r="G165" s="2" t="s">
        <v>2006</v>
      </c>
      <c r="H165" s="2" t="s">
        <v>2777</v>
      </c>
      <c r="I165" s="16" t="s">
        <v>2778</v>
      </c>
    </row>
    <row r="166" spans="1:9" ht="105.45" customHeight="1">
      <c r="A166" s="22" t="s">
        <v>2779</v>
      </c>
      <c r="B166" s="22" t="s">
        <v>187</v>
      </c>
      <c r="C166" s="2" t="s">
        <v>2780</v>
      </c>
      <c r="D166" s="2" t="s">
        <v>2781</v>
      </c>
      <c r="E166" s="2" t="s">
        <v>2782</v>
      </c>
      <c r="F166" s="48" t="s">
        <v>307</v>
      </c>
      <c r="G166" s="2" t="s">
        <v>2006</v>
      </c>
      <c r="H166" s="2" t="s">
        <v>2783</v>
      </c>
      <c r="I166" s="16" t="s">
        <v>2784</v>
      </c>
    </row>
    <row r="167" spans="1:9" ht="61.95" customHeight="1">
      <c r="A167" s="22" t="s">
        <v>2785</v>
      </c>
      <c r="B167" s="22" t="s">
        <v>189</v>
      </c>
      <c r="C167" s="2" t="s">
        <v>2786</v>
      </c>
      <c r="D167" s="2" t="s">
        <v>2787</v>
      </c>
      <c r="E167" s="2" t="s">
        <v>2788</v>
      </c>
      <c r="F167" s="43">
        <v>2</v>
      </c>
      <c r="G167" s="2" t="s">
        <v>1966</v>
      </c>
      <c r="H167" s="2" t="s">
        <v>2789</v>
      </c>
      <c r="I167" s="16" t="s">
        <v>2790</v>
      </c>
    </row>
    <row r="168" spans="1:9" ht="120" customHeight="1">
      <c r="A168" s="22" t="s">
        <v>2791</v>
      </c>
      <c r="B168" s="22" t="s">
        <v>189</v>
      </c>
      <c r="C168" s="2" t="s">
        <v>2792</v>
      </c>
      <c r="D168" s="2" t="s">
        <v>2793</v>
      </c>
      <c r="E168" s="2" t="s">
        <v>2794</v>
      </c>
      <c r="F168" s="43">
        <v>2</v>
      </c>
      <c r="G168" s="2" t="s">
        <v>1966</v>
      </c>
      <c r="H168" s="2" t="s">
        <v>2795</v>
      </c>
      <c r="I168" s="16" t="s">
        <v>2796</v>
      </c>
    </row>
    <row r="169" spans="1:9" ht="105.45" customHeight="1">
      <c r="A169" s="22" t="s">
        <v>2797</v>
      </c>
      <c r="B169" s="22" t="s">
        <v>189</v>
      </c>
      <c r="C169" s="2" t="s">
        <v>2798</v>
      </c>
      <c r="D169" s="2" t="s">
        <v>2799</v>
      </c>
      <c r="E169" s="2"/>
      <c r="F169" s="48" t="s">
        <v>307</v>
      </c>
      <c r="G169" s="2" t="s">
        <v>1966</v>
      </c>
      <c r="H169" s="2" t="s">
        <v>2800</v>
      </c>
      <c r="I169" s="16" t="s">
        <v>2801</v>
      </c>
    </row>
    <row r="170" spans="1:9" ht="148.94999999999999" customHeight="1">
      <c r="A170" s="22" t="s">
        <v>2802</v>
      </c>
      <c r="B170" s="22" t="s">
        <v>189</v>
      </c>
      <c r="C170" s="2" t="s">
        <v>2803</v>
      </c>
      <c r="D170" s="2" t="s">
        <v>2804</v>
      </c>
      <c r="E170" s="2" t="s">
        <v>2805</v>
      </c>
      <c r="F170" s="43">
        <v>1</v>
      </c>
      <c r="G170" s="2" t="s">
        <v>1966</v>
      </c>
      <c r="H170" s="2" t="s">
        <v>2806</v>
      </c>
      <c r="I170" s="16" t="s">
        <v>2807</v>
      </c>
    </row>
    <row r="171" spans="1:9" ht="134.55000000000001" customHeight="1">
      <c r="A171" s="22" t="s">
        <v>2808</v>
      </c>
      <c r="B171" s="22" t="s">
        <v>189</v>
      </c>
      <c r="C171" s="2" t="s">
        <v>2809</v>
      </c>
      <c r="D171" s="2" t="s">
        <v>2804</v>
      </c>
      <c r="E171" s="2" t="s">
        <v>2810</v>
      </c>
      <c r="F171" s="43">
        <v>1</v>
      </c>
      <c r="G171" s="2" t="s">
        <v>1966</v>
      </c>
      <c r="H171" s="2" t="s">
        <v>2811</v>
      </c>
      <c r="I171" s="16" t="s">
        <v>2812</v>
      </c>
    </row>
    <row r="172" spans="1:9" ht="134.55000000000001" customHeight="1">
      <c r="A172" s="22" t="s">
        <v>2813</v>
      </c>
      <c r="B172" s="22" t="s">
        <v>189</v>
      </c>
      <c r="C172" s="2" t="s">
        <v>2814</v>
      </c>
      <c r="D172" s="2" t="s">
        <v>2815</v>
      </c>
      <c r="E172" s="2" t="s">
        <v>2816</v>
      </c>
      <c r="F172" s="48" t="s">
        <v>307</v>
      </c>
      <c r="G172" s="2" t="s">
        <v>2006</v>
      </c>
      <c r="H172" s="2" t="s">
        <v>2817</v>
      </c>
      <c r="I172" s="16" t="s">
        <v>2818</v>
      </c>
    </row>
    <row r="173" spans="1:9" ht="91.05" customHeight="1">
      <c r="A173" s="22" t="s">
        <v>2819</v>
      </c>
      <c r="B173" s="22" t="s">
        <v>189</v>
      </c>
      <c r="C173" s="2" t="s">
        <v>2820</v>
      </c>
      <c r="D173" s="2" t="s">
        <v>2526</v>
      </c>
      <c r="E173" s="2" t="s">
        <v>2821</v>
      </c>
      <c r="F173" s="43">
        <v>300</v>
      </c>
      <c r="G173" s="2" t="s">
        <v>2006</v>
      </c>
      <c r="H173" s="2" t="s">
        <v>2822</v>
      </c>
      <c r="I173" s="16" t="s">
        <v>2823</v>
      </c>
    </row>
    <row r="174" spans="1:9" ht="61.95" customHeight="1">
      <c r="A174" s="22" t="s">
        <v>2824</v>
      </c>
      <c r="B174" s="22" t="s">
        <v>189</v>
      </c>
      <c r="C174" s="2" t="s">
        <v>2825</v>
      </c>
      <c r="D174" s="2" t="s">
        <v>2826</v>
      </c>
      <c r="E174" s="2" t="s">
        <v>2827</v>
      </c>
      <c r="F174" s="48" t="s">
        <v>307</v>
      </c>
      <c r="G174" s="2" t="s">
        <v>2006</v>
      </c>
      <c r="H174" s="2" t="s">
        <v>2828</v>
      </c>
      <c r="I174" s="16" t="s">
        <v>2829</v>
      </c>
    </row>
    <row r="175" spans="1:9" ht="91.05" customHeight="1">
      <c r="A175" s="22" t="s">
        <v>2830</v>
      </c>
      <c r="B175" s="22" t="s">
        <v>189</v>
      </c>
      <c r="C175" s="2" t="s">
        <v>2831</v>
      </c>
      <c r="D175" s="2" t="s">
        <v>2832</v>
      </c>
      <c r="E175" s="2" t="s">
        <v>2833</v>
      </c>
      <c r="F175" s="48" t="s">
        <v>307</v>
      </c>
      <c r="G175" s="2" t="s">
        <v>2006</v>
      </c>
      <c r="H175" s="2" t="s">
        <v>2834</v>
      </c>
      <c r="I175" s="16" t="s">
        <v>2835</v>
      </c>
    </row>
    <row r="176" spans="1:9" ht="160.05000000000001" customHeight="1">
      <c r="A176" s="22" t="s">
        <v>2836</v>
      </c>
      <c r="B176" s="22" t="s">
        <v>189</v>
      </c>
      <c r="C176" s="2" t="s">
        <v>2837</v>
      </c>
      <c r="D176" s="2" t="s">
        <v>2838</v>
      </c>
      <c r="E176" s="2"/>
      <c r="F176" s="43">
        <v>500</v>
      </c>
      <c r="G176" s="2" t="s">
        <v>2006</v>
      </c>
      <c r="H176" s="2" t="s">
        <v>2839</v>
      </c>
      <c r="I176" s="16" t="s">
        <v>2840</v>
      </c>
    </row>
    <row r="177" spans="1:9" ht="47.55" customHeight="1">
      <c r="A177" s="22" t="s">
        <v>2841</v>
      </c>
      <c r="B177" s="22" t="s">
        <v>189</v>
      </c>
      <c r="C177" s="2" t="s">
        <v>2842</v>
      </c>
      <c r="D177" s="2" t="s">
        <v>331</v>
      </c>
      <c r="E177" s="2" t="s">
        <v>331</v>
      </c>
      <c r="F177" s="43">
        <v>5</v>
      </c>
      <c r="G177" s="2" t="s">
        <v>2006</v>
      </c>
      <c r="H177" s="2" t="s">
        <v>2843</v>
      </c>
      <c r="I177" s="16" t="s">
        <v>2844</v>
      </c>
    </row>
    <row r="178" spans="1:9" ht="91.05" customHeight="1">
      <c r="A178" s="22" t="s">
        <v>2845</v>
      </c>
      <c r="B178" s="22" t="s">
        <v>189</v>
      </c>
      <c r="C178" s="2" t="s">
        <v>2846</v>
      </c>
      <c r="D178" s="2" t="s">
        <v>331</v>
      </c>
      <c r="E178" s="2" t="s">
        <v>2847</v>
      </c>
      <c r="F178" s="43">
        <v>50</v>
      </c>
      <c r="G178" s="2" t="s">
        <v>2006</v>
      </c>
      <c r="H178" s="2" t="s">
        <v>2848</v>
      </c>
      <c r="I178" s="16" t="s">
        <v>2849</v>
      </c>
    </row>
    <row r="179" spans="1:9" ht="105.45" customHeight="1">
      <c r="A179" s="22" t="s">
        <v>2850</v>
      </c>
      <c r="B179" s="22" t="s">
        <v>189</v>
      </c>
      <c r="C179" s="2" t="s">
        <v>2851</v>
      </c>
      <c r="D179" s="2" t="s">
        <v>331</v>
      </c>
      <c r="E179" s="2" t="s">
        <v>2852</v>
      </c>
      <c r="F179" s="48" t="s">
        <v>307</v>
      </c>
      <c r="G179" s="2" t="s">
        <v>2006</v>
      </c>
      <c r="H179" s="2" t="s">
        <v>2853</v>
      </c>
      <c r="I179" s="16" t="s">
        <v>2854</v>
      </c>
    </row>
    <row r="180" spans="1:9" ht="91.05" customHeight="1">
      <c r="A180" s="22" t="s">
        <v>2855</v>
      </c>
      <c r="B180" s="22" t="s">
        <v>189</v>
      </c>
      <c r="C180" s="2" t="s">
        <v>2856</v>
      </c>
      <c r="D180" s="2" t="s">
        <v>331</v>
      </c>
      <c r="E180" s="2" t="s">
        <v>331</v>
      </c>
      <c r="F180" s="48" t="s">
        <v>307</v>
      </c>
      <c r="G180" s="2" t="s">
        <v>2006</v>
      </c>
      <c r="H180" s="2" t="s">
        <v>2857</v>
      </c>
      <c r="I180" s="16" t="s">
        <v>2849</v>
      </c>
    </row>
    <row r="181" spans="1:9" ht="76.5" customHeight="1">
      <c r="A181" s="22" t="s">
        <v>2858</v>
      </c>
      <c r="B181" s="22" t="s">
        <v>191</v>
      </c>
      <c r="C181" s="2" t="s">
        <v>2859</v>
      </c>
      <c r="D181" s="2" t="s">
        <v>2860</v>
      </c>
      <c r="E181" s="2" t="s">
        <v>2861</v>
      </c>
      <c r="F181" s="48" t="s">
        <v>307</v>
      </c>
      <c r="G181" s="2" t="s">
        <v>1906</v>
      </c>
      <c r="H181" s="2" t="s">
        <v>2862</v>
      </c>
      <c r="I181" s="16" t="s">
        <v>2863</v>
      </c>
    </row>
    <row r="182" spans="1:9" ht="120" customHeight="1">
      <c r="A182" s="22" t="s">
        <v>2864</v>
      </c>
      <c r="B182" s="22" t="s">
        <v>191</v>
      </c>
      <c r="C182" s="2" t="s">
        <v>2865</v>
      </c>
      <c r="D182" s="2" t="s">
        <v>2866</v>
      </c>
      <c r="E182" s="2" t="s">
        <v>2867</v>
      </c>
      <c r="F182" s="48" t="s">
        <v>307</v>
      </c>
      <c r="G182" s="2" t="s">
        <v>1966</v>
      </c>
      <c r="H182" s="2" t="s">
        <v>2868</v>
      </c>
      <c r="I182" s="16" t="s">
        <v>2869</v>
      </c>
    </row>
    <row r="183" spans="1:9" ht="91.05" customHeight="1">
      <c r="A183" s="22" t="s">
        <v>2870</v>
      </c>
      <c r="B183" s="22" t="s">
        <v>191</v>
      </c>
      <c r="C183" s="2" t="s">
        <v>2871</v>
      </c>
      <c r="D183" s="2" t="s">
        <v>2872</v>
      </c>
      <c r="E183" s="2" t="s">
        <v>2873</v>
      </c>
      <c r="F183" s="48" t="s">
        <v>307</v>
      </c>
      <c r="G183" s="2" t="s">
        <v>1966</v>
      </c>
      <c r="H183" s="2" t="s">
        <v>2874</v>
      </c>
      <c r="I183" s="16" t="s">
        <v>2875</v>
      </c>
    </row>
    <row r="184" spans="1:9" ht="160.05000000000001" customHeight="1">
      <c r="A184" s="22" t="s">
        <v>2876</v>
      </c>
      <c r="B184" s="22" t="s">
        <v>191</v>
      </c>
      <c r="C184" s="2" t="s">
        <v>2877</v>
      </c>
      <c r="D184" s="2" t="s">
        <v>2165</v>
      </c>
      <c r="E184" s="2" t="s">
        <v>2878</v>
      </c>
      <c r="F184" s="43">
        <v>1</v>
      </c>
      <c r="G184" s="2" t="s">
        <v>1966</v>
      </c>
      <c r="H184" s="2" t="s">
        <v>2879</v>
      </c>
      <c r="I184" s="16" t="s">
        <v>2880</v>
      </c>
    </row>
    <row r="185" spans="1:9" ht="61.95" customHeight="1">
      <c r="A185" s="22" t="s">
        <v>2881</v>
      </c>
      <c r="B185" s="22" t="s">
        <v>191</v>
      </c>
      <c r="C185" s="2" t="s">
        <v>2882</v>
      </c>
      <c r="D185" s="2" t="s">
        <v>2165</v>
      </c>
      <c r="E185" s="2" t="s">
        <v>2883</v>
      </c>
      <c r="F185" s="43">
        <v>1.5</v>
      </c>
      <c r="G185" s="2" t="s">
        <v>1966</v>
      </c>
      <c r="H185" s="2" t="s">
        <v>2884</v>
      </c>
      <c r="I185" s="16" t="s">
        <v>2349</v>
      </c>
    </row>
    <row r="186" spans="1:9" ht="76.5" customHeight="1">
      <c r="A186" s="22" t="s">
        <v>2885</v>
      </c>
      <c r="B186" s="22" t="s">
        <v>191</v>
      </c>
      <c r="C186" s="2" t="s">
        <v>2886</v>
      </c>
      <c r="D186" s="2" t="s">
        <v>2887</v>
      </c>
      <c r="E186" s="2" t="s">
        <v>2888</v>
      </c>
      <c r="F186" s="48" t="s">
        <v>307</v>
      </c>
      <c r="G186" s="2" t="s">
        <v>1966</v>
      </c>
      <c r="H186" s="2" t="s">
        <v>2889</v>
      </c>
      <c r="I186" s="16" t="s">
        <v>2890</v>
      </c>
    </row>
    <row r="187" spans="1:9" ht="160.05000000000001" customHeight="1">
      <c r="A187" s="22" t="s">
        <v>2891</v>
      </c>
      <c r="B187" s="22" t="s">
        <v>191</v>
      </c>
      <c r="C187" s="2" t="s">
        <v>2892</v>
      </c>
      <c r="D187" s="2" t="s">
        <v>2893</v>
      </c>
      <c r="E187" s="2" t="s">
        <v>2894</v>
      </c>
      <c r="F187" s="43">
        <v>2000</v>
      </c>
      <c r="G187" s="2" t="s">
        <v>2006</v>
      </c>
      <c r="H187" s="2" t="s">
        <v>2895</v>
      </c>
      <c r="I187" s="16" t="s">
        <v>2896</v>
      </c>
    </row>
    <row r="188" spans="1:9" ht="160.05000000000001" customHeight="1">
      <c r="A188" s="22" t="s">
        <v>2897</v>
      </c>
      <c r="B188" s="22" t="s">
        <v>191</v>
      </c>
      <c r="C188" s="2" t="s">
        <v>2898</v>
      </c>
      <c r="D188" s="2" t="s">
        <v>2899</v>
      </c>
      <c r="E188" s="2" t="s">
        <v>2900</v>
      </c>
      <c r="F188" s="43">
        <v>2000</v>
      </c>
      <c r="G188" s="2" t="s">
        <v>2006</v>
      </c>
      <c r="H188" s="2" t="s">
        <v>2901</v>
      </c>
      <c r="I188" s="16" t="s">
        <v>2902</v>
      </c>
    </row>
    <row r="189" spans="1:9" ht="160.05000000000001" customHeight="1">
      <c r="A189" s="22" t="s">
        <v>2903</v>
      </c>
      <c r="B189" s="22" t="s">
        <v>191</v>
      </c>
      <c r="C189" s="2" t="s">
        <v>2904</v>
      </c>
      <c r="D189" s="2" t="s">
        <v>2905</v>
      </c>
      <c r="E189" s="2" t="s">
        <v>2906</v>
      </c>
      <c r="F189" s="43">
        <v>10</v>
      </c>
      <c r="G189" s="2" t="s">
        <v>2006</v>
      </c>
      <c r="H189" s="2" t="s">
        <v>2907</v>
      </c>
      <c r="I189" s="16" t="s">
        <v>2908</v>
      </c>
    </row>
    <row r="190" spans="1:9" ht="160.05000000000001" customHeight="1">
      <c r="A190" s="22" t="s">
        <v>2909</v>
      </c>
      <c r="B190" s="22" t="s">
        <v>191</v>
      </c>
      <c r="C190" s="2" t="s">
        <v>2910</v>
      </c>
      <c r="D190" s="2" t="s">
        <v>2911</v>
      </c>
      <c r="E190" s="2" t="s">
        <v>2912</v>
      </c>
      <c r="F190" s="43">
        <v>10</v>
      </c>
      <c r="G190" s="2" t="s">
        <v>2006</v>
      </c>
      <c r="H190" s="2" t="s">
        <v>2913</v>
      </c>
      <c r="I190" s="16" t="s">
        <v>2914</v>
      </c>
    </row>
    <row r="191" spans="1:9" ht="91.05" customHeight="1">
      <c r="A191" s="22" t="s">
        <v>2915</v>
      </c>
      <c r="B191" s="22" t="s">
        <v>191</v>
      </c>
      <c r="C191" s="2" t="s">
        <v>2916</v>
      </c>
      <c r="D191" s="2" t="s">
        <v>2917</v>
      </c>
      <c r="E191" s="2" t="s">
        <v>2918</v>
      </c>
      <c r="F191" s="48" t="s">
        <v>307</v>
      </c>
      <c r="G191" s="2" t="s">
        <v>2006</v>
      </c>
      <c r="H191" s="2" t="s">
        <v>2919</v>
      </c>
      <c r="I191" s="16" t="s">
        <v>2920</v>
      </c>
    </row>
    <row r="192" spans="1:9" ht="61.95" customHeight="1">
      <c r="A192" s="22" t="s">
        <v>2921</v>
      </c>
      <c r="B192" s="22" t="s">
        <v>191</v>
      </c>
      <c r="C192" s="2" t="s">
        <v>2922</v>
      </c>
      <c r="D192" s="2" t="s">
        <v>2917</v>
      </c>
      <c r="E192" s="2" t="s">
        <v>2923</v>
      </c>
      <c r="F192" s="48" t="s">
        <v>307</v>
      </c>
      <c r="G192" s="2" t="s">
        <v>2006</v>
      </c>
      <c r="H192" s="2" t="s">
        <v>2924</v>
      </c>
      <c r="I192" s="16" t="s">
        <v>2925</v>
      </c>
    </row>
    <row r="193" spans="1:9" ht="134.55000000000001" customHeight="1">
      <c r="A193" s="22" t="s">
        <v>2926</v>
      </c>
      <c r="B193" s="22" t="s">
        <v>191</v>
      </c>
      <c r="C193" s="2" t="s">
        <v>2877</v>
      </c>
      <c r="D193" s="2" t="s">
        <v>530</v>
      </c>
      <c r="E193" s="2" t="s">
        <v>2927</v>
      </c>
      <c r="F193" s="43">
        <v>7</v>
      </c>
      <c r="G193" s="2" t="s">
        <v>2006</v>
      </c>
      <c r="H193" s="2" t="s">
        <v>2928</v>
      </c>
      <c r="I193" s="16" t="s">
        <v>2929</v>
      </c>
    </row>
    <row r="194" spans="1:9" ht="148.94999999999999" customHeight="1">
      <c r="A194" s="22" t="s">
        <v>2930</v>
      </c>
      <c r="B194" s="22" t="s">
        <v>191</v>
      </c>
      <c r="C194" s="2" t="s">
        <v>2931</v>
      </c>
      <c r="D194" s="2" t="s">
        <v>530</v>
      </c>
      <c r="E194" s="2" t="s">
        <v>2932</v>
      </c>
      <c r="F194" s="48" t="s">
        <v>307</v>
      </c>
      <c r="G194" s="2" t="s">
        <v>2006</v>
      </c>
      <c r="H194" s="2" t="s">
        <v>2933</v>
      </c>
      <c r="I194" s="16" t="s">
        <v>2934</v>
      </c>
    </row>
  </sheetData>
  <autoFilter ref="A4:I194" xr:uid="{00000000-0009-0000-0000-00000D000000}"/>
  <mergeCells count="2">
    <mergeCell ref="A1:I1"/>
    <mergeCell ref="A2:I2"/>
  </mergeCells>
  <phoneticPr fontId="25" type="noConversion"/>
  <hyperlinks>
    <hyperlink ref="I5" r:id="rId1" xr:uid="{00000000-0004-0000-0D00-000000000000}"/>
    <hyperlink ref="I6" r:id="rId2" xr:uid="{00000000-0004-0000-0D00-000001000000}"/>
    <hyperlink ref="I7" r:id="rId3" xr:uid="{00000000-0004-0000-0D00-000002000000}"/>
    <hyperlink ref="I8" r:id="rId4" xr:uid="{00000000-0004-0000-0D00-000003000000}"/>
    <hyperlink ref="I9" r:id="rId5" xr:uid="{00000000-0004-0000-0D00-000004000000}"/>
    <hyperlink ref="I10" r:id="rId6" xr:uid="{00000000-0004-0000-0D00-000005000000}"/>
    <hyperlink ref="I11" r:id="rId7" xr:uid="{00000000-0004-0000-0D00-000006000000}"/>
    <hyperlink ref="I12" r:id="rId8" xr:uid="{00000000-0004-0000-0D00-000007000000}"/>
    <hyperlink ref="I13" r:id="rId9" xr:uid="{00000000-0004-0000-0D00-000008000000}"/>
    <hyperlink ref="I14" r:id="rId10" xr:uid="{00000000-0004-0000-0D00-000009000000}"/>
    <hyperlink ref="I15" r:id="rId11" xr:uid="{00000000-0004-0000-0D00-00000A000000}"/>
    <hyperlink ref="I16" r:id="rId12" xr:uid="{00000000-0004-0000-0D00-00000B000000}"/>
    <hyperlink ref="I17" r:id="rId13" xr:uid="{00000000-0004-0000-0D00-00000C000000}"/>
    <hyperlink ref="I18" r:id="rId14" xr:uid="{00000000-0004-0000-0D00-00000D000000}"/>
    <hyperlink ref="I19" r:id="rId15" xr:uid="{00000000-0004-0000-0D00-00000E000000}"/>
    <hyperlink ref="I20" r:id="rId16" xr:uid="{00000000-0004-0000-0D00-00000F000000}"/>
    <hyperlink ref="I21" r:id="rId17" xr:uid="{00000000-0004-0000-0D00-000010000000}"/>
    <hyperlink ref="I22" r:id="rId18" xr:uid="{00000000-0004-0000-0D00-000011000000}"/>
    <hyperlink ref="I23" r:id="rId19" xr:uid="{00000000-0004-0000-0D00-000012000000}"/>
    <hyperlink ref="I24" r:id="rId20" xr:uid="{00000000-0004-0000-0D00-000013000000}"/>
    <hyperlink ref="I25" r:id="rId21" xr:uid="{00000000-0004-0000-0D00-000014000000}"/>
    <hyperlink ref="I26" r:id="rId22" xr:uid="{00000000-0004-0000-0D00-000015000000}"/>
    <hyperlink ref="I27" r:id="rId23" xr:uid="{00000000-0004-0000-0D00-000016000000}"/>
    <hyperlink ref="I28" r:id="rId24" xr:uid="{00000000-0004-0000-0D00-000017000000}"/>
    <hyperlink ref="I29" r:id="rId25" xr:uid="{00000000-0004-0000-0D00-000018000000}"/>
    <hyperlink ref="I30" r:id="rId26" xr:uid="{00000000-0004-0000-0D00-000019000000}"/>
    <hyperlink ref="I31" r:id="rId27" xr:uid="{00000000-0004-0000-0D00-00001A000000}"/>
    <hyperlink ref="I32" r:id="rId28" xr:uid="{00000000-0004-0000-0D00-00001B000000}"/>
    <hyperlink ref="I33" r:id="rId29" xr:uid="{00000000-0004-0000-0D00-00001C000000}"/>
    <hyperlink ref="I34" r:id="rId30" xr:uid="{00000000-0004-0000-0D00-00001D000000}"/>
    <hyperlink ref="I35" r:id="rId31" xr:uid="{00000000-0004-0000-0D00-00001E000000}"/>
    <hyperlink ref="I36" r:id="rId32" xr:uid="{00000000-0004-0000-0D00-00001F000000}"/>
    <hyperlink ref="I37" r:id="rId33" xr:uid="{00000000-0004-0000-0D00-000020000000}"/>
    <hyperlink ref="I38" r:id="rId34" xr:uid="{00000000-0004-0000-0D00-000021000000}"/>
    <hyperlink ref="I39" r:id="rId35" xr:uid="{00000000-0004-0000-0D00-000022000000}"/>
    <hyperlink ref="I40" r:id="rId36" xr:uid="{00000000-0004-0000-0D00-000023000000}"/>
    <hyperlink ref="I41" r:id="rId37" xr:uid="{00000000-0004-0000-0D00-000024000000}"/>
    <hyperlink ref="I42" r:id="rId38" xr:uid="{00000000-0004-0000-0D00-000025000000}"/>
    <hyperlink ref="I43" r:id="rId39" xr:uid="{00000000-0004-0000-0D00-000026000000}"/>
    <hyperlink ref="I44" r:id="rId40" xr:uid="{00000000-0004-0000-0D00-000027000000}"/>
    <hyperlink ref="I45" r:id="rId41" xr:uid="{00000000-0004-0000-0D00-000028000000}"/>
    <hyperlink ref="I46" r:id="rId42" xr:uid="{00000000-0004-0000-0D00-000029000000}"/>
    <hyperlink ref="I47" r:id="rId43" xr:uid="{00000000-0004-0000-0D00-00002A000000}"/>
    <hyperlink ref="I48" r:id="rId44" xr:uid="{00000000-0004-0000-0D00-00002B000000}"/>
    <hyperlink ref="I49" r:id="rId45" xr:uid="{00000000-0004-0000-0D00-00002C000000}"/>
    <hyperlink ref="I50" r:id="rId46" xr:uid="{00000000-0004-0000-0D00-00002D000000}"/>
    <hyperlink ref="I51" r:id="rId47" xr:uid="{00000000-0004-0000-0D00-00002E000000}"/>
    <hyperlink ref="I52" r:id="rId48" xr:uid="{00000000-0004-0000-0D00-00002F000000}"/>
    <hyperlink ref="I53" r:id="rId49" xr:uid="{00000000-0004-0000-0D00-000030000000}"/>
    <hyperlink ref="I54" r:id="rId50" xr:uid="{00000000-0004-0000-0D00-000031000000}"/>
    <hyperlink ref="I55" r:id="rId51" xr:uid="{00000000-0004-0000-0D00-000032000000}"/>
    <hyperlink ref="I56" r:id="rId52" xr:uid="{00000000-0004-0000-0D00-000033000000}"/>
    <hyperlink ref="I57" r:id="rId53" xr:uid="{00000000-0004-0000-0D00-000034000000}"/>
    <hyperlink ref="I58" r:id="rId54" xr:uid="{00000000-0004-0000-0D00-000035000000}"/>
    <hyperlink ref="I59" r:id="rId55" xr:uid="{00000000-0004-0000-0D00-000036000000}"/>
    <hyperlink ref="I60" r:id="rId56" xr:uid="{00000000-0004-0000-0D00-000037000000}"/>
    <hyperlink ref="I61" r:id="rId57" xr:uid="{00000000-0004-0000-0D00-000038000000}"/>
    <hyperlink ref="I62" r:id="rId58" xr:uid="{00000000-0004-0000-0D00-000039000000}"/>
    <hyperlink ref="I63" r:id="rId59" xr:uid="{00000000-0004-0000-0D00-00003A000000}"/>
    <hyperlink ref="I64" r:id="rId60" xr:uid="{00000000-0004-0000-0D00-00003B000000}"/>
    <hyperlink ref="I65" r:id="rId61" xr:uid="{00000000-0004-0000-0D00-00003C000000}"/>
    <hyperlink ref="I66" r:id="rId62" xr:uid="{00000000-0004-0000-0D00-00003D000000}"/>
    <hyperlink ref="I67" r:id="rId63" xr:uid="{00000000-0004-0000-0D00-00003E000000}"/>
    <hyperlink ref="I68" r:id="rId64" xr:uid="{00000000-0004-0000-0D00-00003F000000}"/>
    <hyperlink ref="I69" r:id="rId65" xr:uid="{00000000-0004-0000-0D00-000040000000}"/>
    <hyperlink ref="I70" r:id="rId66" xr:uid="{00000000-0004-0000-0D00-000041000000}"/>
    <hyperlink ref="I71" r:id="rId67" xr:uid="{00000000-0004-0000-0D00-000042000000}"/>
    <hyperlink ref="I72" r:id="rId68" xr:uid="{00000000-0004-0000-0D00-000043000000}"/>
    <hyperlink ref="I73" r:id="rId69" xr:uid="{00000000-0004-0000-0D00-000044000000}"/>
    <hyperlink ref="I74" r:id="rId70" xr:uid="{00000000-0004-0000-0D00-000045000000}"/>
    <hyperlink ref="I75" r:id="rId71" xr:uid="{00000000-0004-0000-0D00-000046000000}"/>
    <hyperlink ref="I76" r:id="rId72" xr:uid="{00000000-0004-0000-0D00-000047000000}"/>
    <hyperlink ref="I77" r:id="rId73" xr:uid="{00000000-0004-0000-0D00-000048000000}"/>
    <hyperlink ref="I78" r:id="rId74" xr:uid="{00000000-0004-0000-0D00-000049000000}"/>
    <hyperlink ref="I79" r:id="rId75" xr:uid="{00000000-0004-0000-0D00-00004A000000}"/>
    <hyperlink ref="I80" r:id="rId76" xr:uid="{00000000-0004-0000-0D00-00004B000000}"/>
    <hyperlink ref="I81" r:id="rId77" xr:uid="{00000000-0004-0000-0D00-00004C000000}"/>
    <hyperlink ref="I82" r:id="rId78" xr:uid="{00000000-0004-0000-0D00-00004D000000}"/>
    <hyperlink ref="I83" r:id="rId79" xr:uid="{00000000-0004-0000-0D00-00004E000000}"/>
    <hyperlink ref="I84" r:id="rId80" xr:uid="{00000000-0004-0000-0D00-00004F000000}"/>
    <hyperlink ref="I85" r:id="rId81" xr:uid="{00000000-0004-0000-0D00-000050000000}"/>
    <hyperlink ref="I86" r:id="rId82" xr:uid="{00000000-0004-0000-0D00-000051000000}"/>
    <hyperlink ref="I87" r:id="rId83" xr:uid="{00000000-0004-0000-0D00-000052000000}"/>
    <hyperlink ref="I88" r:id="rId84" xr:uid="{00000000-0004-0000-0D00-000053000000}"/>
    <hyperlink ref="I89" r:id="rId85" xr:uid="{00000000-0004-0000-0D00-000054000000}"/>
    <hyperlink ref="I90" r:id="rId86" xr:uid="{00000000-0004-0000-0D00-000055000000}"/>
    <hyperlink ref="I91" r:id="rId87" xr:uid="{00000000-0004-0000-0D00-000056000000}"/>
    <hyperlink ref="I92" r:id="rId88" xr:uid="{00000000-0004-0000-0D00-000057000000}"/>
    <hyperlink ref="I93" r:id="rId89" xr:uid="{00000000-0004-0000-0D00-000058000000}"/>
    <hyperlink ref="I94" r:id="rId90" xr:uid="{00000000-0004-0000-0D00-000059000000}"/>
    <hyperlink ref="I95" r:id="rId91" xr:uid="{00000000-0004-0000-0D00-00005A000000}"/>
    <hyperlink ref="I96" r:id="rId92" xr:uid="{00000000-0004-0000-0D00-00005B000000}"/>
    <hyperlink ref="I97" r:id="rId93" xr:uid="{00000000-0004-0000-0D00-00005C000000}"/>
    <hyperlink ref="I98" r:id="rId94" xr:uid="{00000000-0004-0000-0D00-00005D000000}"/>
    <hyperlink ref="I99" r:id="rId95" xr:uid="{00000000-0004-0000-0D00-00005E000000}"/>
    <hyperlink ref="I100" r:id="rId96" xr:uid="{00000000-0004-0000-0D00-00005F000000}"/>
    <hyperlink ref="I101" r:id="rId97" xr:uid="{00000000-0004-0000-0D00-000060000000}"/>
    <hyperlink ref="I102" r:id="rId98" xr:uid="{00000000-0004-0000-0D00-000061000000}"/>
    <hyperlink ref="I103" r:id="rId99" xr:uid="{00000000-0004-0000-0D00-000062000000}"/>
    <hyperlink ref="I104" r:id="rId100" xr:uid="{00000000-0004-0000-0D00-000063000000}"/>
    <hyperlink ref="I105" r:id="rId101" xr:uid="{00000000-0004-0000-0D00-000064000000}"/>
    <hyperlink ref="I106" r:id="rId102" xr:uid="{00000000-0004-0000-0D00-000065000000}"/>
    <hyperlink ref="I107" r:id="rId103" xr:uid="{00000000-0004-0000-0D00-000066000000}"/>
    <hyperlink ref="I108" r:id="rId104" xr:uid="{00000000-0004-0000-0D00-000067000000}"/>
    <hyperlink ref="I109" r:id="rId105" xr:uid="{00000000-0004-0000-0D00-000068000000}"/>
    <hyperlink ref="I110" r:id="rId106" xr:uid="{00000000-0004-0000-0D00-000069000000}"/>
    <hyperlink ref="I111" r:id="rId107" xr:uid="{00000000-0004-0000-0D00-00006A000000}"/>
    <hyperlink ref="I112" r:id="rId108" xr:uid="{00000000-0004-0000-0D00-00006B000000}"/>
    <hyperlink ref="I113" r:id="rId109" xr:uid="{00000000-0004-0000-0D00-00006C000000}"/>
    <hyperlink ref="I114" r:id="rId110" xr:uid="{00000000-0004-0000-0D00-00006D000000}"/>
    <hyperlink ref="I115" r:id="rId111" xr:uid="{00000000-0004-0000-0D00-00006E000000}"/>
    <hyperlink ref="I116" r:id="rId112" xr:uid="{00000000-0004-0000-0D00-00006F000000}"/>
    <hyperlink ref="I117" r:id="rId113" xr:uid="{00000000-0004-0000-0D00-000070000000}"/>
    <hyperlink ref="I118" r:id="rId114" xr:uid="{00000000-0004-0000-0D00-000071000000}"/>
    <hyperlink ref="I119" r:id="rId115" xr:uid="{00000000-0004-0000-0D00-000072000000}"/>
    <hyperlink ref="I120" r:id="rId116" xr:uid="{00000000-0004-0000-0D00-000073000000}"/>
    <hyperlink ref="I121" r:id="rId117" xr:uid="{00000000-0004-0000-0D00-000074000000}"/>
    <hyperlink ref="I122" r:id="rId118" xr:uid="{00000000-0004-0000-0D00-000075000000}"/>
    <hyperlink ref="I123" r:id="rId119" xr:uid="{00000000-0004-0000-0D00-000076000000}"/>
    <hyperlink ref="I124" r:id="rId120" xr:uid="{00000000-0004-0000-0D00-000077000000}"/>
    <hyperlink ref="I125" r:id="rId121" xr:uid="{00000000-0004-0000-0D00-000078000000}"/>
    <hyperlink ref="I126" r:id="rId122" xr:uid="{00000000-0004-0000-0D00-000079000000}"/>
    <hyperlink ref="I127" r:id="rId123" xr:uid="{00000000-0004-0000-0D00-00007A000000}"/>
    <hyperlink ref="I128" r:id="rId124" xr:uid="{00000000-0004-0000-0D00-00007B000000}"/>
    <hyperlink ref="I129" r:id="rId125" xr:uid="{00000000-0004-0000-0D00-00007C000000}"/>
    <hyperlink ref="I130" r:id="rId126" xr:uid="{00000000-0004-0000-0D00-00007D000000}"/>
    <hyperlink ref="I131" r:id="rId127" xr:uid="{00000000-0004-0000-0D00-00007E000000}"/>
    <hyperlink ref="I132" r:id="rId128" xr:uid="{00000000-0004-0000-0D00-00007F000000}"/>
    <hyperlink ref="I133" r:id="rId129" xr:uid="{00000000-0004-0000-0D00-000080000000}"/>
    <hyperlink ref="I134" r:id="rId130" xr:uid="{00000000-0004-0000-0D00-000081000000}"/>
    <hyperlink ref="I135" r:id="rId131" xr:uid="{00000000-0004-0000-0D00-000082000000}"/>
    <hyperlink ref="I136" r:id="rId132" xr:uid="{00000000-0004-0000-0D00-000083000000}"/>
    <hyperlink ref="I137" r:id="rId133" xr:uid="{00000000-0004-0000-0D00-000084000000}"/>
    <hyperlink ref="I138" r:id="rId134" xr:uid="{00000000-0004-0000-0D00-000085000000}"/>
    <hyperlink ref="I139" r:id="rId135" xr:uid="{00000000-0004-0000-0D00-000086000000}"/>
    <hyperlink ref="I140" r:id="rId136" xr:uid="{00000000-0004-0000-0D00-000087000000}"/>
    <hyperlink ref="I141" r:id="rId137" xr:uid="{00000000-0004-0000-0D00-000088000000}"/>
    <hyperlink ref="I142" r:id="rId138" xr:uid="{00000000-0004-0000-0D00-000089000000}"/>
    <hyperlink ref="I143" r:id="rId139" xr:uid="{00000000-0004-0000-0D00-00008A000000}"/>
    <hyperlink ref="I144" r:id="rId140" xr:uid="{00000000-0004-0000-0D00-00008B000000}"/>
    <hyperlink ref="I145" r:id="rId141" xr:uid="{00000000-0004-0000-0D00-00008C000000}"/>
    <hyperlink ref="I146" r:id="rId142" xr:uid="{00000000-0004-0000-0D00-00008D000000}"/>
    <hyperlink ref="I147" r:id="rId143" xr:uid="{00000000-0004-0000-0D00-00008E000000}"/>
    <hyperlink ref="I148" r:id="rId144" xr:uid="{00000000-0004-0000-0D00-00008F000000}"/>
    <hyperlink ref="I149" r:id="rId145" xr:uid="{00000000-0004-0000-0D00-000090000000}"/>
    <hyperlink ref="I150" r:id="rId146" xr:uid="{00000000-0004-0000-0D00-000091000000}"/>
    <hyperlink ref="I152" r:id="rId147" xr:uid="{00000000-0004-0000-0D00-000092000000}"/>
    <hyperlink ref="I153" r:id="rId148" xr:uid="{00000000-0004-0000-0D00-000093000000}"/>
    <hyperlink ref="I154" r:id="rId149" xr:uid="{00000000-0004-0000-0D00-000094000000}"/>
    <hyperlink ref="I155" r:id="rId150" xr:uid="{00000000-0004-0000-0D00-000095000000}"/>
    <hyperlink ref="I156" r:id="rId151" xr:uid="{00000000-0004-0000-0D00-000096000000}"/>
    <hyperlink ref="I157" r:id="rId152" xr:uid="{00000000-0004-0000-0D00-000097000000}"/>
    <hyperlink ref="I158" r:id="rId153" xr:uid="{00000000-0004-0000-0D00-000098000000}"/>
    <hyperlink ref="I159" r:id="rId154" xr:uid="{00000000-0004-0000-0D00-000099000000}"/>
    <hyperlink ref="I160" r:id="rId155" xr:uid="{00000000-0004-0000-0D00-00009A000000}"/>
    <hyperlink ref="I161" r:id="rId156" xr:uid="{00000000-0004-0000-0D00-00009B000000}"/>
    <hyperlink ref="I162" r:id="rId157" xr:uid="{00000000-0004-0000-0D00-00009C000000}"/>
    <hyperlink ref="I163" r:id="rId158" xr:uid="{00000000-0004-0000-0D00-00009D000000}"/>
    <hyperlink ref="I164" r:id="rId159" xr:uid="{00000000-0004-0000-0D00-00009E000000}"/>
    <hyperlink ref="I165" r:id="rId160" xr:uid="{00000000-0004-0000-0D00-00009F000000}"/>
    <hyperlink ref="I166" r:id="rId161" xr:uid="{00000000-0004-0000-0D00-0000A0000000}"/>
    <hyperlink ref="I167" r:id="rId162" xr:uid="{00000000-0004-0000-0D00-0000A1000000}"/>
    <hyperlink ref="I168" r:id="rId163" xr:uid="{00000000-0004-0000-0D00-0000A2000000}"/>
    <hyperlink ref="I169" r:id="rId164" xr:uid="{00000000-0004-0000-0D00-0000A3000000}"/>
    <hyperlink ref="I170" r:id="rId165" xr:uid="{00000000-0004-0000-0D00-0000A4000000}"/>
    <hyperlink ref="I171" r:id="rId166" xr:uid="{00000000-0004-0000-0D00-0000A5000000}"/>
    <hyperlink ref="I172" r:id="rId167" xr:uid="{00000000-0004-0000-0D00-0000A6000000}"/>
    <hyperlink ref="I173" r:id="rId168" xr:uid="{00000000-0004-0000-0D00-0000A7000000}"/>
    <hyperlink ref="I174" r:id="rId169" xr:uid="{00000000-0004-0000-0D00-0000A8000000}"/>
    <hyperlink ref="I175" r:id="rId170" xr:uid="{00000000-0004-0000-0D00-0000A9000000}"/>
    <hyperlink ref="I176" r:id="rId171" xr:uid="{00000000-0004-0000-0D00-0000AA000000}"/>
    <hyperlink ref="I177" r:id="rId172" xr:uid="{00000000-0004-0000-0D00-0000AB000000}"/>
    <hyperlink ref="I178" r:id="rId173" xr:uid="{00000000-0004-0000-0D00-0000AC000000}"/>
    <hyperlink ref="I179" r:id="rId174" xr:uid="{00000000-0004-0000-0D00-0000AD000000}"/>
    <hyperlink ref="I180" r:id="rId175" xr:uid="{00000000-0004-0000-0D00-0000AE000000}"/>
    <hyperlink ref="I181" r:id="rId176" xr:uid="{00000000-0004-0000-0D00-0000AF000000}"/>
    <hyperlink ref="I182" r:id="rId177" xr:uid="{00000000-0004-0000-0D00-0000B0000000}"/>
    <hyperlink ref="I183" r:id="rId178" xr:uid="{00000000-0004-0000-0D00-0000B1000000}"/>
    <hyperlink ref="I184" r:id="rId179" xr:uid="{00000000-0004-0000-0D00-0000B2000000}"/>
    <hyperlink ref="I185" r:id="rId180" xr:uid="{00000000-0004-0000-0D00-0000B3000000}"/>
    <hyperlink ref="I186" r:id="rId181" xr:uid="{00000000-0004-0000-0D00-0000B4000000}"/>
    <hyperlink ref="I187" r:id="rId182" xr:uid="{00000000-0004-0000-0D00-0000B5000000}"/>
    <hyperlink ref="I188" r:id="rId183" xr:uid="{00000000-0004-0000-0D00-0000B6000000}"/>
    <hyperlink ref="I189" r:id="rId184" xr:uid="{00000000-0004-0000-0D00-0000B7000000}"/>
    <hyperlink ref="I190" r:id="rId185" xr:uid="{00000000-0004-0000-0D00-0000B8000000}"/>
    <hyperlink ref="I191" r:id="rId186" xr:uid="{00000000-0004-0000-0D00-0000B9000000}"/>
    <hyperlink ref="I192" r:id="rId187" xr:uid="{00000000-0004-0000-0D00-0000BA000000}"/>
    <hyperlink ref="I193" r:id="rId188" xr:uid="{00000000-0004-0000-0D00-0000BB000000}"/>
    <hyperlink ref="I194" r:id="rId189" xr:uid="{00000000-0004-0000-0D00-0000BC000000}"/>
  </hyperlinks>
  <printOptions horizontalCentered="1"/>
  <pageMargins left="0.4" right="0.4" top="0.5" bottom="0.6" header="0.5" footer="0.5"/>
  <pageSetup paperSize="9" fitToHeight="0" orientation="landscape"/>
  <headerFooter>
    <oddFooter>&amp;C第 &amp;P 頁，共 &amp;N 頁</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A4C93"/>
    <pageSetUpPr fitToPage="1"/>
  </sheetPr>
  <dimension ref="A1:H611"/>
  <sheetViews>
    <sheetView workbookViewId="0">
      <pane ySplit="5" topLeftCell="A6" activePane="bottomLeft" state="frozen"/>
      <selection pane="bottomLeft"/>
    </sheetView>
  </sheetViews>
  <sheetFormatPr defaultRowHeight="13.8"/>
  <cols>
    <col min="1" max="1" width="7" customWidth="1"/>
    <col min="2" max="2" width="9" customWidth="1"/>
    <col min="3" max="3" width="28" customWidth="1"/>
    <col min="4" max="4" width="64" customWidth="1"/>
    <col min="5" max="5" width="24" customWidth="1"/>
    <col min="6" max="6" width="16" customWidth="1"/>
    <col min="7" max="7" width="22" customWidth="1"/>
    <col min="8" max="8" width="9" customWidth="1"/>
  </cols>
  <sheetData>
    <row r="1" spans="1:8" ht="27.15" customHeight="1">
      <c r="A1" s="73" t="s">
        <v>2935</v>
      </c>
      <c r="B1" s="71"/>
      <c r="C1" s="71"/>
      <c r="D1" s="71"/>
      <c r="E1" s="71"/>
      <c r="F1" s="71"/>
      <c r="G1" s="71"/>
      <c r="H1" s="71"/>
    </row>
    <row r="2" spans="1:8" ht="33" customHeight="1">
      <c r="A2" s="72" t="s">
        <v>2936</v>
      </c>
      <c r="B2" s="71"/>
      <c r="C2" s="71"/>
      <c r="D2" s="71"/>
      <c r="E2" s="71"/>
      <c r="F2" s="71"/>
      <c r="G2" s="71"/>
      <c r="H2" s="71"/>
    </row>
    <row r="3" spans="1:8" ht="18.45" customHeight="1">
      <c r="A3" s="85" t="str">
        <f>"政府 "&amp;COUNTIF($B$6:$B$611,"政府")&amp;" 筆"&amp;"　｜　"&amp;"營運商 "&amp;COUNTIF($B$6:$B$611,"營運商")&amp;" 筆"&amp;"　｜　"&amp;"媒體 "&amp;COUNTIF($B$6:$B$611,"媒體")&amp;" 筆"&amp;"　｜　"&amp;"其他 "&amp;COUNTIF($B$6:$B$611,"其他")&amp;" 筆"&amp;"　｜　"&amp;"已讀原文 "&amp;COUNTIF($H$6:$H$611,"是")&amp;" 筆"</f>
        <v>政府 200 筆　｜　營運商 95 筆　｜　媒體 190 筆　｜　其他 121 筆　｜　已讀原文 545 筆</v>
      </c>
      <c r="B3" s="71"/>
      <c r="C3" s="71"/>
      <c r="D3" s="71"/>
      <c r="E3" s="71"/>
      <c r="F3" s="71"/>
      <c r="G3" s="71"/>
      <c r="H3" s="71"/>
    </row>
    <row r="5" spans="1:8" ht="24" customHeight="1">
      <c r="A5" s="20" t="s">
        <v>1860</v>
      </c>
      <c r="B5" s="20" t="s">
        <v>2937</v>
      </c>
      <c r="C5" s="20" t="s">
        <v>2938</v>
      </c>
      <c r="D5" s="20" t="s">
        <v>2939</v>
      </c>
      <c r="E5" s="20" t="s">
        <v>2940</v>
      </c>
      <c r="F5" s="20" t="s">
        <v>2941</v>
      </c>
      <c r="G5" s="20" t="s">
        <v>2942</v>
      </c>
      <c r="H5" s="20" t="s">
        <v>2943</v>
      </c>
    </row>
    <row r="6" spans="1:8" ht="18.45" customHeight="1">
      <c r="A6" s="58">
        <v>1</v>
      </c>
      <c r="B6" s="59" t="s">
        <v>2944</v>
      </c>
      <c r="C6" s="22" t="s">
        <v>2945</v>
      </c>
      <c r="D6" s="16" t="s">
        <v>2946</v>
      </c>
      <c r="E6" s="2" t="s">
        <v>482</v>
      </c>
      <c r="F6" s="2" t="s">
        <v>59</v>
      </c>
      <c r="G6" s="2" t="s">
        <v>244</v>
      </c>
      <c r="H6" s="60" t="s">
        <v>2947</v>
      </c>
    </row>
    <row r="7" spans="1:8" ht="33" customHeight="1">
      <c r="A7" s="58">
        <v>2</v>
      </c>
      <c r="B7" s="59" t="s">
        <v>2944</v>
      </c>
      <c r="C7" s="22" t="s">
        <v>2948</v>
      </c>
      <c r="D7" s="16" t="s">
        <v>2949</v>
      </c>
      <c r="E7" s="2" t="s">
        <v>2950</v>
      </c>
      <c r="F7" s="2" t="s">
        <v>59</v>
      </c>
      <c r="G7" s="2" t="s">
        <v>2951</v>
      </c>
      <c r="H7" s="60" t="s">
        <v>2947</v>
      </c>
    </row>
    <row r="8" spans="1:8" ht="47.55" customHeight="1">
      <c r="A8" s="58">
        <v>3</v>
      </c>
      <c r="B8" s="59" t="s">
        <v>2944</v>
      </c>
      <c r="C8" s="22" t="s">
        <v>2948</v>
      </c>
      <c r="D8" s="16" t="s">
        <v>2952</v>
      </c>
      <c r="E8" s="2" t="s">
        <v>1471</v>
      </c>
      <c r="F8" s="2" t="s">
        <v>59</v>
      </c>
      <c r="G8" s="2" t="s">
        <v>2953</v>
      </c>
      <c r="H8" s="60" t="s">
        <v>2947</v>
      </c>
    </row>
    <row r="9" spans="1:8" ht="47.55" customHeight="1">
      <c r="A9" s="58">
        <v>4</v>
      </c>
      <c r="B9" s="59" t="s">
        <v>2944</v>
      </c>
      <c r="C9" s="22" t="s">
        <v>2954</v>
      </c>
      <c r="D9" s="16" t="s">
        <v>2955</v>
      </c>
      <c r="E9" s="2" t="s">
        <v>1340</v>
      </c>
      <c r="F9" s="2" t="s">
        <v>59</v>
      </c>
      <c r="G9" s="2" t="s">
        <v>2951</v>
      </c>
      <c r="H9" s="60" t="s">
        <v>2947</v>
      </c>
    </row>
    <row r="10" spans="1:8" ht="33" customHeight="1">
      <c r="A10" s="58">
        <v>5</v>
      </c>
      <c r="B10" s="59" t="s">
        <v>2944</v>
      </c>
      <c r="C10" s="22" t="s">
        <v>2956</v>
      </c>
      <c r="D10" s="16" t="s">
        <v>2957</v>
      </c>
      <c r="E10" s="2" t="s">
        <v>1340</v>
      </c>
      <c r="F10" s="2" t="s">
        <v>59</v>
      </c>
      <c r="G10" s="2" t="s">
        <v>2951</v>
      </c>
      <c r="H10" s="60" t="s">
        <v>2947</v>
      </c>
    </row>
    <row r="11" spans="1:8" ht="33" customHeight="1">
      <c r="A11" s="61">
        <v>6</v>
      </c>
      <c r="B11" s="62" t="s">
        <v>2944</v>
      </c>
      <c r="C11" s="32" t="s">
        <v>2958</v>
      </c>
      <c r="D11" s="39" t="s">
        <v>2959</v>
      </c>
      <c r="E11" s="33" t="s">
        <v>1588</v>
      </c>
      <c r="F11" s="33" t="s">
        <v>61</v>
      </c>
      <c r="G11" s="33" t="s">
        <v>2951</v>
      </c>
      <c r="H11" s="63" t="s">
        <v>2947</v>
      </c>
    </row>
    <row r="12" spans="1:8" ht="47.55" customHeight="1">
      <c r="A12" s="58">
        <v>7</v>
      </c>
      <c r="B12" s="59" t="s">
        <v>2944</v>
      </c>
      <c r="C12" s="22" t="s">
        <v>2960</v>
      </c>
      <c r="D12" s="16" t="s">
        <v>2961</v>
      </c>
      <c r="E12" s="2" t="s">
        <v>1038</v>
      </c>
      <c r="F12" s="2" t="s">
        <v>59</v>
      </c>
      <c r="G12" s="2" t="s">
        <v>2951</v>
      </c>
      <c r="H12" s="60" t="s">
        <v>2947</v>
      </c>
    </row>
    <row r="13" spans="1:8" ht="33" customHeight="1">
      <c r="A13" s="58">
        <v>8</v>
      </c>
      <c r="B13" s="59" t="s">
        <v>2944</v>
      </c>
      <c r="C13" s="22" t="s">
        <v>2962</v>
      </c>
      <c r="D13" s="16" t="s">
        <v>2963</v>
      </c>
      <c r="E13" s="2" t="s">
        <v>1038</v>
      </c>
      <c r="F13" s="2" t="s">
        <v>59</v>
      </c>
      <c r="G13" s="2" t="s">
        <v>2951</v>
      </c>
      <c r="H13" s="60" t="s">
        <v>2947</v>
      </c>
    </row>
    <row r="14" spans="1:8" ht="33" customHeight="1">
      <c r="A14" s="58">
        <v>9</v>
      </c>
      <c r="B14" s="59" t="s">
        <v>2944</v>
      </c>
      <c r="C14" s="22" t="s">
        <v>2962</v>
      </c>
      <c r="D14" s="16" t="s">
        <v>2964</v>
      </c>
      <c r="E14" s="2" t="s">
        <v>919</v>
      </c>
      <c r="F14" s="2" t="s">
        <v>59</v>
      </c>
      <c r="G14" s="2" t="s">
        <v>2951</v>
      </c>
      <c r="H14" s="60" t="s">
        <v>2947</v>
      </c>
    </row>
    <row r="15" spans="1:8" ht="33" customHeight="1">
      <c r="A15" s="58">
        <v>10</v>
      </c>
      <c r="B15" s="59" t="s">
        <v>2944</v>
      </c>
      <c r="C15" s="22" t="s">
        <v>2962</v>
      </c>
      <c r="D15" s="16" t="s">
        <v>2965</v>
      </c>
      <c r="E15" s="2" t="s">
        <v>919</v>
      </c>
      <c r="F15" s="2" t="s">
        <v>59</v>
      </c>
      <c r="G15" s="2" t="s">
        <v>2951</v>
      </c>
      <c r="H15" s="60" t="s">
        <v>2947</v>
      </c>
    </row>
    <row r="16" spans="1:8" ht="33" customHeight="1">
      <c r="A16" s="58">
        <v>11</v>
      </c>
      <c r="B16" s="59" t="s">
        <v>2944</v>
      </c>
      <c r="C16" s="22" t="s">
        <v>2962</v>
      </c>
      <c r="D16" s="16" t="s">
        <v>2966</v>
      </c>
      <c r="E16" s="2" t="s">
        <v>1038</v>
      </c>
      <c r="F16" s="2" t="s">
        <v>59</v>
      </c>
      <c r="G16" s="2" t="s">
        <v>2951</v>
      </c>
      <c r="H16" s="60" t="s">
        <v>2947</v>
      </c>
    </row>
    <row r="17" spans="1:8" ht="33" customHeight="1">
      <c r="A17" s="58">
        <v>12</v>
      </c>
      <c r="B17" s="59" t="s">
        <v>2944</v>
      </c>
      <c r="C17" s="22" t="s">
        <v>2962</v>
      </c>
      <c r="D17" s="16" t="s">
        <v>2967</v>
      </c>
      <c r="E17" s="2" t="s">
        <v>1038</v>
      </c>
      <c r="F17" s="2" t="s">
        <v>59</v>
      </c>
      <c r="G17" s="2" t="s">
        <v>2951</v>
      </c>
      <c r="H17" s="60" t="s">
        <v>2947</v>
      </c>
    </row>
    <row r="18" spans="1:8" ht="33" customHeight="1">
      <c r="A18" s="58">
        <v>13</v>
      </c>
      <c r="B18" s="59" t="s">
        <v>2944</v>
      </c>
      <c r="C18" s="22" t="s">
        <v>2962</v>
      </c>
      <c r="D18" s="16" t="s">
        <v>2968</v>
      </c>
      <c r="E18" s="2" t="s">
        <v>1038</v>
      </c>
      <c r="F18" s="2" t="s">
        <v>59</v>
      </c>
      <c r="G18" s="2" t="s">
        <v>2951</v>
      </c>
      <c r="H18" s="60" t="s">
        <v>2947</v>
      </c>
    </row>
    <row r="19" spans="1:8" ht="33" customHeight="1">
      <c r="A19" s="58">
        <v>14</v>
      </c>
      <c r="B19" s="59" t="s">
        <v>2944</v>
      </c>
      <c r="C19" s="22" t="s">
        <v>2962</v>
      </c>
      <c r="D19" s="16" t="s">
        <v>2969</v>
      </c>
      <c r="E19" s="2" t="s">
        <v>1038</v>
      </c>
      <c r="F19" s="2" t="s">
        <v>59</v>
      </c>
      <c r="G19" s="2" t="s">
        <v>2951</v>
      </c>
      <c r="H19" s="60" t="s">
        <v>2947</v>
      </c>
    </row>
    <row r="20" spans="1:8" ht="33" customHeight="1">
      <c r="A20" s="58">
        <v>15</v>
      </c>
      <c r="B20" s="59" t="s">
        <v>2944</v>
      </c>
      <c r="C20" s="22" t="s">
        <v>2962</v>
      </c>
      <c r="D20" s="16" t="s">
        <v>2970</v>
      </c>
      <c r="E20" s="2" t="s">
        <v>919</v>
      </c>
      <c r="F20" s="2" t="s">
        <v>59</v>
      </c>
      <c r="G20" s="2" t="s">
        <v>2951</v>
      </c>
      <c r="H20" s="60" t="s">
        <v>2947</v>
      </c>
    </row>
    <row r="21" spans="1:8" ht="33" customHeight="1">
      <c r="A21" s="58">
        <v>16</v>
      </c>
      <c r="B21" s="59" t="s">
        <v>2944</v>
      </c>
      <c r="C21" s="22" t="s">
        <v>2962</v>
      </c>
      <c r="D21" s="16" t="s">
        <v>2971</v>
      </c>
      <c r="E21" s="2" t="s">
        <v>919</v>
      </c>
      <c r="F21" s="2" t="s">
        <v>59</v>
      </c>
      <c r="G21" s="2" t="s">
        <v>2951</v>
      </c>
      <c r="H21" s="60" t="s">
        <v>2947</v>
      </c>
    </row>
    <row r="22" spans="1:8" ht="33" customHeight="1">
      <c r="A22" s="58">
        <v>17</v>
      </c>
      <c r="B22" s="59" t="s">
        <v>2944</v>
      </c>
      <c r="C22" s="22" t="s">
        <v>2962</v>
      </c>
      <c r="D22" s="16" t="s">
        <v>2972</v>
      </c>
      <c r="E22" s="2" t="s">
        <v>919</v>
      </c>
      <c r="F22" s="2" t="s">
        <v>59</v>
      </c>
      <c r="G22" s="2" t="s">
        <v>2951</v>
      </c>
      <c r="H22" s="60" t="s">
        <v>2947</v>
      </c>
    </row>
    <row r="23" spans="1:8" ht="33" customHeight="1">
      <c r="A23" s="58">
        <v>18</v>
      </c>
      <c r="B23" s="59" t="s">
        <v>2944</v>
      </c>
      <c r="C23" s="22" t="s">
        <v>2962</v>
      </c>
      <c r="D23" s="16" t="s">
        <v>2973</v>
      </c>
      <c r="E23" s="2" t="s">
        <v>1038</v>
      </c>
      <c r="F23" s="2" t="s">
        <v>59</v>
      </c>
      <c r="G23" s="2" t="s">
        <v>2951</v>
      </c>
      <c r="H23" s="60" t="s">
        <v>2947</v>
      </c>
    </row>
    <row r="24" spans="1:8" ht="33" customHeight="1">
      <c r="A24" s="58">
        <v>19</v>
      </c>
      <c r="B24" s="59" t="s">
        <v>2944</v>
      </c>
      <c r="C24" s="22" t="s">
        <v>2962</v>
      </c>
      <c r="D24" s="16" t="s">
        <v>2974</v>
      </c>
      <c r="E24" s="2" t="s">
        <v>919</v>
      </c>
      <c r="F24" s="2" t="s">
        <v>59</v>
      </c>
      <c r="G24" s="2" t="s">
        <v>2951</v>
      </c>
      <c r="H24" s="60" t="s">
        <v>2947</v>
      </c>
    </row>
    <row r="25" spans="1:8" ht="33" customHeight="1">
      <c r="A25" s="58">
        <v>20</v>
      </c>
      <c r="B25" s="59" t="s">
        <v>2944</v>
      </c>
      <c r="C25" s="22" t="s">
        <v>2962</v>
      </c>
      <c r="D25" s="16" t="s">
        <v>2975</v>
      </c>
      <c r="E25" s="2" t="s">
        <v>919</v>
      </c>
      <c r="F25" s="2" t="s">
        <v>59</v>
      </c>
      <c r="G25" s="2" t="s">
        <v>2951</v>
      </c>
      <c r="H25" s="60" t="s">
        <v>2947</v>
      </c>
    </row>
    <row r="26" spans="1:8" ht="33" customHeight="1">
      <c r="A26" s="58">
        <v>21</v>
      </c>
      <c r="B26" s="59" t="s">
        <v>2944</v>
      </c>
      <c r="C26" s="22" t="s">
        <v>2962</v>
      </c>
      <c r="D26" s="16" t="s">
        <v>2976</v>
      </c>
      <c r="E26" s="2" t="s">
        <v>1038</v>
      </c>
      <c r="F26" s="2" t="s">
        <v>59</v>
      </c>
      <c r="G26" s="2" t="s">
        <v>2951</v>
      </c>
      <c r="H26" s="60" t="s">
        <v>2947</v>
      </c>
    </row>
    <row r="27" spans="1:8" ht="33" customHeight="1">
      <c r="A27" s="61">
        <v>22</v>
      </c>
      <c r="B27" s="62" t="s">
        <v>2944</v>
      </c>
      <c r="C27" s="32" t="s">
        <v>2977</v>
      </c>
      <c r="D27" s="39" t="s">
        <v>704</v>
      </c>
      <c r="E27" s="33" t="s">
        <v>686</v>
      </c>
      <c r="F27" s="33" t="s">
        <v>61</v>
      </c>
      <c r="G27" s="33" t="s">
        <v>241</v>
      </c>
      <c r="H27" s="63" t="s">
        <v>2978</v>
      </c>
    </row>
    <row r="28" spans="1:8" ht="18.45" customHeight="1">
      <c r="A28" s="58">
        <v>23</v>
      </c>
      <c r="B28" s="59" t="s">
        <v>2944</v>
      </c>
      <c r="C28" s="22" t="s">
        <v>2979</v>
      </c>
      <c r="D28" s="16" t="s">
        <v>1263</v>
      </c>
      <c r="E28" s="2" t="s">
        <v>1246</v>
      </c>
      <c r="F28" s="2" t="s">
        <v>59</v>
      </c>
      <c r="G28" s="2" t="s">
        <v>241</v>
      </c>
      <c r="H28" s="60" t="s">
        <v>2978</v>
      </c>
    </row>
    <row r="29" spans="1:8" ht="47.55" customHeight="1">
      <c r="A29" s="58">
        <v>24</v>
      </c>
      <c r="B29" s="59" t="s">
        <v>2944</v>
      </c>
      <c r="C29" s="22" t="s">
        <v>2980</v>
      </c>
      <c r="D29" s="16" t="s">
        <v>2981</v>
      </c>
      <c r="E29" s="2" t="s">
        <v>2982</v>
      </c>
      <c r="F29" s="2" t="s">
        <v>2983</v>
      </c>
      <c r="G29" s="2" t="s">
        <v>2951</v>
      </c>
      <c r="H29" s="60" t="s">
        <v>2947</v>
      </c>
    </row>
    <row r="30" spans="1:8" ht="47.55" customHeight="1">
      <c r="A30" s="61">
        <v>25</v>
      </c>
      <c r="B30" s="62" t="s">
        <v>2944</v>
      </c>
      <c r="C30" s="32" t="s">
        <v>2984</v>
      </c>
      <c r="D30" s="39" t="s">
        <v>2985</v>
      </c>
      <c r="E30" s="33" t="s">
        <v>1660</v>
      </c>
      <c r="F30" s="33" t="s">
        <v>61</v>
      </c>
      <c r="G30" s="33" t="s">
        <v>2951</v>
      </c>
      <c r="H30" s="63" t="s">
        <v>2947</v>
      </c>
    </row>
    <row r="31" spans="1:8" ht="61.95" customHeight="1">
      <c r="A31" s="61">
        <v>26</v>
      </c>
      <c r="B31" s="62" t="s">
        <v>2944</v>
      </c>
      <c r="C31" s="32" t="s">
        <v>2986</v>
      </c>
      <c r="D31" s="39" t="s">
        <v>2987</v>
      </c>
      <c r="E31" s="33" t="s">
        <v>733</v>
      </c>
      <c r="F31" s="33" t="s">
        <v>61</v>
      </c>
      <c r="G31" s="33" t="s">
        <v>2951</v>
      </c>
      <c r="H31" s="63" t="s">
        <v>2947</v>
      </c>
    </row>
    <row r="32" spans="1:8" ht="47.55" customHeight="1">
      <c r="A32" s="61">
        <v>27</v>
      </c>
      <c r="B32" s="62" t="s">
        <v>2944</v>
      </c>
      <c r="C32" s="32" t="s">
        <v>2986</v>
      </c>
      <c r="D32" s="39" t="s">
        <v>2988</v>
      </c>
      <c r="E32" s="33" t="s">
        <v>709</v>
      </c>
      <c r="F32" s="33" t="s">
        <v>61</v>
      </c>
      <c r="G32" s="33" t="s">
        <v>2951</v>
      </c>
      <c r="H32" s="63" t="s">
        <v>2947</v>
      </c>
    </row>
    <row r="33" spans="1:8" ht="33" customHeight="1">
      <c r="A33" s="61">
        <v>28</v>
      </c>
      <c r="B33" s="62" t="s">
        <v>2944</v>
      </c>
      <c r="C33" s="32" t="s">
        <v>2989</v>
      </c>
      <c r="D33" s="39" t="s">
        <v>2990</v>
      </c>
      <c r="E33" s="33" t="s">
        <v>686</v>
      </c>
      <c r="F33" s="33" t="s">
        <v>61</v>
      </c>
      <c r="G33" s="33" t="s">
        <v>244</v>
      </c>
      <c r="H33" s="63" t="s">
        <v>2947</v>
      </c>
    </row>
    <row r="34" spans="1:8" ht="47.55" customHeight="1">
      <c r="A34" s="61">
        <v>29</v>
      </c>
      <c r="B34" s="62" t="s">
        <v>2944</v>
      </c>
      <c r="C34" s="32" t="s">
        <v>2991</v>
      </c>
      <c r="D34" s="39" t="s">
        <v>2992</v>
      </c>
      <c r="E34" s="33" t="s">
        <v>964</v>
      </c>
      <c r="F34" s="33" t="s">
        <v>61</v>
      </c>
      <c r="G34" s="33" t="s">
        <v>2951</v>
      </c>
      <c r="H34" s="63" t="s">
        <v>2947</v>
      </c>
    </row>
    <row r="35" spans="1:8" ht="47.55" customHeight="1">
      <c r="A35" s="61">
        <v>30</v>
      </c>
      <c r="B35" s="62" t="s">
        <v>2944</v>
      </c>
      <c r="C35" s="32" t="s">
        <v>2991</v>
      </c>
      <c r="D35" s="39" t="s">
        <v>2993</v>
      </c>
      <c r="E35" s="33" t="s">
        <v>964</v>
      </c>
      <c r="F35" s="33" t="s">
        <v>61</v>
      </c>
      <c r="G35" s="33" t="s">
        <v>2951</v>
      </c>
      <c r="H35" s="63" t="s">
        <v>2947</v>
      </c>
    </row>
    <row r="36" spans="1:8" ht="33" customHeight="1">
      <c r="A36" s="58">
        <v>31</v>
      </c>
      <c r="B36" s="59" t="s">
        <v>2944</v>
      </c>
      <c r="C36" s="22" t="s">
        <v>2994</v>
      </c>
      <c r="D36" s="16" t="s">
        <v>2995</v>
      </c>
      <c r="E36" s="2" t="s">
        <v>815</v>
      </c>
      <c r="F36" s="2" t="s">
        <v>59</v>
      </c>
      <c r="G36" s="2" t="s">
        <v>2951</v>
      </c>
      <c r="H36" s="60" t="s">
        <v>2947</v>
      </c>
    </row>
    <row r="37" spans="1:8" ht="61.95" customHeight="1">
      <c r="A37" s="61">
        <v>32</v>
      </c>
      <c r="B37" s="62" t="s">
        <v>2944</v>
      </c>
      <c r="C37" s="32" t="s">
        <v>2996</v>
      </c>
      <c r="D37" s="39" t="s">
        <v>2997</v>
      </c>
      <c r="E37" s="33" t="s">
        <v>247</v>
      </c>
      <c r="F37" s="33" t="s">
        <v>61</v>
      </c>
      <c r="G37" s="33" t="s">
        <v>243</v>
      </c>
      <c r="H37" s="63" t="s">
        <v>2978</v>
      </c>
    </row>
    <row r="38" spans="1:8" ht="33" customHeight="1">
      <c r="A38" s="61">
        <v>33</v>
      </c>
      <c r="B38" s="62" t="s">
        <v>2944</v>
      </c>
      <c r="C38" s="32" t="s">
        <v>2998</v>
      </c>
      <c r="D38" s="39" t="s">
        <v>2999</v>
      </c>
      <c r="E38" s="33" t="s">
        <v>1588</v>
      </c>
      <c r="F38" s="33" t="s">
        <v>61</v>
      </c>
      <c r="G38" s="33" t="s">
        <v>2951</v>
      </c>
      <c r="H38" s="63" t="s">
        <v>2947</v>
      </c>
    </row>
    <row r="39" spans="1:8" ht="33" customHeight="1">
      <c r="A39" s="61">
        <v>34</v>
      </c>
      <c r="B39" s="62" t="s">
        <v>2944</v>
      </c>
      <c r="C39" s="32" t="s">
        <v>2998</v>
      </c>
      <c r="D39" s="39" t="s">
        <v>3000</v>
      </c>
      <c r="E39" s="33" t="s">
        <v>1588</v>
      </c>
      <c r="F39" s="33" t="s">
        <v>61</v>
      </c>
      <c r="G39" s="33" t="s">
        <v>2951</v>
      </c>
      <c r="H39" s="63" t="s">
        <v>2947</v>
      </c>
    </row>
    <row r="40" spans="1:8" ht="33" customHeight="1">
      <c r="A40" s="61">
        <v>35</v>
      </c>
      <c r="B40" s="62" t="s">
        <v>2944</v>
      </c>
      <c r="C40" s="32" t="s">
        <v>2998</v>
      </c>
      <c r="D40" s="39" t="s">
        <v>3001</v>
      </c>
      <c r="E40" s="33" t="s">
        <v>1588</v>
      </c>
      <c r="F40" s="33" t="s">
        <v>61</v>
      </c>
      <c r="G40" s="33" t="s">
        <v>2951</v>
      </c>
      <c r="H40" s="63" t="s">
        <v>2947</v>
      </c>
    </row>
    <row r="41" spans="1:8" ht="47.55" customHeight="1">
      <c r="A41" s="58">
        <v>36</v>
      </c>
      <c r="B41" s="59" t="s">
        <v>2944</v>
      </c>
      <c r="C41" s="22" t="s">
        <v>3002</v>
      </c>
      <c r="D41" s="16" t="s">
        <v>3003</v>
      </c>
      <c r="E41" s="2" t="s">
        <v>1409</v>
      </c>
      <c r="F41" s="2" t="s">
        <v>59</v>
      </c>
      <c r="G41" s="2" t="s">
        <v>2951</v>
      </c>
      <c r="H41" s="60" t="s">
        <v>2947</v>
      </c>
    </row>
    <row r="42" spans="1:8" ht="47.55" customHeight="1">
      <c r="A42" s="58">
        <v>37</v>
      </c>
      <c r="B42" s="59" t="s">
        <v>2944</v>
      </c>
      <c r="C42" s="22" t="s">
        <v>3002</v>
      </c>
      <c r="D42" s="16" t="s">
        <v>3004</v>
      </c>
      <c r="E42" s="2" t="s">
        <v>1533</v>
      </c>
      <c r="F42" s="2" t="s">
        <v>59</v>
      </c>
      <c r="G42" s="2" t="s">
        <v>2951</v>
      </c>
      <c r="H42" s="60" t="s">
        <v>2947</v>
      </c>
    </row>
    <row r="43" spans="1:8" ht="47.55" customHeight="1">
      <c r="A43" s="61">
        <v>38</v>
      </c>
      <c r="B43" s="62" t="s">
        <v>2944</v>
      </c>
      <c r="C43" s="32" t="s">
        <v>3002</v>
      </c>
      <c r="D43" s="39" t="s">
        <v>3005</v>
      </c>
      <c r="E43" s="33" t="s">
        <v>1520</v>
      </c>
      <c r="F43" s="33" t="s">
        <v>61</v>
      </c>
      <c r="G43" s="33" t="s">
        <v>2951</v>
      </c>
      <c r="H43" s="63" t="s">
        <v>2947</v>
      </c>
    </row>
    <row r="44" spans="1:8" ht="47.55" customHeight="1">
      <c r="A44" s="58">
        <v>39</v>
      </c>
      <c r="B44" s="59" t="s">
        <v>2944</v>
      </c>
      <c r="C44" s="22" t="s">
        <v>3002</v>
      </c>
      <c r="D44" s="16" t="s">
        <v>3006</v>
      </c>
      <c r="E44" s="2" t="s">
        <v>1304</v>
      </c>
      <c r="F44" s="2" t="s">
        <v>59</v>
      </c>
      <c r="G44" s="2" t="s">
        <v>2951</v>
      </c>
      <c r="H44" s="60" t="s">
        <v>2947</v>
      </c>
    </row>
    <row r="45" spans="1:8" ht="47.55" customHeight="1">
      <c r="A45" s="58">
        <v>40</v>
      </c>
      <c r="B45" s="59" t="s">
        <v>2944</v>
      </c>
      <c r="C45" s="22" t="s">
        <v>3002</v>
      </c>
      <c r="D45" s="16" t="s">
        <v>3007</v>
      </c>
      <c r="E45" s="2" t="s">
        <v>1507</v>
      </c>
      <c r="F45" s="2" t="s">
        <v>59</v>
      </c>
      <c r="G45" s="2" t="s">
        <v>2951</v>
      </c>
      <c r="H45" s="60" t="s">
        <v>2947</v>
      </c>
    </row>
    <row r="46" spans="1:8" ht="47.55" customHeight="1">
      <c r="A46" s="58">
        <v>41</v>
      </c>
      <c r="B46" s="59" t="s">
        <v>2944</v>
      </c>
      <c r="C46" s="22" t="s">
        <v>3002</v>
      </c>
      <c r="D46" s="16" t="s">
        <v>3008</v>
      </c>
      <c r="E46" s="2" t="s">
        <v>1321</v>
      </c>
      <c r="F46" s="2" t="s">
        <v>59</v>
      </c>
      <c r="G46" s="2" t="s">
        <v>2951</v>
      </c>
      <c r="H46" s="60" t="s">
        <v>2947</v>
      </c>
    </row>
    <row r="47" spans="1:8" ht="47.55" customHeight="1">
      <c r="A47" s="58">
        <v>42</v>
      </c>
      <c r="B47" s="59" t="s">
        <v>2944</v>
      </c>
      <c r="C47" s="22" t="s">
        <v>3002</v>
      </c>
      <c r="D47" s="16" t="s">
        <v>3009</v>
      </c>
      <c r="E47" s="2" t="s">
        <v>1268</v>
      </c>
      <c r="F47" s="2" t="s">
        <v>59</v>
      </c>
      <c r="G47" s="2" t="s">
        <v>2951</v>
      </c>
      <c r="H47" s="60" t="s">
        <v>2947</v>
      </c>
    </row>
    <row r="48" spans="1:8" ht="47.55" customHeight="1">
      <c r="A48" s="58">
        <v>43</v>
      </c>
      <c r="B48" s="59" t="s">
        <v>2944</v>
      </c>
      <c r="C48" s="22" t="s">
        <v>3002</v>
      </c>
      <c r="D48" s="16" t="s">
        <v>3010</v>
      </c>
      <c r="E48" s="2" t="s">
        <v>796</v>
      </c>
      <c r="F48" s="2" t="s">
        <v>59</v>
      </c>
      <c r="G48" s="2" t="s">
        <v>2951</v>
      </c>
      <c r="H48" s="60" t="s">
        <v>2947</v>
      </c>
    </row>
    <row r="49" spans="1:8" ht="47.55" customHeight="1">
      <c r="A49" s="61">
        <v>44</v>
      </c>
      <c r="B49" s="62" t="s">
        <v>2944</v>
      </c>
      <c r="C49" s="32" t="s">
        <v>3002</v>
      </c>
      <c r="D49" s="39" t="s">
        <v>3011</v>
      </c>
      <c r="E49" s="33" t="s">
        <v>1627</v>
      </c>
      <c r="F49" s="33" t="s">
        <v>61</v>
      </c>
      <c r="G49" s="33" t="s">
        <v>2951</v>
      </c>
      <c r="H49" s="63" t="s">
        <v>2947</v>
      </c>
    </row>
    <row r="50" spans="1:8" ht="47.55" customHeight="1">
      <c r="A50" s="58">
        <v>45</v>
      </c>
      <c r="B50" s="59" t="s">
        <v>2944</v>
      </c>
      <c r="C50" s="22" t="s">
        <v>3002</v>
      </c>
      <c r="D50" s="16" t="s">
        <v>3012</v>
      </c>
      <c r="E50" s="2" t="s">
        <v>1491</v>
      </c>
      <c r="F50" s="2" t="s">
        <v>59</v>
      </c>
      <c r="G50" s="2" t="s">
        <v>2951</v>
      </c>
      <c r="H50" s="60" t="s">
        <v>2947</v>
      </c>
    </row>
    <row r="51" spans="1:8" ht="47.55" customHeight="1">
      <c r="A51" s="58">
        <v>46</v>
      </c>
      <c r="B51" s="59" t="s">
        <v>2944</v>
      </c>
      <c r="C51" s="22" t="s">
        <v>3002</v>
      </c>
      <c r="D51" s="16" t="s">
        <v>3013</v>
      </c>
      <c r="E51" s="2" t="s">
        <v>3014</v>
      </c>
      <c r="F51" s="2" t="s">
        <v>59</v>
      </c>
      <c r="G51" s="2" t="s">
        <v>2951</v>
      </c>
      <c r="H51" s="60" t="s">
        <v>2947</v>
      </c>
    </row>
    <row r="52" spans="1:8" ht="47.55" customHeight="1">
      <c r="A52" s="58">
        <v>47</v>
      </c>
      <c r="B52" s="59" t="s">
        <v>2944</v>
      </c>
      <c r="C52" s="22" t="s">
        <v>3002</v>
      </c>
      <c r="D52" s="16" t="s">
        <v>3015</v>
      </c>
      <c r="E52" s="2" t="s">
        <v>1286</v>
      </c>
      <c r="F52" s="2" t="s">
        <v>59</v>
      </c>
      <c r="G52" s="2" t="s">
        <v>2951</v>
      </c>
      <c r="H52" s="60" t="s">
        <v>2947</v>
      </c>
    </row>
    <row r="53" spans="1:8" ht="47.55" customHeight="1">
      <c r="A53" s="58">
        <v>48</v>
      </c>
      <c r="B53" s="59" t="s">
        <v>2944</v>
      </c>
      <c r="C53" s="22" t="s">
        <v>3002</v>
      </c>
      <c r="D53" s="16" t="s">
        <v>3016</v>
      </c>
      <c r="E53" s="2" t="s">
        <v>1575</v>
      </c>
      <c r="F53" s="2" t="s">
        <v>59</v>
      </c>
      <c r="G53" s="2" t="s">
        <v>2951</v>
      </c>
      <c r="H53" s="60" t="s">
        <v>2947</v>
      </c>
    </row>
    <row r="54" spans="1:8" ht="47.55" customHeight="1">
      <c r="A54" s="58">
        <v>49</v>
      </c>
      <c r="B54" s="59" t="s">
        <v>2944</v>
      </c>
      <c r="C54" s="22" t="s">
        <v>3002</v>
      </c>
      <c r="D54" s="16" t="s">
        <v>3017</v>
      </c>
      <c r="E54" s="2" t="s">
        <v>3018</v>
      </c>
      <c r="F54" s="2" t="s">
        <v>59</v>
      </c>
      <c r="G54" s="2" t="s">
        <v>2951</v>
      </c>
      <c r="H54" s="60" t="s">
        <v>2947</v>
      </c>
    </row>
    <row r="55" spans="1:8" ht="47.55" customHeight="1">
      <c r="A55" s="58">
        <v>50</v>
      </c>
      <c r="B55" s="59" t="s">
        <v>2944</v>
      </c>
      <c r="C55" s="22" t="s">
        <v>3002</v>
      </c>
      <c r="D55" s="16" t="s">
        <v>3019</v>
      </c>
      <c r="E55" s="2" t="s">
        <v>1391</v>
      </c>
      <c r="F55" s="2" t="s">
        <v>59</v>
      </c>
      <c r="G55" s="2" t="s">
        <v>2951</v>
      </c>
      <c r="H55" s="60" t="s">
        <v>2947</v>
      </c>
    </row>
    <row r="56" spans="1:8" ht="47.55" customHeight="1">
      <c r="A56" s="58">
        <v>51</v>
      </c>
      <c r="B56" s="59" t="s">
        <v>2944</v>
      </c>
      <c r="C56" s="22" t="s">
        <v>3002</v>
      </c>
      <c r="D56" s="16" t="s">
        <v>3020</v>
      </c>
      <c r="E56" s="2" t="s">
        <v>316</v>
      </c>
      <c r="F56" s="2" t="s">
        <v>59</v>
      </c>
      <c r="G56" s="2" t="s">
        <v>2951</v>
      </c>
      <c r="H56" s="60" t="s">
        <v>2947</v>
      </c>
    </row>
    <row r="57" spans="1:8" ht="47.55" customHeight="1">
      <c r="A57" s="61">
        <v>52</v>
      </c>
      <c r="B57" s="62" t="s">
        <v>2944</v>
      </c>
      <c r="C57" s="32" t="s">
        <v>3002</v>
      </c>
      <c r="D57" s="39" t="s">
        <v>3021</v>
      </c>
      <c r="E57" s="33" t="s">
        <v>1520</v>
      </c>
      <c r="F57" s="33" t="s">
        <v>61</v>
      </c>
      <c r="G57" s="33" t="s">
        <v>2951</v>
      </c>
      <c r="H57" s="63" t="s">
        <v>2947</v>
      </c>
    </row>
    <row r="58" spans="1:8" ht="47.55" customHeight="1">
      <c r="A58" s="61">
        <v>53</v>
      </c>
      <c r="B58" s="62" t="s">
        <v>2944</v>
      </c>
      <c r="C58" s="32" t="s">
        <v>3002</v>
      </c>
      <c r="D58" s="39" t="s">
        <v>3022</v>
      </c>
      <c r="E58" s="33" t="s">
        <v>1520</v>
      </c>
      <c r="F58" s="33" t="s">
        <v>61</v>
      </c>
      <c r="G58" s="33" t="s">
        <v>2951</v>
      </c>
      <c r="H58" s="63" t="s">
        <v>2947</v>
      </c>
    </row>
    <row r="59" spans="1:8" ht="47.55" customHeight="1">
      <c r="A59" s="58">
        <v>54</v>
      </c>
      <c r="B59" s="59" t="s">
        <v>2944</v>
      </c>
      <c r="C59" s="22" t="s">
        <v>3002</v>
      </c>
      <c r="D59" s="16" t="s">
        <v>3023</v>
      </c>
      <c r="E59" s="2" t="s">
        <v>1409</v>
      </c>
      <c r="F59" s="2" t="s">
        <v>59</v>
      </c>
      <c r="G59" s="2" t="s">
        <v>2951</v>
      </c>
      <c r="H59" s="60" t="s">
        <v>2947</v>
      </c>
    </row>
    <row r="60" spans="1:8" ht="47.55" customHeight="1">
      <c r="A60" s="58">
        <v>55</v>
      </c>
      <c r="B60" s="59" t="s">
        <v>2944</v>
      </c>
      <c r="C60" s="22" t="s">
        <v>3002</v>
      </c>
      <c r="D60" s="16" t="s">
        <v>3024</v>
      </c>
      <c r="E60" s="2" t="s">
        <v>1304</v>
      </c>
      <c r="F60" s="2" t="s">
        <v>59</v>
      </c>
      <c r="G60" s="2" t="s">
        <v>2951</v>
      </c>
      <c r="H60" s="60" t="s">
        <v>2947</v>
      </c>
    </row>
    <row r="61" spans="1:8" ht="47.55" customHeight="1">
      <c r="A61" s="58">
        <v>56</v>
      </c>
      <c r="B61" s="59" t="s">
        <v>2944</v>
      </c>
      <c r="C61" s="22" t="s">
        <v>3002</v>
      </c>
      <c r="D61" s="16" t="s">
        <v>3025</v>
      </c>
      <c r="E61" s="2" t="s">
        <v>1321</v>
      </c>
      <c r="F61" s="2" t="s">
        <v>59</v>
      </c>
      <c r="G61" s="2" t="s">
        <v>241</v>
      </c>
      <c r="H61" s="60" t="s">
        <v>2978</v>
      </c>
    </row>
    <row r="62" spans="1:8" ht="47.55" customHeight="1">
      <c r="A62" s="58">
        <v>57</v>
      </c>
      <c r="B62" s="59" t="s">
        <v>2944</v>
      </c>
      <c r="C62" s="22" t="s">
        <v>3002</v>
      </c>
      <c r="D62" s="16" t="s">
        <v>3026</v>
      </c>
      <c r="E62" s="2" t="s">
        <v>1321</v>
      </c>
      <c r="F62" s="2" t="s">
        <v>59</v>
      </c>
      <c r="G62" s="2" t="s">
        <v>241</v>
      </c>
      <c r="H62" s="60" t="s">
        <v>2978</v>
      </c>
    </row>
    <row r="63" spans="1:8" ht="47.55" customHeight="1">
      <c r="A63" s="58">
        <v>58</v>
      </c>
      <c r="B63" s="59" t="s">
        <v>2944</v>
      </c>
      <c r="C63" s="22" t="s">
        <v>3002</v>
      </c>
      <c r="D63" s="16" t="s">
        <v>3027</v>
      </c>
      <c r="E63" s="2" t="s">
        <v>1507</v>
      </c>
      <c r="F63" s="2" t="s">
        <v>59</v>
      </c>
      <c r="G63" s="2" t="s">
        <v>2951</v>
      </c>
      <c r="H63" s="60" t="s">
        <v>2947</v>
      </c>
    </row>
    <row r="64" spans="1:8" ht="47.55" customHeight="1">
      <c r="A64" s="58">
        <v>59</v>
      </c>
      <c r="B64" s="59" t="s">
        <v>2944</v>
      </c>
      <c r="C64" s="22" t="s">
        <v>3002</v>
      </c>
      <c r="D64" s="16" t="s">
        <v>3028</v>
      </c>
      <c r="E64" s="2" t="s">
        <v>585</v>
      </c>
      <c r="F64" s="2" t="s">
        <v>59</v>
      </c>
      <c r="G64" s="2" t="s">
        <v>2951</v>
      </c>
      <c r="H64" s="60" t="s">
        <v>2947</v>
      </c>
    </row>
    <row r="65" spans="1:8" ht="47.55" customHeight="1">
      <c r="A65" s="58">
        <v>60</v>
      </c>
      <c r="B65" s="59" t="s">
        <v>2944</v>
      </c>
      <c r="C65" s="22" t="s">
        <v>3002</v>
      </c>
      <c r="D65" s="16" t="s">
        <v>3029</v>
      </c>
      <c r="E65" s="2" t="s">
        <v>585</v>
      </c>
      <c r="F65" s="2" t="s">
        <v>59</v>
      </c>
      <c r="G65" s="2" t="s">
        <v>2951</v>
      </c>
      <c r="H65" s="60" t="s">
        <v>2947</v>
      </c>
    </row>
    <row r="66" spans="1:8" ht="47.55" customHeight="1">
      <c r="A66" s="58">
        <v>61</v>
      </c>
      <c r="B66" s="59" t="s">
        <v>2944</v>
      </c>
      <c r="C66" s="22" t="s">
        <v>3002</v>
      </c>
      <c r="D66" s="16" t="s">
        <v>3030</v>
      </c>
      <c r="E66" s="2" t="s">
        <v>272</v>
      </c>
      <c r="F66" s="2" t="s">
        <v>59</v>
      </c>
      <c r="G66" s="2" t="s">
        <v>2951</v>
      </c>
      <c r="H66" s="60" t="s">
        <v>2947</v>
      </c>
    </row>
    <row r="67" spans="1:8" ht="47.55" customHeight="1">
      <c r="A67" s="58">
        <v>62</v>
      </c>
      <c r="B67" s="59" t="s">
        <v>2944</v>
      </c>
      <c r="C67" s="22" t="s">
        <v>3002</v>
      </c>
      <c r="D67" s="16" t="s">
        <v>3031</v>
      </c>
      <c r="E67" s="2" t="s">
        <v>272</v>
      </c>
      <c r="F67" s="2" t="s">
        <v>59</v>
      </c>
      <c r="G67" s="2" t="s">
        <v>2951</v>
      </c>
      <c r="H67" s="60" t="s">
        <v>2947</v>
      </c>
    </row>
    <row r="68" spans="1:8" ht="47.55" customHeight="1">
      <c r="A68" s="58">
        <v>63</v>
      </c>
      <c r="B68" s="59" t="s">
        <v>2944</v>
      </c>
      <c r="C68" s="22" t="s">
        <v>3002</v>
      </c>
      <c r="D68" s="16" t="s">
        <v>3032</v>
      </c>
      <c r="E68" s="2" t="s">
        <v>272</v>
      </c>
      <c r="F68" s="2" t="s">
        <v>59</v>
      </c>
      <c r="G68" s="2" t="s">
        <v>2951</v>
      </c>
      <c r="H68" s="60" t="s">
        <v>2947</v>
      </c>
    </row>
    <row r="69" spans="1:8" ht="47.55" customHeight="1">
      <c r="A69" s="58">
        <v>64</v>
      </c>
      <c r="B69" s="59" t="s">
        <v>2944</v>
      </c>
      <c r="C69" s="22" t="s">
        <v>3002</v>
      </c>
      <c r="D69" s="16" t="s">
        <v>3033</v>
      </c>
      <c r="E69" s="2" t="s">
        <v>834</v>
      </c>
      <c r="F69" s="2" t="s">
        <v>59</v>
      </c>
      <c r="G69" s="2" t="s">
        <v>2951</v>
      </c>
      <c r="H69" s="60" t="s">
        <v>2947</v>
      </c>
    </row>
    <row r="70" spans="1:8" ht="47.55" customHeight="1">
      <c r="A70" s="58">
        <v>65</v>
      </c>
      <c r="B70" s="59" t="s">
        <v>2944</v>
      </c>
      <c r="C70" s="22" t="s">
        <v>3002</v>
      </c>
      <c r="D70" s="16" t="s">
        <v>3034</v>
      </c>
      <c r="E70" s="2" t="s">
        <v>834</v>
      </c>
      <c r="F70" s="2" t="s">
        <v>59</v>
      </c>
      <c r="G70" s="2" t="s">
        <v>2951</v>
      </c>
      <c r="H70" s="60" t="s">
        <v>2947</v>
      </c>
    </row>
    <row r="71" spans="1:8" ht="47.55" customHeight="1">
      <c r="A71" s="58">
        <v>66</v>
      </c>
      <c r="B71" s="59" t="s">
        <v>2944</v>
      </c>
      <c r="C71" s="22" t="s">
        <v>3002</v>
      </c>
      <c r="D71" s="16" t="s">
        <v>3035</v>
      </c>
      <c r="E71" s="2" t="s">
        <v>834</v>
      </c>
      <c r="F71" s="2" t="s">
        <v>59</v>
      </c>
      <c r="G71" s="2" t="s">
        <v>2951</v>
      </c>
      <c r="H71" s="60" t="s">
        <v>2947</v>
      </c>
    </row>
    <row r="72" spans="1:8" ht="47.55" customHeight="1">
      <c r="A72" s="61">
        <v>67</v>
      </c>
      <c r="B72" s="62" t="s">
        <v>2944</v>
      </c>
      <c r="C72" s="32" t="s">
        <v>3002</v>
      </c>
      <c r="D72" s="39" t="s">
        <v>3036</v>
      </c>
      <c r="E72" s="33" t="s">
        <v>1124</v>
      </c>
      <c r="F72" s="33" t="s">
        <v>61</v>
      </c>
      <c r="G72" s="33" t="s">
        <v>2951</v>
      </c>
      <c r="H72" s="63" t="s">
        <v>2947</v>
      </c>
    </row>
    <row r="73" spans="1:8" ht="47.55" customHeight="1">
      <c r="A73" s="58">
        <v>68</v>
      </c>
      <c r="B73" s="59" t="s">
        <v>2944</v>
      </c>
      <c r="C73" s="22" t="s">
        <v>3002</v>
      </c>
      <c r="D73" s="16" t="s">
        <v>3037</v>
      </c>
      <c r="E73" s="2" t="s">
        <v>1562</v>
      </c>
      <c r="F73" s="2" t="s">
        <v>59</v>
      </c>
      <c r="G73" s="2" t="s">
        <v>2951</v>
      </c>
      <c r="H73" s="60" t="s">
        <v>2947</v>
      </c>
    </row>
    <row r="74" spans="1:8" ht="47.55" customHeight="1">
      <c r="A74" s="58">
        <v>69</v>
      </c>
      <c r="B74" s="59" t="s">
        <v>2944</v>
      </c>
      <c r="C74" s="22" t="s">
        <v>3002</v>
      </c>
      <c r="D74" s="16" t="s">
        <v>3038</v>
      </c>
      <c r="E74" s="2" t="s">
        <v>649</v>
      </c>
      <c r="F74" s="2" t="s">
        <v>59</v>
      </c>
      <c r="G74" s="2" t="s">
        <v>2951</v>
      </c>
      <c r="H74" s="60" t="s">
        <v>2947</v>
      </c>
    </row>
    <row r="75" spans="1:8" ht="47.55" customHeight="1">
      <c r="A75" s="58">
        <v>70</v>
      </c>
      <c r="B75" s="59" t="s">
        <v>2944</v>
      </c>
      <c r="C75" s="22" t="s">
        <v>3002</v>
      </c>
      <c r="D75" s="16" t="s">
        <v>3039</v>
      </c>
      <c r="E75" s="2" t="s">
        <v>528</v>
      </c>
      <c r="F75" s="2" t="s">
        <v>59</v>
      </c>
      <c r="G75" s="2" t="s">
        <v>2951</v>
      </c>
      <c r="H75" s="60" t="s">
        <v>2947</v>
      </c>
    </row>
    <row r="76" spans="1:8" ht="47.55" customHeight="1">
      <c r="A76" s="58">
        <v>71</v>
      </c>
      <c r="B76" s="59" t="s">
        <v>2944</v>
      </c>
      <c r="C76" s="22" t="s">
        <v>3002</v>
      </c>
      <c r="D76" s="16" t="s">
        <v>3040</v>
      </c>
      <c r="E76" s="2" t="s">
        <v>566</v>
      </c>
      <c r="F76" s="2" t="s">
        <v>59</v>
      </c>
      <c r="G76" s="2" t="s">
        <v>2951</v>
      </c>
      <c r="H76" s="60" t="s">
        <v>2947</v>
      </c>
    </row>
    <row r="77" spans="1:8" ht="47.55" customHeight="1">
      <c r="A77" s="58">
        <v>72</v>
      </c>
      <c r="B77" s="59" t="s">
        <v>2944</v>
      </c>
      <c r="C77" s="22" t="s">
        <v>3002</v>
      </c>
      <c r="D77" s="16" t="s">
        <v>3041</v>
      </c>
      <c r="E77" s="2" t="s">
        <v>566</v>
      </c>
      <c r="F77" s="2" t="s">
        <v>59</v>
      </c>
      <c r="G77" s="2" t="s">
        <v>2951</v>
      </c>
      <c r="H77" s="60" t="s">
        <v>2947</v>
      </c>
    </row>
    <row r="78" spans="1:8" ht="47.55" customHeight="1">
      <c r="A78" s="58">
        <v>73</v>
      </c>
      <c r="B78" s="59" t="s">
        <v>2944</v>
      </c>
      <c r="C78" s="22" t="s">
        <v>3002</v>
      </c>
      <c r="D78" s="16" t="s">
        <v>3042</v>
      </c>
      <c r="E78" s="2" t="s">
        <v>566</v>
      </c>
      <c r="F78" s="2" t="s">
        <v>59</v>
      </c>
      <c r="G78" s="2" t="s">
        <v>2951</v>
      </c>
      <c r="H78" s="60" t="s">
        <v>2947</v>
      </c>
    </row>
    <row r="79" spans="1:8" ht="47.55" customHeight="1">
      <c r="A79" s="58">
        <v>74</v>
      </c>
      <c r="B79" s="59" t="s">
        <v>2944</v>
      </c>
      <c r="C79" s="22" t="s">
        <v>3002</v>
      </c>
      <c r="D79" s="16" t="s">
        <v>3043</v>
      </c>
      <c r="E79" s="2" t="s">
        <v>1091</v>
      </c>
      <c r="F79" s="2" t="s">
        <v>59</v>
      </c>
      <c r="G79" s="2" t="s">
        <v>2951</v>
      </c>
      <c r="H79" s="60" t="s">
        <v>2947</v>
      </c>
    </row>
    <row r="80" spans="1:8" ht="47.55" customHeight="1">
      <c r="A80" s="58">
        <v>75</v>
      </c>
      <c r="B80" s="59" t="s">
        <v>2944</v>
      </c>
      <c r="C80" s="22" t="s">
        <v>3002</v>
      </c>
      <c r="D80" s="16" t="s">
        <v>3044</v>
      </c>
      <c r="E80" s="2" t="s">
        <v>1091</v>
      </c>
      <c r="F80" s="2" t="s">
        <v>59</v>
      </c>
      <c r="G80" s="2" t="s">
        <v>2951</v>
      </c>
      <c r="H80" s="60" t="s">
        <v>2947</v>
      </c>
    </row>
    <row r="81" spans="1:8" ht="47.55" customHeight="1">
      <c r="A81" s="58">
        <v>76</v>
      </c>
      <c r="B81" s="59" t="s">
        <v>2944</v>
      </c>
      <c r="C81" s="22" t="s">
        <v>3002</v>
      </c>
      <c r="D81" s="16" t="s">
        <v>3045</v>
      </c>
      <c r="E81" s="2" t="s">
        <v>1073</v>
      </c>
      <c r="F81" s="2" t="s">
        <v>59</v>
      </c>
      <c r="G81" s="2" t="s">
        <v>2951</v>
      </c>
      <c r="H81" s="60" t="s">
        <v>2947</v>
      </c>
    </row>
    <row r="82" spans="1:8" ht="47.55" customHeight="1">
      <c r="A82" s="58">
        <v>77</v>
      </c>
      <c r="B82" s="59" t="s">
        <v>2944</v>
      </c>
      <c r="C82" s="22" t="s">
        <v>3002</v>
      </c>
      <c r="D82" s="16" t="s">
        <v>3046</v>
      </c>
      <c r="E82" s="2" t="s">
        <v>666</v>
      </c>
      <c r="F82" s="2" t="s">
        <v>59</v>
      </c>
      <c r="G82" s="2" t="s">
        <v>2951</v>
      </c>
      <c r="H82" s="60" t="s">
        <v>2947</v>
      </c>
    </row>
    <row r="83" spans="1:8" ht="47.55" customHeight="1">
      <c r="A83" s="58">
        <v>78</v>
      </c>
      <c r="B83" s="59" t="s">
        <v>2944</v>
      </c>
      <c r="C83" s="22" t="s">
        <v>3002</v>
      </c>
      <c r="D83" s="16" t="s">
        <v>3047</v>
      </c>
      <c r="E83" s="2" t="s">
        <v>666</v>
      </c>
      <c r="F83" s="2" t="s">
        <v>59</v>
      </c>
      <c r="G83" s="2" t="s">
        <v>2951</v>
      </c>
      <c r="H83" s="60" t="s">
        <v>2947</v>
      </c>
    </row>
    <row r="84" spans="1:8" ht="47.55" customHeight="1">
      <c r="A84" s="58">
        <v>79</v>
      </c>
      <c r="B84" s="59" t="s">
        <v>2944</v>
      </c>
      <c r="C84" s="22" t="s">
        <v>3002</v>
      </c>
      <c r="D84" s="16" t="s">
        <v>3048</v>
      </c>
      <c r="E84" s="2" t="s">
        <v>505</v>
      </c>
      <c r="F84" s="2" t="s">
        <v>59</v>
      </c>
      <c r="G84" s="2" t="s">
        <v>2951</v>
      </c>
      <c r="H84" s="60" t="s">
        <v>2947</v>
      </c>
    </row>
    <row r="85" spans="1:8" ht="47.55" customHeight="1">
      <c r="A85" s="58">
        <v>80</v>
      </c>
      <c r="B85" s="59" t="s">
        <v>2944</v>
      </c>
      <c r="C85" s="22" t="s">
        <v>3002</v>
      </c>
      <c r="D85" s="16" t="s">
        <v>3049</v>
      </c>
      <c r="E85" s="2" t="s">
        <v>505</v>
      </c>
      <c r="F85" s="2" t="s">
        <v>59</v>
      </c>
      <c r="G85" s="2" t="s">
        <v>2951</v>
      </c>
      <c r="H85" s="60" t="s">
        <v>2947</v>
      </c>
    </row>
    <row r="86" spans="1:8" ht="47.55" customHeight="1">
      <c r="A86" s="58">
        <v>81</v>
      </c>
      <c r="B86" s="59" t="s">
        <v>2944</v>
      </c>
      <c r="C86" s="22" t="s">
        <v>3002</v>
      </c>
      <c r="D86" s="16" t="s">
        <v>3050</v>
      </c>
      <c r="E86" s="2" t="s">
        <v>505</v>
      </c>
      <c r="F86" s="2" t="s">
        <v>59</v>
      </c>
      <c r="G86" s="2" t="s">
        <v>2951</v>
      </c>
      <c r="H86" s="60" t="s">
        <v>2947</v>
      </c>
    </row>
    <row r="87" spans="1:8" ht="47.55" customHeight="1">
      <c r="A87" s="58">
        <v>82</v>
      </c>
      <c r="B87" s="59" t="s">
        <v>2944</v>
      </c>
      <c r="C87" s="22" t="s">
        <v>3002</v>
      </c>
      <c r="D87" s="16" t="s">
        <v>3051</v>
      </c>
      <c r="E87" s="2" t="s">
        <v>1020</v>
      </c>
      <c r="F87" s="2" t="s">
        <v>59</v>
      </c>
      <c r="G87" s="2" t="s">
        <v>2951</v>
      </c>
      <c r="H87" s="60" t="s">
        <v>2947</v>
      </c>
    </row>
    <row r="88" spans="1:8" ht="47.55" customHeight="1">
      <c r="A88" s="58">
        <v>83</v>
      </c>
      <c r="B88" s="59" t="s">
        <v>2944</v>
      </c>
      <c r="C88" s="22" t="s">
        <v>3002</v>
      </c>
      <c r="D88" s="16" t="s">
        <v>3052</v>
      </c>
      <c r="E88" s="2" t="s">
        <v>1002</v>
      </c>
      <c r="F88" s="2" t="s">
        <v>59</v>
      </c>
      <c r="G88" s="2" t="s">
        <v>2951</v>
      </c>
      <c r="H88" s="60" t="s">
        <v>2947</v>
      </c>
    </row>
    <row r="89" spans="1:8" ht="47.55" customHeight="1">
      <c r="A89" s="58">
        <v>84</v>
      </c>
      <c r="B89" s="59" t="s">
        <v>2944</v>
      </c>
      <c r="C89" s="22" t="s">
        <v>3002</v>
      </c>
      <c r="D89" s="16" t="s">
        <v>3053</v>
      </c>
      <c r="E89" s="2" t="s">
        <v>1491</v>
      </c>
      <c r="F89" s="2" t="s">
        <v>59</v>
      </c>
      <c r="G89" s="2" t="s">
        <v>2951</v>
      </c>
      <c r="H89" s="60" t="s">
        <v>2947</v>
      </c>
    </row>
    <row r="90" spans="1:8" ht="47.55" customHeight="1">
      <c r="A90" s="58">
        <v>85</v>
      </c>
      <c r="B90" s="59" t="s">
        <v>2944</v>
      </c>
      <c r="C90" s="22" t="s">
        <v>3002</v>
      </c>
      <c r="D90" s="16" t="s">
        <v>3054</v>
      </c>
      <c r="E90" s="2" t="s">
        <v>1111</v>
      </c>
      <c r="F90" s="2" t="s">
        <v>59</v>
      </c>
      <c r="G90" s="2" t="s">
        <v>2951</v>
      </c>
      <c r="H90" s="60" t="s">
        <v>2947</v>
      </c>
    </row>
    <row r="91" spans="1:8" ht="47.55" customHeight="1">
      <c r="A91" s="58">
        <v>86</v>
      </c>
      <c r="B91" s="59" t="s">
        <v>2944</v>
      </c>
      <c r="C91" s="22" t="s">
        <v>3002</v>
      </c>
      <c r="D91" s="16" t="s">
        <v>3055</v>
      </c>
      <c r="E91" s="2" t="s">
        <v>1547</v>
      </c>
      <c r="F91" s="2" t="s">
        <v>59</v>
      </c>
      <c r="G91" s="2" t="s">
        <v>2951</v>
      </c>
      <c r="H91" s="60" t="s">
        <v>2947</v>
      </c>
    </row>
    <row r="92" spans="1:8" ht="47.55" customHeight="1">
      <c r="A92" s="58">
        <v>87</v>
      </c>
      <c r="B92" s="59" t="s">
        <v>2944</v>
      </c>
      <c r="C92" s="22" t="s">
        <v>3002</v>
      </c>
      <c r="D92" s="16" t="s">
        <v>3056</v>
      </c>
      <c r="E92" s="2" t="s">
        <v>1359</v>
      </c>
      <c r="F92" s="2" t="s">
        <v>59</v>
      </c>
      <c r="G92" s="2" t="s">
        <v>2951</v>
      </c>
      <c r="H92" s="60" t="s">
        <v>2947</v>
      </c>
    </row>
    <row r="93" spans="1:8" ht="47.55" customHeight="1">
      <c r="A93" s="58">
        <v>88</v>
      </c>
      <c r="B93" s="59" t="s">
        <v>2944</v>
      </c>
      <c r="C93" s="22" t="s">
        <v>3002</v>
      </c>
      <c r="D93" s="16" t="s">
        <v>3057</v>
      </c>
      <c r="E93" s="2" t="s">
        <v>1286</v>
      </c>
      <c r="F93" s="2" t="s">
        <v>59</v>
      </c>
      <c r="G93" s="2" t="s">
        <v>2951</v>
      </c>
      <c r="H93" s="60" t="s">
        <v>2947</v>
      </c>
    </row>
    <row r="94" spans="1:8" ht="47.55" customHeight="1">
      <c r="A94" s="58">
        <v>89</v>
      </c>
      <c r="B94" s="59" t="s">
        <v>2944</v>
      </c>
      <c r="C94" s="22" t="s">
        <v>3058</v>
      </c>
      <c r="D94" s="16" t="s">
        <v>3059</v>
      </c>
      <c r="E94" s="2" t="s">
        <v>3060</v>
      </c>
      <c r="F94" s="2" t="s">
        <v>2983</v>
      </c>
      <c r="G94" s="2" t="s">
        <v>244</v>
      </c>
      <c r="H94" s="60" t="s">
        <v>2947</v>
      </c>
    </row>
    <row r="95" spans="1:8" ht="33" customHeight="1">
      <c r="A95" s="61">
        <v>90</v>
      </c>
      <c r="B95" s="62" t="s">
        <v>2944</v>
      </c>
      <c r="C95" s="32" t="s">
        <v>3061</v>
      </c>
      <c r="D95" s="39" t="s">
        <v>3062</v>
      </c>
      <c r="E95" s="33" t="s">
        <v>709</v>
      </c>
      <c r="F95" s="33" t="s">
        <v>61</v>
      </c>
      <c r="G95" s="33" t="s">
        <v>2951</v>
      </c>
      <c r="H95" s="63" t="s">
        <v>2947</v>
      </c>
    </row>
    <row r="96" spans="1:8" ht="33" customHeight="1">
      <c r="A96" s="61">
        <v>91</v>
      </c>
      <c r="B96" s="62" t="s">
        <v>2944</v>
      </c>
      <c r="C96" s="32" t="s">
        <v>3061</v>
      </c>
      <c r="D96" s="39" t="s">
        <v>3063</v>
      </c>
      <c r="E96" s="33" t="s">
        <v>709</v>
      </c>
      <c r="F96" s="33" t="s">
        <v>61</v>
      </c>
      <c r="G96" s="33" t="s">
        <v>2951</v>
      </c>
      <c r="H96" s="63" t="s">
        <v>2947</v>
      </c>
    </row>
    <row r="97" spans="1:8" ht="33" customHeight="1">
      <c r="A97" s="61">
        <v>92</v>
      </c>
      <c r="B97" s="62" t="s">
        <v>2944</v>
      </c>
      <c r="C97" s="32" t="s">
        <v>3061</v>
      </c>
      <c r="D97" s="39" t="s">
        <v>3064</v>
      </c>
      <c r="E97" s="33" t="s">
        <v>709</v>
      </c>
      <c r="F97" s="33" t="s">
        <v>61</v>
      </c>
      <c r="G97" s="33" t="s">
        <v>2951</v>
      </c>
      <c r="H97" s="63" t="s">
        <v>2947</v>
      </c>
    </row>
    <row r="98" spans="1:8" ht="33" customHeight="1">
      <c r="A98" s="61">
        <v>93</v>
      </c>
      <c r="B98" s="62" t="s">
        <v>2944</v>
      </c>
      <c r="C98" s="32" t="s">
        <v>3061</v>
      </c>
      <c r="D98" s="39" t="s">
        <v>3065</v>
      </c>
      <c r="E98" s="33" t="s">
        <v>709</v>
      </c>
      <c r="F98" s="33" t="s">
        <v>61</v>
      </c>
      <c r="G98" s="33" t="s">
        <v>241</v>
      </c>
      <c r="H98" s="63" t="s">
        <v>2978</v>
      </c>
    </row>
    <row r="99" spans="1:8" ht="33" customHeight="1">
      <c r="A99" s="61">
        <v>94</v>
      </c>
      <c r="B99" s="62" t="s">
        <v>2944</v>
      </c>
      <c r="C99" s="32" t="s">
        <v>3061</v>
      </c>
      <c r="D99" s="39" t="s">
        <v>3066</v>
      </c>
      <c r="E99" s="33" t="s">
        <v>709</v>
      </c>
      <c r="F99" s="33" t="s">
        <v>61</v>
      </c>
      <c r="G99" s="33" t="s">
        <v>2951</v>
      </c>
      <c r="H99" s="63" t="s">
        <v>2947</v>
      </c>
    </row>
    <row r="100" spans="1:8" ht="33" customHeight="1">
      <c r="A100" s="61">
        <v>95</v>
      </c>
      <c r="B100" s="62" t="s">
        <v>2944</v>
      </c>
      <c r="C100" s="32" t="s">
        <v>3061</v>
      </c>
      <c r="D100" s="39" t="s">
        <v>3067</v>
      </c>
      <c r="E100" s="33" t="s">
        <v>709</v>
      </c>
      <c r="F100" s="33" t="s">
        <v>61</v>
      </c>
      <c r="G100" s="33" t="s">
        <v>2951</v>
      </c>
      <c r="H100" s="63" t="s">
        <v>2947</v>
      </c>
    </row>
    <row r="101" spans="1:8" ht="47.55" customHeight="1">
      <c r="A101" s="61">
        <v>96</v>
      </c>
      <c r="B101" s="62" t="s">
        <v>2944</v>
      </c>
      <c r="C101" s="32" t="s">
        <v>3061</v>
      </c>
      <c r="D101" s="39" t="s">
        <v>3068</v>
      </c>
      <c r="E101" s="33" t="s">
        <v>709</v>
      </c>
      <c r="F101" s="33" t="s">
        <v>61</v>
      </c>
      <c r="G101" s="33" t="s">
        <v>2951</v>
      </c>
      <c r="H101" s="63" t="s">
        <v>2947</v>
      </c>
    </row>
    <row r="102" spans="1:8" ht="47.55" customHeight="1">
      <c r="A102" s="58">
        <v>97</v>
      </c>
      <c r="B102" s="59" t="s">
        <v>2944</v>
      </c>
      <c r="C102" s="22" t="s">
        <v>3069</v>
      </c>
      <c r="D102" s="16" t="s">
        <v>3070</v>
      </c>
      <c r="E102" s="2" t="s">
        <v>1038</v>
      </c>
      <c r="F102" s="2" t="s">
        <v>59</v>
      </c>
      <c r="G102" s="2" t="s">
        <v>2951</v>
      </c>
      <c r="H102" s="60" t="s">
        <v>2947</v>
      </c>
    </row>
    <row r="103" spans="1:8" ht="33" customHeight="1">
      <c r="A103" s="61">
        <v>98</v>
      </c>
      <c r="B103" s="62" t="s">
        <v>2944</v>
      </c>
      <c r="C103" s="32" t="s">
        <v>3071</v>
      </c>
      <c r="D103" s="39" t="s">
        <v>3072</v>
      </c>
      <c r="E103" s="33" t="s">
        <v>439</v>
      </c>
      <c r="F103" s="33" t="s">
        <v>61</v>
      </c>
      <c r="G103" s="33" t="s">
        <v>2951</v>
      </c>
      <c r="H103" s="63" t="s">
        <v>2947</v>
      </c>
    </row>
    <row r="104" spans="1:8" ht="33" customHeight="1">
      <c r="A104" s="61">
        <v>99</v>
      </c>
      <c r="B104" s="62" t="s">
        <v>2944</v>
      </c>
      <c r="C104" s="32" t="s">
        <v>3071</v>
      </c>
      <c r="D104" s="39" t="s">
        <v>3073</v>
      </c>
      <c r="E104" s="33" t="s">
        <v>1588</v>
      </c>
      <c r="F104" s="33" t="s">
        <v>61</v>
      </c>
      <c r="G104" s="33" t="s">
        <v>2951</v>
      </c>
      <c r="H104" s="63" t="s">
        <v>2947</v>
      </c>
    </row>
    <row r="105" spans="1:8" ht="33" customHeight="1">
      <c r="A105" s="61">
        <v>100</v>
      </c>
      <c r="B105" s="62" t="s">
        <v>2944</v>
      </c>
      <c r="C105" s="32" t="s">
        <v>3071</v>
      </c>
      <c r="D105" s="39" t="s">
        <v>3074</v>
      </c>
      <c r="E105" s="33" t="s">
        <v>1588</v>
      </c>
      <c r="F105" s="33" t="s">
        <v>61</v>
      </c>
      <c r="G105" s="33" t="s">
        <v>2951</v>
      </c>
      <c r="H105" s="63" t="s">
        <v>2947</v>
      </c>
    </row>
    <row r="106" spans="1:8" ht="33" customHeight="1">
      <c r="A106" s="61">
        <v>101</v>
      </c>
      <c r="B106" s="62" t="s">
        <v>2944</v>
      </c>
      <c r="C106" s="32" t="s">
        <v>3071</v>
      </c>
      <c r="D106" s="39" t="s">
        <v>3075</v>
      </c>
      <c r="E106" s="33" t="s">
        <v>3076</v>
      </c>
      <c r="F106" s="33" t="s">
        <v>61</v>
      </c>
      <c r="G106" s="33" t="s">
        <v>2951</v>
      </c>
      <c r="H106" s="63" t="s">
        <v>2947</v>
      </c>
    </row>
    <row r="107" spans="1:8" ht="47.55" customHeight="1">
      <c r="A107" s="61">
        <v>102</v>
      </c>
      <c r="B107" s="62" t="s">
        <v>2944</v>
      </c>
      <c r="C107" s="32" t="s">
        <v>3071</v>
      </c>
      <c r="D107" s="39" t="s">
        <v>3077</v>
      </c>
      <c r="E107" s="33" t="s">
        <v>439</v>
      </c>
      <c r="F107" s="33" t="s">
        <v>61</v>
      </c>
      <c r="G107" s="33" t="s">
        <v>2951</v>
      </c>
      <c r="H107" s="63" t="s">
        <v>2947</v>
      </c>
    </row>
    <row r="108" spans="1:8" ht="33" customHeight="1">
      <c r="A108" s="61">
        <v>103</v>
      </c>
      <c r="B108" s="62" t="s">
        <v>2944</v>
      </c>
      <c r="C108" s="32" t="s">
        <v>3071</v>
      </c>
      <c r="D108" s="39" t="s">
        <v>3078</v>
      </c>
      <c r="E108" s="33" t="s">
        <v>3079</v>
      </c>
      <c r="F108" s="33" t="s">
        <v>61</v>
      </c>
      <c r="G108" s="33" t="s">
        <v>2951</v>
      </c>
      <c r="H108" s="63" t="s">
        <v>2947</v>
      </c>
    </row>
    <row r="109" spans="1:8" ht="47.55" customHeight="1">
      <c r="A109" s="58">
        <v>104</v>
      </c>
      <c r="B109" s="59" t="s">
        <v>2944</v>
      </c>
      <c r="C109" s="22" t="s">
        <v>3080</v>
      </c>
      <c r="D109" s="16" t="s">
        <v>3081</v>
      </c>
      <c r="E109" s="2" t="s">
        <v>1038</v>
      </c>
      <c r="F109" s="2" t="s">
        <v>59</v>
      </c>
      <c r="G109" s="2" t="s">
        <v>2951</v>
      </c>
      <c r="H109" s="60" t="s">
        <v>2947</v>
      </c>
    </row>
    <row r="110" spans="1:8" ht="47.55" customHeight="1">
      <c r="A110" s="58">
        <v>105</v>
      </c>
      <c r="B110" s="59" t="s">
        <v>2944</v>
      </c>
      <c r="C110" s="22" t="s">
        <v>3080</v>
      </c>
      <c r="D110" s="16" t="s">
        <v>3082</v>
      </c>
      <c r="E110" s="2" t="s">
        <v>919</v>
      </c>
      <c r="F110" s="2" t="s">
        <v>59</v>
      </c>
      <c r="G110" s="2" t="s">
        <v>2951</v>
      </c>
      <c r="H110" s="60" t="s">
        <v>2947</v>
      </c>
    </row>
    <row r="111" spans="1:8" ht="47.55" customHeight="1">
      <c r="A111" s="58">
        <v>106</v>
      </c>
      <c r="B111" s="59" t="s">
        <v>2944</v>
      </c>
      <c r="C111" s="22" t="s">
        <v>3080</v>
      </c>
      <c r="D111" s="16" t="s">
        <v>3083</v>
      </c>
      <c r="E111" s="2" t="s">
        <v>919</v>
      </c>
      <c r="F111" s="2" t="s">
        <v>59</v>
      </c>
      <c r="G111" s="2" t="s">
        <v>2951</v>
      </c>
      <c r="H111" s="60" t="s">
        <v>2947</v>
      </c>
    </row>
    <row r="112" spans="1:8" ht="47.55" customHeight="1">
      <c r="A112" s="58">
        <v>107</v>
      </c>
      <c r="B112" s="59" t="s">
        <v>2944</v>
      </c>
      <c r="C112" s="22" t="s">
        <v>3080</v>
      </c>
      <c r="D112" s="16" t="s">
        <v>3084</v>
      </c>
      <c r="E112" s="2" t="s">
        <v>1038</v>
      </c>
      <c r="F112" s="2" t="s">
        <v>59</v>
      </c>
      <c r="G112" s="2" t="s">
        <v>2951</v>
      </c>
      <c r="H112" s="60" t="s">
        <v>2947</v>
      </c>
    </row>
    <row r="113" spans="1:8" ht="47.55" customHeight="1">
      <c r="A113" s="58">
        <v>108</v>
      </c>
      <c r="B113" s="59" t="s">
        <v>2944</v>
      </c>
      <c r="C113" s="22" t="s">
        <v>3080</v>
      </c>
      <c r="D113" s="16" t="s">
        <v>3085</v>
      </c>
      <c r="E113" s="2" t="s">
        <v>1038</v>
      </c>
      <c r="F113" s="2" t="s">
        <v>59</v>
      </c>
      <c r="G113" s="2" t="s">
        <v>2951</v>
      </c>
      <c r="H113" s="60" t="s">
        <v>2947</v>
      </c>
    </row>
    <row r="114" spans="1:8" ht="47.55" customHeight="1">
      <c r="A114" s="58">
        <v>109</v>
      </c>
      <c r="B114" s="59" t="s">
        <v>2944</v>
      </c>
      <c r="C114" s="22" t="s">
        <v>3086</v>
      </c>
      <c r="D114" s="16" t="s">
        <v>3087</v>
      </c>
      <c r="E114" s="2" t="s">
        <v>606</v>
      </c>
      <c r="F114" s="2" t="s">
        <v>59</v>
      </c>
      <c r="G114" s="2" t="s">
        <v>2951</v>
      </c>
      <c r="H114" s="60" t="s">
        <v>2947</v>
      </c>
    </row>
    <row r="115" spans="1:8" ht="76.5" customHeight="1">
      <c r="A115" s="58">
        <v>110</v>
      </c>
      <c r="B115" s="59" t="s">
        <v>2944</v>
      </c>
      <c r="C115" s="22" t="s">
        <v>3086</v>
      </c>
      <c r="D115" s="16" t="s">
        <v>3088</v>
      </c>
      <c r="E115" s="2" t="s">
        <v>3089</v>
      </c>
      <c r="F115" s="2" t="s">
        <v>2983</v>
      </c>
      <c r="G115" s="2" t="s">
        <v>241</v>
      </c>
      <c r="H115" s="60" t="s">
        <v>2978</v>
      </c>
    </row>
    <row r="116" spans="1:8" ht="47.55" customHeight="1">
      <c r="A116" s="58">
        <v>111</v>
      </c>
      <c r="B116" s="59" t="s">
        <v>2944</v>
      </c>
      <c r="C116" s="22" t="s">
        <v>3086</v>
      </c>
      <c r="D116" s="16" t="s">
        <v>3090</v>
      </c>
      <c r="E116" s="2" t="s">
        <v>1424</v>
      </c>
      <c r="F116" s="2" t="s">
        <v>59</v>
      </c>
      <c r="G116" s="2" t="s">
        <v>2951</v>
      </c>
      <c r="H116" s="60" t="s">
        <v>2947</v>
      </c>
    </row>
    <row r="117" spans="1:8" ht="47.55" customHeight="1">
      <c r="A117" s="58">
        <v>112</v>
      </c>
      <c r="B117" s="59" t="s">
        <v>2944</v>
      </c>
      <c r="C117" s="22" t="s">
        <v>3086</v>
      </c>
      <c r="D117" s="16" t="s">
        <v>3091</v>
      </c>
      <c r="E117" s="2" t="s">
        <v>1442</v>
      </c>
      <c r="F117" s="2" t="s">
        <v>59</v>
      </c>
      <c r="G117" s="2" t="s">
        <v>2951</v>
      </c>
      <c r="H117" s="60" t="s">
        <v>2947</v>
      </c>
    </row>
    <row r="118" spans="1:8" ht="47.55" customHeight="1">
      <c r="A118" s="58">
        <v>113</v>
      </c>
      <c r="B118" s="59" t="s">
        <v>2944</v>
      </c>
      <c r="C118" s="22" t="s">
        <v>3086</v>
      </c>
      <c r="D118" s="16" t="s">
        <v>3092</v>
      </c>
      <c r="E118" s="2" t="s">
        <v>606</v>
      </c>
      <c r="F118" s="2" t="s">
        <v>59</v>
      </c>
      <c r="G118" s="2" t="s">
        <v>2951</v>
      </c>
      <c r="H118" s="60" t="s">
        <v>2947</v>
      </c>
    </row>
    <row r="119" spans="1:8" ht="47.55" customHeight="1">
      <c r="A119" s="58">
        <v>114</v>
      </c>
      <c r="B119" s="59" t="s">
        <v>2944</v>
      </c>
      <c r="C119" s="22" t="s">
        <v>3086</v>
      </c>
      <c r="D119" s="16" t="s">
        <v>3093</v>
      </c>
      <c r="E119" s="2" t="s">
        <v>547</v>
      </c>
      <c r="F119" s="2" t="s">
        <v>59</v>
      </c>
      <c r="G119" s="2" t="s">
        <v>2951</v>
      </c>
      <c r="H119" s="60" t="s">
        <v>2947</v>
      </c>
    </row>
    <row r="120" spans="1:8" ht="47.55" customHeight="1">
      <c r="A120" s="58">
        <v>115</v>
      </c>
      <c r="B120" s="59" t="s">
        <v>2944</v>
      </c>
      <c r="C120" s="22" t="s">
        <v>3086</v>
      </c>
      <c r="D120" s="16" t="s">
        <v>3094</v>
      </c>
      <c r="E120" s="2" t="s">
        <v>1471</v>
      </c>
      <c r="F120" s="2" t="s">
        <v>59</v>
      </c>
      <c r="G120" s="2" t="s">
        <v>2951</v>
      </c>
      <c r="H120" s="60" t="s">
        <v>2947</v>
      </c>
    </row>
    <row r="121" spans="1:8" ht="47.55" customHeight="1">
      <c r="A121" s="61">
        <v>116</v>
      </c>
      <c r="B121" s="62" t="s">
        <v>2944</v>
      </c>
      <c r="C121" s="32" t="s">
        <v>3086</v>
      </c>
      <c r="D121" s="39" t="s">
        <v>1243</v>
      </c>
      <c r="E121" s="33" t="s">
        <v>1230</v>
      </c>
      <c r="F121" s="33" t="s">
        <v>61</v>
      </c>
      <c r="G121" s="33" t="s">
        <v>2951</v>
      </c>
      <c r="H121" s="63" t="s">
        <v>2947</v>
      </c>
    </row>
    <row r="122" spans="1:8" ht="47.55" customHeight="1">
      <c r="A122" s="58">
        <v>117</v>
      </c>
      <c r="B122" s="59" t="s">
        <v>2944</v>
      </c>
      <c r="C122" s="22" t="s">
        <v>3086</v>
      </c>
      <c r="D122" s="16" t="s">
        <v>3095</v>
      </c>
      <c r="E122" s="2" t="s">
        <v>757</v>
      </c>
      <c r="F122" s="2" t="s">
        <v>59</v>
      </c>
      <c r="G122" s="2" t="s">
        <v>2951</v>
      </c>
      <c r="H122" s="60" t="s">
        <v>2947</v>
      </c>
    </row>
    <row r="123" spans="1:8" ht="47.55" customHeight="1">
      <c r="A123" s="58">
        <v>118</v>
      </c>
      <c r="B123" s="59" t="s">
        <v>2944</v>
      </c>
      <c r="C123" s="22" t="s">
        <v>3086</v>
      </c>
      <c r="D123" s="16" t="s">
        <v>3096</v>
      </c>
      <c r="E123" s="2" t="s">
        <v>1059</v>
      </c>
      <c r="F123" s="2" t="s">
        <v>59</v>
      </c>
      <c r="G123" s="2" t="s">
        <v>2951</v>
      </c>
      <c r="H123" s="60" t="s">
        <v>2947</v>
      </c>
    </row>
    <row r="124" spans="1:8" ht="47.55" customHeight="1">
      <c r="A124" s="58">
        <v>119</v>
      </c>
      <c r="B124" s="59" t="s">
        <v>2944</v>
      </c>
      <c r="C124" s="22" t="s">
        <v>3086</v>
      </c>
      <c r="D124" s="16" t="s">
        <v>3097</v>
      </c>
      <c r="E124" s="2" t="s">
        <v>985</v>
      </c>
      <c r="F124" s="2" t="s">
        <v>59</v>
      </c>
      <c r="G124" s="2" t="s">
        <v>2951</v>
      </c>
      <c r="H124" s="60" t="s">
        <v>2947</v>
      </c>
    </row>
    <row r="125" spans="1:8" ht="47.55" customHeight="1">
      <c r="A125" s="61">
        <v>120</v>
      </c>
      <c r="B125" s="62" t="s">
        <v>2944</v>
      </c>
      <c r="C125" s="32" t="s">
        <v>3086</v>
      </c>
      <c r="D125" s="39" t="s">
        <v>3098</v>
      </c>
      <c r="E125" s="33" t="s">
        <v>1197</v>
      </c>
      <c r="F125" s="33" t="s">
        <v>61</v>
      </c>
      <c r="G125" s="33" t="s">
        <v>2951</v>
      </c>
      <c r="H125" s="63" t="s">
        <v>2947</v>
      </c>
    </row>
    <row r="126" spans="1:8" ht="47.55" customHeight="1">
      <c r="A126" s="58">
        <v>121</v>
      </c>
      <c r="B126" s="59" t="s">
        <v>2944</v>
      </c>
      <c r="C126" s="22" t="s">
        <v>3086</v>
      </c>
      <c r="D126" s="16" t="s">
        <v>3099</v>
      </c>
      <c r="E126" s="2" t="s">
        <v>547</v>
      </c>
      <c r="F126" s="2" t="s">
        <v>59</v>
      </c>
      <c r="G126" s="2" t="s">
        <v>241</v>
      </c>
      <c r="H126" s="60" t="s">
        <v>2978</v>
      </c>
    </row>
    <row r="127" spans="1:8" ht="47.55" customHeight="1">
      <c r="A127" s="58">
        <v>122</v>
      </c>
      <c r="B127" s="59" t="s">
        <v>2944</v>
      </c>
      <c r="C127" s="22" t="s">
        <v>3086</v>
      </c>
      <c r="D127" s="16" t="s">
        <v>3100</v>
      </c>
      <c r="E127" s="2" t="s">
        <v>890</v>
      </c>
      <c r="F127" s="2" t="s">
        <v>59</v>
      </c>
      <c r="G127" s="2" t="s">
        <v>2951</v>
      </c>
      <c r="H127" s="60" t="s">
        <v>2947</v>
      </c>
    </row>
    <row r="128" spans="1:8" ht="47.55" customHeight="1">
      <c r="A128" s="58">
        <v>123</v>
      </c>
      <c r="B128" s="59" t="s">
        <v>2944</v>
      </c>
      <c r="C128" s="22" t="s">
        <v>3086</v>
      </c>
      <c r="D128" s="16" t="s">
        <v>3101</v>
      </c>
      <c r="E128" s="2" t="s">
        <v>1375</v>
      </c>
      <c r="F128" s="2" t="s">
        <v>59</v>
      </c>
      <c r="G128" s="2" t="s">
        <v>2951</v>
      </c>
      <c r="H128" s="60" t="s">
        <v>2947</v>
      </c>
    </row>
    <row r="129" spans="1:8" ht="47.55" customHeight="1">
      <c r="A129" s="58">
        <v>124</v>
      </c>
      <c r="B129" s="59" t="s">
        <v>2944</v>
      </c>
      <c r="C129" s="22" t="s">
        <v>3086</v>
      </c>
      <c r="D129" s="16" t="s">
        <v>3102</v>
      </c>
      <c r="E129" s="2" t="s">
        <v>547</v>
      </c>
      <c r="F129" s="2" t="s">
        <v>59</v>
      </c>
      <c r="G129" s="2" t="s">
        <v>2951</v>
      </c>
      <c r="H129" s="60" t="s">
        <v>2947</v>
      </c>
    </row>
    <row r="130" spans="1:8" ht="47.55" customHeight="1">
      <c r="A130" s="58">
        <v>125</v>
      </c>
      <c r="B130" s="59" t="s">
        <v>2944</v>
      </c>
      <c r="C130" s="22" t="s">
        <v>3086</v>
      </c>
      <c r="D130" s="16" t="s">
        <v>3103</v>
      </c>
      <c r="E130" s="2" t="s">
        <v>1471</v>
      </c>
      <c r="F130" s="2" t="s">
        <v>59</v>
      </c>
      <c r="G130" s="2" t="s">
        <v>2951</v>
      </c>
      <c r="H130" s="60" t="s">
        <v>2947</v>
      </c>
    </row>
    <row r="131" spans="1:8" ht="47.55" customHeight="1">
      <c r="A131" s="58">
        <v>126</v>
      </c>
      <c r="B131" s="59" t="s">
        <v>2944</v>
      </c>
      <c r="C131" s="22" t="s">
        <v>3086</v>
      </c>
      <c r="D131" s="16" t="s">
        <v>3104</v>
      </c>
      <c r="E131" s="2" t="s">
        <v>1457</v>
      </c>
      <c r="F131" s="2" t="s">
        <v>59</v>
      </c>
      <c r="G131" s="2" t="s">
        <v>2951</v>
      </c>
      <c r="H131" s="60" t="s">
        <v>2947</v>
      </c>
    </row>
    <row r="132" spans="1:8" ht="47.55" customHeight="1">
      <c r="A132" s="58">
        <v>127</v>
      </c>
      <c r="B132" s="59" t="s">
        <v>2944</v>
      </c>
      <c r="C132" s="22" t="s">
        <v>3086</v>
      </c>
      <c r="D132" s="16" t="s">
        <v>3105</v>
      </c>
      <c r="E132" s="2" t="s">
        <v>1457</v>
      </c>
      <c r="F132" s="2" t="s">
        <v>59</v>
      </c>
      <c r="G132" s="2" t="s">
        <v>2951</v>
      </c>
      <c r="H132" s="60" t="s">
        <v>2947</v>
      </c>
    </row>
    <row r="133" spans="1:8" ht="47.55" customHeight="1">
      <c r="A133" s="58">
        <v>128</v>
      </c>
      <c r="B133" s="59" t="s">
        <v>2944</v>
      </c>
      <c r="C133" s="22" t="s">
        <v>3086</v>
      </c>
      <c r="D133" s="16" t="s">
        <v>886</v>
      </c>
      <c r="E133" s="2" t="s">
        <v>3106</v>
      </c>
      <c r="F133" s="2" t="s">
        <v>59</v>
      </c>
      <c r="G133" s="2" t="s">
        <v>2951</v>
      </c>
      <c r="H133" s="60" t="s">
        <v>2947</v>
      </c>
    </row>
    <row r="134" spans="1:8" ht="47.55" customHeight="1">
      <c r="A134" s="61">
        <v>129</v>
      </c>
      <c r="B134" s="62" t="s">
        <v>2944</v>
      </c>
      <c r="C134" s="32" t="s">
        <v>3086</v>
      </c>
      <c r="D134" s="39" t="s">
        <v>3107</v>
      </c>
      <c r="E134" s="33" t="s">
        <v>1674</v>
      </c>
      <c r="F134" s="33" t="s">
        <v>61</v>
      </c>
      <c r="G134" s="33" t="s">
        <v>2951</v>
      </c>
      <c r="H134" s="63" t="s">
        <v>2947</v>
      </c>
    </row>
    <row r="135" spans="1:8" ht="47.55" customHeight="1">
      <c r="A135" s="61">
        <v>130</v>
      </c>
      <c r="B135" s="62" t="s">
        <v>2944</v>
      </c>
      <c r="C135" s="32" t="s">
        <v>3086</v>
      </c>
      <c r="D135" s="39" t="s">
        <v>3108</v>
      </c>
      <c r="E135" s="33" t="s">
        <v>1215</v>
      </c>
      <c r="F135" s="33" t="s">
        <v>61</v>
      </c>
      <c r="G135" s="33" t="s">
        <v>2951</v>
      </c>
      <c r="H135" s="63" t="s">
        <v>2947</v>
      </c>
    </row>
    <row r="136" spans="1:8" ht="47.55" customHeight="1">
      <c r="A136" s="58">
        <v>131</v>
      </c>
      <c r="B136" s="59" t="s">
        <v>2944</v>
      </c>
      <c r="C136" s="22" t="s">
        <v>3086</v>
      </c>
      <c r="D136" s="16" t="s">
        <v>3109</v>
      </c>
      <c r="E136" s="2" t="s">
        <v>815</v>
      </c>
      <c r="F136" s="2" t="s">
        <v>59</v>
      </c>
      <c r="G136" s="2" t="s">
        <v>2951</v>
      </c>
      <c r="H136" s="60" t="s">
        <v>2947</v>
      </c>
    </row>
    <row r="137" spans="1:8" ht="47.55" customHeight="1">
      <c r="A137" s="58">
        <v>132</v>
      </c>
      <c r="B137" s="59" t="s">
        <v>2944</v>
      </c>
      <c r="C137" s="22" t="s">
        <v>3110</v>
      </c>
      <c r="D137" s="16" t="s">
        <v>3111</v>
      </c>
      <c r="E137" s="2" t="s">
        <v>775</v>
      </c>
      <c r="F137" s="2" t="s">
        <v>59</v>
      </c>
      <c r="G137" s="2" t="s">
        <v>2951</v>
      </c>
      <c r="H137" s="60" t="s">
        <v>2947</v>
      </c>
    </row>
    <row r="138" spans="1:8" ht="47.55" customHeight="1">
      <c r="A138" s="58">
        <v>133</v>
      </c>
      <c r="B138" s="59" t="s">
        <v>2944</v>
      </c>
      <c r="C138" s="22" t="s">
        <v>3110</v>
      </c>
      <c r="D138" s="16" t="s">
        <v>3112</v>
      </c>
      <c r="E138" s="2" t="s">
        <v>400</v>
      </c>
      <c r="F138" s="2" t="s">
        <v>59</v>
      </c>
      <c r="G138" s="2" t="s">
        <v>241</v>
      </c>
      <c r="H138" s="60" t="s">
        <v>2978</v>
      </c>
    </row>
    <row r="139" spans="1:8" ht="33" customHeight="1">
      <c r="A139" s="58">
        <v>134</v>
      </c>
      <c r="B139" s="59" t="s">
        <v>2944</v>
      </c>
      <c r="C139" s="22" t="s">
        <v>3110</v>
      </c>
      <c r="D139" s="16" t="s">
        <v>3113</v>
      </c>
      <c r="E139" s="2" t="s">
        <v>775</v>
      </c>
      <c r="F139" s="2" t="s">
        <v>59</v>
      </c>
      <c r="G139" s="2" t="s">
        <v>2951</v>
      </c>
      <c r="H139" s="60" t="s">
        <v>2947</v>
      </c>
    </row>
    <row r="140" spans="1:8" ht="33" customHeight="1">
      <c r="A140" s="58">
        <v>135</v>
      </c>
      <c r="B140" s="59" t="s">
        <v>2944</v>
      </c>
      <c r="C140" s="22" t="s">
        <v>3110</v>
      </c>
      <c r="D140" s="16" t="s">
        <v>3114</v>
      </c>
      <c r="E140" s="2" t="s">
        <v>775</v>
      </c>
      <c r="F140" s="2" t="s">
        <v>59</v>
      </c>
      <c r="G140" s="2" t="s">
        <v>2951</v>
      </c>
      <c r="H140" s="60" t="s">
        <v>2947</v>
      </c>
    </row>
    <row r="141" spans="1:8" ht="33" customHeight="1">
      <c r="A141" s="58">
        <v>136</v>
      </c>
      <c r="B141" s="59" t="s">
        <v>2944</v>
      </c>
      <c r="C141" s="22" t="s">
        <v>3110</v>
      </c>
      <c r="D141" s="16" t="s">
        <v>3115</v>
      </c>
      <c r="E141" s="2" t="s">
        <v>400</v>
      </c>
      <c r="F141" s="2" t="s">
        <v>59</v>
      </c>
      <c r="G141" s="2" t="s">
        <v>2951</v>
      </c>
      <c r="H141" s="60" t="s">
        <v>2947</v>
      </c>
    </row>
    <row r="142" spans="1:8" ht="33" customHeight="1">
      <c r="A142" s="58">
        <v>137</v>
      </c>
      <c r="B142" s="59" t="s">
        <v>2944</v>
      </c>
      <c r="C142" s="22" t="s">
        <v>3110</v>
      </c>
      <c r="D142" s="16" t="s">
        <v>3116</v>
      </c>
      <c r="E142" s="2" t="s">
        <v>400</v>
      </c>
      <c r="F142" s="2" t="s">
        <v>59</v>
      </c>
      <c r="G142" s="2" t="s">
        <v>2951</v>
      </c>
      <c r="H142" s="60" t="s">
        <v>2947</v>
      </c>
    </row>
    <row r="143" spans="1:8" ht="47.55" customHeight="1">
      <c r="A143" s="58">
        <v>138</v>
      </c>
      <c r="B143" s="59" t="s">
        <v>2944</v>
      </c>
      <c r="C143" s="22" t="s">
        <v>3110</v>
      </c>
      <c r="D143" s="16" t="s">
        <v>3117</v>
      </c>
      <c r="E143" s="2" t="s">
        <v>400</v>
      </c>
      <c r="F143" s="2" t="s">
        <v>59</v>
      </c>
      <c r="G143" s="2" t="s">
        <v>241</v>
      </c>
      <c r="H143" s="60" t="s">
        <v>2978</v>
      </c>
    </row>
    <row r="144" spans="1:8" ht="33" customHeight="1">
      <c r="A144" s="58">
        <v>139</v>
      </c>
      <c r="B144" s="59" t="s">
        <v>2944</v>
      </c>
      <c r="C144" s="22" t="s">
        <v>3118</v>
      </c>
      <c r="D144" s="16" t="s">
        <v>3119</v>
      </c>
      <c r="E144" s="2" t="s">
        <v>649</v>
      </c>
      <c r="F144" s="2" t="s">
        <v>59</v>
      </c>
      <c r="G144" s="2" t="s">
        <v>2951</v>
      </c>
      <c r="H144" s="60" t="s">
        <v>2947</v>
      </c>
    </row>
    <row r="145" spans="1:8" ht="33" customHeight="1">
      <c r="A145" s="61">
        <v>140</v>
      </c>
      <c r="B145" s="62" t="s">
        <v>2944</v>
      </c>
      <c r="C145" s="32" t="s">
        <v>3118</v>
      </c>
      <c r="D145" s="39" t="s">
        <v>3120</v>
      </c>
      <c r="E145" s="33" t="s">
        <v>1627</v>
      </c>
      <c r="F145" s="33" t="s">
        <v>61</v>
      </c>
      <c r="G145" s="33" t="s">
        <v>2951</v>
      </c>
      <c r="H145" s="63" t="s">
        <v>2947</v>
      </c>
    </row>
    <row r="146" spans="1:8" ht="33" customHeight="1">
      <c r="A146" s="58">
        <v>141</v>
      </c>
      <c r="B146" s="59" t="s">
        <v>2944</v>
      </c>
      <c r="C146" s="22" t="s">
        <v>3118</v>
      </c>
      <c r="D146" s="16" t="s">
        <v>3121</v>
      </c>
      <c r="E146" s="2" t="s">
        <v>1575</v>
      </c>
      <c r="F146" s="2" t="s">
        <v>59</v>
      </c>
      <c r="G146" s="2" t="s">
        <v>2951</v>
      </c>
      <c r="H146" s="60" t="s">
        <v>2947</v>
      </c>
    </row>
    <row r="147" spans="1:8" ht="33" customHeight="1">
      <c r="A147" s="58">
        <v>142</v>
      </c>
      <c r="B147" s="59" t="s">
        <v>2944</v>
      </c>
      <c r="C147" s="22" t="s">
        <v>3118</v>
      </c>
      <c r="D147" s="16" t="s">
        <v>3122</v>
      </c>
      <c r="E147" s="2" t="s">
        <v>834</v>
      </c>
      <c r="F147" s="2" t="s">
        <v>59</v>
      </c>
      <c r="G147" s="2" t="s">
        <v>2951</v>
      </c>
      <c r="H147" s="60" t="s">
        <v>2947</v>
      </c>
    </row>
    <row r="148" spans="1:8" ht="47.55" customHeight="1">
      <c r="A148" s="58">
        <v>143</v>
      </c>
      <c r="B148" s="59" t="s">
        <v>2944</v>
      </c>
      <c r="C148" s="22" t="s">
        <v>3118</v>
      </c>
      <c r="D148" s="16" t="s">
        <v>3123</v>
      </c>
      <c r="E148" s="2" t="s">
        <v>834</v>
      </c>
      <c r="F148" s="2" t="s">
        <v>59</v>
      </c>
      <c r="G148" s="2" t="s">
        <v>2951</v>
      </c>
      <c r="H148" s="60" t="s">
        <v>2947</v>
      </c>
    </row>
    <row r="149" spans="1:8" ht="33" customHeight="1">
      <c r="A149" s="58">
        <v>144</v>
      </c>
      <c r="B149" s="59" t="s">
        <v>2944</v>
      </c>
      <c r="C149" s="22" t="s">
        <v>3118</v>
      </c>
      <c r="D149" s="16" t="s">
        <v>3124</v>
      </c>
      <c r="E149" s="2" t="s">
        <v>1409</v>
      </c>
      <c r="F149" s="2" t="s">
        <v>59</v>
      </c>
      <c r="G149" s="2" t="s">
        <v>2951</v>
      </c>
      <c r="H149" s="60" t="s">
        <v>2947</v>
      </c>
    </row>
    <row r="150" spans="1:8" ht="33" customHeight="1">
      <c r="A150" s="58">
        <v>145</v>
      </c>
      <c r="B150" s="59" t="s">
        <v>2944</v>
      </c>
      <c r="C150" s="22" t="s">
        <v>3118</v>
      </c>
      <c r="D150" s="16" t="s">
        <v>3125</v>
      </c>
      <c r="E150" s="2" t="s">
        <v>1091</v>
      </c>
      <c r="F150" s="2" t="s">
        <v>59</v>
      </c>
      <c r="G150" s="2" t="s">
        <v>2951</v>
      </c>
      <c r="H150" s="60" t="s">
        <v>2947</v>
      </c>
    </row>
    <row r="151" spans="1:8" ht="33" customHeight="1">
      <c r="A151" s="58">
        <v>146</v>
      </c>
      <c r="B151" s="59" t="s">
        <v>2944</v>
      </c>
      <c r="C151" s="22" t="s">
        <v>3118</v>
      </c>
      <c r="D151" s="16" t="s">
        <v>3126</v>
      </c>
      <c r="E151" s="2" t="s">
        <v>1268</v>
      </c>
      <c r="F151" s="2" t="s">
        <v>59</v>
      </c>
      <c r="G151" s="2" t="s">
        <v>2951</v>
      </c>
      <c r="H151" s="60" t="s">
        <v>2947</v>
      </c>
    </row>
    <row r="152" spans="1:8" ht="33" customHeight="1">
      <c r="A152" s="58">
        <v>147</v>
      </c>
      <c r="B152" s="59" t="s">
        <v>2944</v>
      </c>
      <c r="C152" s="22" t="s">
        <v>3118</v>
      </c>
      <c r="D152" s="16" t="s">
        <v>3127</v>
      </c>
      <c r="E152" s="2" t="s">
        <v>3014</v>
      </c>
      <c r="F152" s="2" t="s">
        <v>59</v>
      </c>
      <c r="G152" s="2" t="s">
        <v>2951</v>
      </c>
      <c r="H152" s="60" t="s">
        <v>2947</v>
      </c>
    </row>
    <row r="153" spans="1:8" ht="33" customHeight="1">
      <c r="A153" s="58">
        <v>148</v>
      </c>
      <c r="B153" s="59" t="s">
        <v>2944</v>
      </c>
      <c r="C153" s="22" t="s">
        <v>3118</v>
      </c>
      <c r="D153" s="16" t="s">
        <v>1160</v>
      </c>
      <c r="E153" s="2" t="s">
        <v>1146</v>
      </c>
      <c r="F153" s="2" t="s">
        <v>59</v>
      </c>
      <c r="G153" s="2" t="s">
        <v>2951</v>
      </c>
      <c r="H153" s="60" t="s">
        <v>2947</v>
      </c>
    </row>
    <row r="154" spans="1:8" ht="33" customHeight="1">
      <c r="A154" s="58">
        <v>149</v>
      </c>
      <c r="B154" s="59" t="s">
        <v>2944</v>
      </c>
      <c r="C154" s="22" t="s">
        <v>3118</v>
      </c>
      <c r="D154" s="16" t="s">
        <v>3128</v>
      </c>
      <c r="E154" s="2" t="s">
        <v>666</v>
      </c>
      <c r="F154" s="2" t="s">
        <v>59</v>
      </c>
      <c r="G154" s="2" t="s">
        <v>2951</v>
      </c>
      <c r="H154" s="60" t="s">
        <v>2947</v>
      </c>
    </row>
    <row r="155" spans="1:8" ht="33" customHeight="1">
      <c r="A155" s="58">
        <v>150</v>
      </c>
      <c r="B155" s="59" t="s">
        <v>2944</v>
      </c>
      <c r="C155" s="22" t="s">
        <v>3118</v>
      </c>
      <c r="D155" s="16" t="s">
        <v>3129</v>
      </c>
      <c r="E155" s="2" t="s">
        <v>666</v>
      </c>
      <c r="F155" s="2" t="s">
        <v>59</v>
      </c>
      <c r="G155" s="2" t="s">
        <v>241</v>
      </c>
      <c r="H155" s="60" t="s">
        <v>2978</v>
      </c>
    </row>
    <row r="156" spans="1:8" ht="33" customHeight="1">
      <c r="A156" s="58">
        <v>151</v>
      </c>
      <c r="B156" s="59" t="s">
        <v>2944</v>
      </c>
      <c r="C156" s="22" t="s">
        <v>3118</v>
      </c>
      <c r="D156" s="16" t="s">
        <v>3130</v>
      </c>
      <c r="E156" s="2" t="s">
        <v>585</v>
      </c>
      <c r="F156" s="2" t="s">
        <v>59</v>
      </c>
      <c r="G156" s="2" t="s">
        <v>2951</v>
      </c>
      <c r="H156" s="60" t="s">
        <v>2947</v>
      </c>
    </row>
    <row r="157" spans="1:8" ht="47.55" customHeight="1">
      <c r="A157" s="58">
        <v>152</v>
      </c>
      <c r="B157" s="59" t="s">
        <v>2944</v>
      </c>
      <c r="C157" s="22" t="s">
        <v>3118</v>
      </c>
      <c r="D157" s="16" t="s">
        <v>3131</v>
      </c>
      <c r="E157" s="2" t="s">
        <v>585</v>
      </c>
      <c r="F157" s="2" t="s">
        <v>59</v>
      </c>
      <c r="G157" s="2" t="s">
        <v>2951</v>
      </c>
      <c r="H157" s="60" t="s">
        <v>2947</v>
      </c>
    </row>
    <row r="158" spans="1:8" ht="33" customHeight="1">
      <c r="A158" s="58">
        <v>153</v>
      </c>
      <c r="B158" s="59" t="s">
        <v>2944</v>
      </c>
      <c r="C158" s="22" t="s">
        <v>3118</v>
      </c>
      <c r="D158" s="16" t="s">
        <v>3132</v>
      </c>
      <c r="E158" s="2" t="s">
        <v>796</v>
      </c>
      <c r="F158" s="2" t="s">
        <v>59</v>
      </c>
      <c r="G158" s="2" t="s">
        <v>2951</v>
      </c>
      <c r="H158" s="60" t="s">
        <v>2947</v>
      </c>
    </row>
    <row r="159" spans="1:8" ht="33" customHeight="1">
      <c r="A159" s="61">
        <v>154</v>
      </c>
      <c r="B159" s="62" t="s">
        <v>2944</v>
      </c>
      <c r="C159" s="32" t="s">
        <v>3118</v>
      </c>
      <c r="D159" s="39" t="s">
        <v>3133</v>
      </c>
      <c r="E159" s="33" t="s">
        <v>1124</v>
      </c>
      <c r="F159" s="33" t="s">
        <v>61</v>
      </c>
      <c r="G159" s="33" t="s">
        <v>2951</v>
      </c>
      <c r="H159" s="63" t="s">
        <v>2947</v>
      </c>
    </row>
    <row r="160" spans="1:8" ht="33" customHeight="1">
      <c r="A160" s="58">
        <v>155</v>
      </c>
      <c r="B160" s="59" t="s">
        <v>2944</v>
      </c>
      <c r="C160" s="22" t="s">
        <v>3118</v>
      </c>
      <c r="D160" s="16" t="s">
        <v>3134</v>
      </c>
      <c r="E160" s="2" t="s">
        <v>1491</v>
      </c>
      <c r="F160" s="2" t="s">
        <v>59</v>
      </c>
      <c r="G160" s="2" t="s">
        <v>2951</v>
      </c>
      <c r="H160" s="60" t="s">
        <v>2947</v>
      </c>
    </row>
    <row r="161" spans="1:8" ht="33" customHeight="1">
      <c r="A161" s="58">
        <v>156</v>
      </c>
      <c r="B161" s="59" t="s">
        <v>2944</v>
      </c>
      <c r="C161" s="22" t="s">
        <v>3118</v>
      </c>
      <c r="D161" s="16" t="s">
        <v>3135</v>
      </c>
      <c r="E161" s="2" t="s">
        <v>1507</v>
      </c>
      <c r="F161" s="2" t="s">
        <v>59</v>
      </c>
      <c r="G161" s="2" t="s">
        <v>2951</v>
      </c>
      <c r="H161" s="60" t="s">
        <v>2947</v>
      </c>
    </row>
    <row r="162" spans="1:8" ht="33" customHeight="1">
      <c r="A162" s="58">
        <v>157</v>
      </c>
      <c r="B162" s="59" t="s">
        <v>2944</v>
      </c>
      <c r="C162" s="22" t="s">
        <v>3118</v>
      </c>
      <c r="D162" s="16" t="s">
        <v>3136</v>
      </c>
      <c r="E162" s="2" t="s">
        <v>1321</v>
      </c>
      <c r="F162" s="2" t="s">
        <v>59</v>
      </c>
      <c r="G162" s="2" t="s">
        <v>2951</v>
      </c>
      <c r="H162" s="60" t="s">
        <v>2947</v>
      </c>
    </row>
    <row r="163" spans="1:8" ht="33" customHeight="1">
      <c r="A163" s="58">
        <v>158</v>
      </c>
      <c r="B163" s="59" t="s">
        <v>2944</v>
      </c>
      <c r="C163" s="22" t="s">
        <v>3118</v>
      </c>
      <c r="D163" s="16" t="s">
        <v>3137</v>
      </c>
      <c r="E163" s="2" t="s">
        <v>566</v>
      </c>
      <c r="F163" s="2" t="s">
        <v>59</v>
      </c>
      <c r="G163" s="2" t="s">
        <v>2951</v>
      </c>
      <c r="H163" s="60" t="s">
        <v>2947</v>
      </c>
    </row>
    <row r="164" spans="1:8" ht="33" customHeight="1">
      <c r="A164" s="58">
        <v>159</v>
      </c>
      <c r="B164" s="59" t="s">
        <v>2944</v>
      </c>
      <c r="C164" s="22" t="s">
        <v>3118</v>
      </c>
      <c r="D164" s="16" t="s">
        <v>3138</v>
      </c>
      <c r="E164" s="2" t="s">
        <v>1091</v>
      </c>
      <c r="F164" s="2" t="s">
        <v>59</v>
      </c>
      <c r="G164" s="2" t="s">
        <v>241</v>
      </c>
      <c r="H164" s="60" t="s">
        <v>2978</v>
      </c>
    </row>
    <row r="165" spans="1:8" ht="33" customHeight="1">
      <c r="A165" s="58">
        <v>160</v>
      </c>
      <c r="B165" s="59" t="s">
        <v>2944</v>
      </c>
      <c r="C165" s="22" t="s">
        <v>3118</v>
      </c>
      <c r="D165" s="16" t="s">
        <v>3139</v>
      </c>
      <c r="E165" s="2" t="s">
        <v>1286</v>
      </c>
      <c r="F165" s="2" t="s">
        <v>59</v>
      </c>
      <c r="G165" s="2" t="s">
        <v>2951</v>
      </c>
      <c r="H165" s="60" t="s">
        <v>2947</v>
      </c>
    </row>
    <row r="166" spans="1:8" ht="33" customHeight="1">
      <c r="A166" s="61">
        <v>161</v>
      </c>
      <c r="B166" s="62" t="s">
        <v>2944</v>
      </c>
      <c r="C166" s="32" t="s">
        <v>3118</v>
      </c>
      <c r="D166" s="39" t="s">
        <v>3140</v>
      </c>
      <c r="E166" s="33" t="s">
        <v>1520</v>
      </c>
      <c r="F166" s="33" t="s">
        <v>61</v>
      </c>
      <c r="G166" s="33" t="s">
        <v>2951</v>
      </c>
      <c r="H166" s="63" t="s">
        <v>2947</v>
      </c>
    </row>
    <row r="167" spans="1:8" ht="33" customHeight="1">
      <c r="A167" s="58">
        <v>162</v>
      </c>
      <c r="B167" s="59" t="s">
        <v>2944</v>
      </c>
      <c r="C167" s="22" t="s">
        <v>3118</v>
      </c>
      <c r="D167" s="16" t="s">
        <v>3141</v>
      </c>
      <c r="E167" s="2" t="s">
        <v>505</v>
      </c>
      <c r="F167" s="2" t="s">
        <v>59</v>
      </c>
      <c r="G167" s="2" t="s">
        <v>2951</v>
      </c>
      <c r="H167" s="60" t="s">
        <v>2947</v>
      </c>
    </row>
    <row r="168" spans="1:8" ht="33" customHeight="1">
      <c r="A168" s="58">
        <v>163</v>
      </c>
      <c r="B168" s="59" t="s">
        <v>2944</v>
      </c>
      <c r="C168" s="22" t="s">
        <v>3118</v>
      </c>
      <c r="D168" s="16" t="s">
        <v>3142</v>
      </c>
      <c r="E168" s="2" t="s">
        <v>528</v>
      </c>
      <c r="F168" s="2" t="s">
        <v>59</v>
      </c>
      <c r="G168" s="2" t="s">
        <v>2951</v>
      </c>
      <c r="H168" s="60" t="s">
        <v>2947</v>
      </c>
    </row>
    <row r="169" spans="1:8" ht="33" customHeight="1">
      <c r="A169" s="58">
        <v>164</v>
      </c>
      <c r="B169" s="59" t="s">
        <v>2944</v>
      </c>
      <c r="C169" s="22" t="s">
        <v>3118</v>
      </c>
      <c r="D169" s="16" t="s">
        <v>3143</v>
      </c>
      <c r="E169" s="2" t="s">
        <v>1533</v>
      </c>
      <c r="F169" s="2" t="s">
        <v>59</v>
      </c>
      <c r="G169" s="2" t="s">
        <v>2951</v>
      </c>
      <c r="H169" s="60" t="s">
        <v>2947</v>
      </c>
    </row>
    <row r="170" spans="1:8" ht="47.55" customHeight="1">
      <c r="A170" s="58">
        <v>165</v>
      </c>
      <c r="B170" s="59" t="s">
        <v>2944</v>
      </c>
      <c r="C170" s="22" t="s">
        <v>3118</v>
      </c>
      <c r="D170" s="16" t="s">
        <v>3144</v>
      </c>
      <c r="E170" s="2" t="s">
        <v>528</v>
      </c>
      <c r="F170" s="2" t="s">
        <v>59</v>
      </c>
      <c r="G170" s="2" t="s">
        <v>2951</v>
      </c>
      <c r="H170" s="60" t="s">
        <v>2947</v>
      </c>
    </row>
    <row r="171" spans="1:8" ht="33" customHeight="1">
      <c r="A171" s="58">
        <v>166</v>
      </c>
      <c r="B171" s="59" t="s">
        <v>2944</v>
      </c>
      <c r="C171" s="22" t="s">
        <v>3118</v>
      </c>
      <c r="D171" s="16" t="s">
        <v>3145</v>
      </c>
      <c r="E171" s="2" t="s">
        <v>528</v>
      </c>
      <c r="F171" s="2" t="s">
        <v>59</v>
      </c>
      <c r="G171" s="2" t="s">
        <v>2951</v>
      </c>
      <c r="H171" s="60" t="s">
        <v>2947</v>
      </c>
    </row>
    <row r="172" spans="1:8" ht="33" customHeight="1">
      <c r="A172" s="58">
        <v>167</v>
      </c>
      <c r="B172" s="59" t="s">
        <v>2944</v>
      </c>
      <c r="C172" s="22" t="s">
        <v>3118</v>
      </c>
      <c r="D172" s="16" t="s">
        <v>3146</v>
      </c>
      <c r="E172" s="2" t="s">
        <v>1562</v>
      </c>
      <c r="F172" s="2" t="s">
        <v>59</v>
      </c>
      <c r="G172" s="2" t="s">
        <v>2951</v>
      </c>
      <c r="H172" s="60" t="s">
        <v>2947</v>
      </c>
    </row>
    <row r="173" spans="1:8" ht="33" customHeight="1">
      <c r="A173" s="58">
        <v>168</v>
      </c>
      <c r="B173" s="59" t="s">
        <v>2944</v>
      </c>
      <c r="C173" s="22" t="s">
        <v>3118</v>
      </c>
      <c r="D173" s="16" t="s">
        <v>3147</v>
      </c>
      <c r="E173" s="2" t="s">
        <v>1304</v>
      </c>
      <c r="F173" s="2" t="s">
        <v>59</v>
      </c>
      <c r="G173" s="2" t="s">
        <v>2951</v>
      </c>
      <c r="H173" s="60" t="s">
        <v>2947</v>
      </c>
    </row>
    <row r="174" spans="1:8" ht="33" customHeight="1">
      <c r="A174" s="58">
        <v>169</v>
      </c>
      <c r="B174" s="59" t="s">
        <v>2944</v>
      </c>
      <c r="C174" s="22" t="s">
        <v>3118</v>
      </c>
      <c r="D174" s="16" t="s">
        <v>3148</v>
      </c>
      <c r="E174" s="2" t="s">
        <v>1002</v>
      </c>
      <c r="F174" s="2" t="s">
        <v>59</v>
      </c>
      <c r="G174" s="2" t="s">
        <v>2951</v>
      </c>
      <c r="H174" s="60" t="s">
        <v>2947</v>
      </c>
    </row>
    <row r="175" spans="1:8" ht="33" customHeight="1">
      <c r="A175" s="58">
        <v>170</v>
      </c>
      <c r="B175" s="59" t="s">
        <v>2944</v>
      </c>
      <c r="C175" s="22" t="s">
        <v>3118</v>
      </c>
      <c r="D175" s="16" t="s">
        <v>3149</v>
      </c>
      <c r="E175" s="2" t="s">
        <v>1391</v>
      </c>
      <c r="F175" s="2" t="s">
        <v>59</v>
      </c>
      <c r="G175" s="2" t="s">
        <v>2951</v>
      </c>
      <c r="H175" s="60" t="s">
        <v>2947</v>
      </c>
    </row>
    <row r="176" spans="1:8" ht="33" customHeight="1">
      <c r="A176" s="58">
        <v>171</v>
      </c>
      <c r="B176" s="59" t="s">
        <v>2944</v>
      </c>
      <c r="C176" s="22" t="s">
        <v>3118</v>
      </c>
      <c r="D176" s="16" t="s">
        <v>3150</v>
      </c>
      <c r="E176" s="2" t="s">
        <v>1020</v>
      </c>
      <c r="F176" s="2" t="s">
        <v>59</v>
      </c>
      <c r="G176" s="2" t="s">
        <v>2951</v>
      </c>
      <c r="H176" s="60" t="s">
        <v>2947</v>
      </c>
    </row>
    <row r="177" spans="1:8" ht="33" customHeight="1">
      <c r="A177" s="58">
        <v>172</v>
      </c>
      <c r="B177" s="59" t="s">
        <v>2944</v>
      </c>
      <c r="C177" s="22" t="s">
        <v>3118</v>
      </c>
      <c r="D177" s="16" t="s">
        <v>3151</v>
      </c>
      <c r="E177" s="2" t="s">
        <v>1073</v>
      </c>
      <c r="F177" s="2" t="s">
        <v>59</v>
      </c>
      <c r="G177" s="2" t="s">
        <v>2951</v>
      </c>
      <c r="H177" s="60" t="s">
        <v>2947</v>
      </c>
    </row>
    <row r="178" spans="1:8" ht="33" customHeight="1">
      <c r="A178" s="58">
        <v>173</v>
      </c>
      <c r="B178" s="59" t="s">
        <v>2944</v>
      </c>
      <c r="C178" s="22" t="s">
        <v>3118</v>
      </c>
      <c r="D178" s="16" t="s">
        <v>3152</v>
      </c>
      <c r="E178" s="2" t="s">
        <v>1111</v>
      </c>
      <c r="F178" s="2" t="s">
        <v>59</v>
      </c>
      <c r="G178" s="2" t="s">
        <v>2951</v>
      </c>
      <c r="H178" s="60" t="s">
        <v>2947</v>
      </c>
    </row>
    <row r="179" spans="1:8" ht="33" customHeight="1">
      <c r="A179" s="58">
        <v>174</v>
      </c>
      <c r="B179" s="59" t="s">
        <v>2944</v>
      </c>
      <c r="C179" s="22" t="s">
        <v>3118</v>
      </c>
      <c r="D179" s="16" t="s">
        <v>3153</v>
      </c>
      <c r="E179" s="2" t="s">
        <v>3018</v>
      </c>
      <c r="F179" s="2" t="s">
        <v>59</v>
      </c>
      <c r="G179" s="2" t="s">
        <v>2951</v>
      </c>
      <c r="H179" s="60" t="s">
        <v>2947</v>
      </c>
    </row>
    <row r="180" spans="1:8" ht="33" customHeight="1">
      <c r="A180" s="58">
        <v>175</v>
      </c>
      <c r="B180" s="59" t="s">
        <v>2944</v>
      </c>
      <c r="C180" s="22" t="s">
        <v>3118</v>
      </c>
      <c r="D180" s="16" t="s">
        <v>3154</v>
      </c>
      <c r="E180" s="2" t="s">
        <v>1359</v>
      </c>
      <c r="F180" s="2" t="s">
        <v>59</v>
      </c>
      <c r="G180" s="2" t="s">
        <v>2951</v>
      </c>
      <c r="H180" s="60" t="s">
        <v>2947</v>
      </c>
    </row>
    <row r="181" spans="1:8" ht="33" customHeight="1">
      <c r="A181" s="58">
        <v>176</v>
      </c>
      <c r="B181" s="59" t="s">
        <v>2944</v>
      </c>
      <c r="C181" s="22" t="s">
        <v>3118</v>
      </c>
      <c r="D181" s="16" t="s">
        <v>3155</v>
      </c>
      <c r="E181" s="2" t="s">
        <v>272</v>
      </c>
      <c r="F181" s="2" t="s">
        <v>59</v>
      </c>
      <c r="G181" s="2" t="s">
        <v>2951</v>
      </c>
      <c r="H181" s="60" t="s">
        <v>2947</v>
      </c>
    </row>
    <row r="182" spans="1:8" ht="33" customHeight="1">
      <c r="A182" s="58">
        <v>177</v>
      </c>
      <c r="B182" s="59" t="s">
        <v>2944</v>
      </c>
      <c r="C182" s="22" t="s">
        <v>3118</v>
      </c>
      <c r="D182" s="16" t="s">
        <v>3156</v>
      </c>
      <c r="E182" s="2" t="s">
        <v>272</v>
      </c>
      <c r="F182" s="2" t="s">
        <v>59</v>
      </c>
      <c r="G182" s="2" t="s">
        <v>2951</v>
      </c>
      <c r="H182" s="60" t="s">
        <v>2947</v>
      </c>
    </row>
    <row r="183" spans="1:8" ht="33" customHeight="1">
      <c r="A183" s="58">
        <v>178</v>
      </c>
      <c r="B183" s="59" t="s">
        <v>2944</v>
      </c>
      <c r="C183" s="22" t="s">
        <v>3118</v>
      </c>
      <c r="D183" s="16" t="s">
        <v>3157</v>
      </c>
      <c r="E183" s="2" t="s">
        <v>649</v>
      </c>
      <c r="F183" s="2" t="s">
        <v>59</v>
      </c>
      <c r="G183" s="2" t="s">
        <v>241</v>
      </c>
      <c r="H183" s="60" t="s">
        <v>2978</v>
      </c>
    </row>
    <row r="184" spans="1:8" ht="33" customHeight="1">
      <c r="A184" s="58">
        <v>179</v>
      </c>
      <c r="B184" s="59" t="s">
        <v>2944</v>
      </c>
      <c r="C184" s="22" t="s">
        <v>3118</v>
      </c>
      <c r="D184" s="16" t="s">
        <v>3158</v>
      </c>
      <c r="E184" s="2" t="s">
        <v>482</v>
      </c>
      <c r="F184" s="2" t="s">
        <v>59</v>
      </c>
      <c r="G184" s="2" t="s">
        <v>2951</v>
      </c>
      <c r="H184" s="60" t="s">
        <v>2947</v>
      </c>
    </row>
    <row r="185" spans="1:8" ht="33" customHeight="1">
      <c r="A185" s="58">
        <v>180</v>
      </c>
      <c r="B185" s="59" t="s">
        <v>2944</v>
      </c>
      <c r="C185" s="22" t="s">
        <v>3118</v>
      </c>
      <c r="D185" s="16" t="s">
        <v>3159</v>
      </c>
      <c r="E185" s="2" t="s">
        <v>505</v>
      </c>
      <c r="F185" s="2" t="s">
        <v>59</v>
      </c>
      <c r="G185" s="2" t="s">
        <v>2951</v>
      </c>
      <c r="H185" s="60" t="s">
        <v>2947</v>
      </c>
    </row>
    <row r="186" spans="1:8" ht="33" customHeight="1">
      <c r="A186" s="58">
        <v>181</v>
      </c>
      <c r="B186" s="59" t="s">
        <v>2944</v>
      </c>
      <c r="C186" s="22" t="s">
        <v>3118</v>
      </c>
      <c r="D186" s="16" t="s">
        <v>644</v>
      </c>
      <c r="E186" s="2" t="s">
        <v>627</v>
      </c>
      <c r="F186" s="2" t="s">
        <v>59</v>
      </c>
      <c r="G186" s="2" t="s">
        <v>2951</v>
      </c>
      <c r="H186" s="60" t="s">
        <v>2947</v>
      </c>
    </row>
    <row r="187" spans="1:8" ht="33" customHeight="1">
      <c r="A187" s="61">
        <v>182</v>
      </c>
      <c r="B187" s="62" t="s">
        <v>2944</v>
      </c>
      <c r="C187" s="32" t="s">
        <v>3118</v>
      </c>
      <c r="D187" s="39" t="s">
        <v>3160</v>
      </c>
      <c r="E187" s="33" t="s">
        <v>1124</v>
      </c>
      <c r="F187" s="33" t="s">
        <v>61</v>
      </c>
      <c r="G187" s="33" t="s">
        <v>2951</v>
      </c>
      <c r="H187" s="63" t="s">
        <v>2947</v>
      </c>
    </row>
    <row r="188" spans="1:8" ht="47.55" customHeight="1">
      <c r="A188" s="58">
        <v>183</v>
      </c>
      <c r="B188" s="59" t="s">
        <v>2944</v>
      </c>
      <c r="C188" s="22" t="s">
        <v>3161</v>
      </c>
      <c r="D188" s="16" t="s">
        <v>312</v>
      </c>
      <c r="E188" s="2" t="s">
        <v>3162</v>
      </c>
      <c r="F188" s="2" t="s">
        <v>2983</v>
      </c>
      <c r="G188" s="2" t="s">
        <v>2951</v>
      </c>
      <c r="H188" s="60" t="s">
        <v>2947</v>
      </c>
    </row>
    <row r="189" spans="1:8" ht="33" customHeight="1">
      <c r="A189" s="61">
        <v>184</v>
      </c>
      <c r="B189" s="62" t="s">
        <v>2944</v>
      </c>
      <c r="C189" s="32" t="s">
        <v>3163</v>
      </c>
      <c r="D189" s="39" t="s">
        <v>3164</v>
      </c>
      <c r="E189" s="33" t="s">
        <v>1164</v>
      </c>
      <c r="F189" s="33" t="s">
        <v>61</v>
      </c>
      <c r="G189" s="33" t="s">
        <v>244</v>
      </c>
      <c r="H189" s="63" t="s">
        <v>2947</v>
      </c>
    </row>
    <row r="190" spans="1:8" ht="47.55" customHeight="1">
      <c r="A190" s="58">
        <v>185</v>
      </c>
      <c r="B190" s="59" t="s">
        <v>2944</v>
      </c>
      <c r="C190" s="22" t="s">
        <v>3165</v>
      </c>
      <c r="D190" s="16" t="s">
        <v>3166</v>
      </c>
      <c r="E190" s="2" t="s">
        <v>3167</v>
      </c>
      <c r="F190" s="2" t="s">
        <v>59</v>
      </c>
      <c r="G190" s="2" t="s">
        <v>2951</v>
      </c>
      <c r="H190" s="60" t="s">
        <v>2947</v>
      </c>
    </row>
    <row r="191" spans="1:8" ht="61.95" customHeight="1">
      <c r="A191" s="58">
        <v>186</v>
      </c>
      <c r="B191" s="59" t="s">
        <v>2944</v>
      </c>
      <c r="C191" s="22" t="s">
        <v>3168</v>
      </c>
      <c r="D191" s="16" t="s">
        <v>3169</v>
      </c>
      <c r="E191" s="2" t="s">
        <v>1424</v>
      </c>
      <c r="F191" s="2" t="s">
        <v>59</v>
      </c>
      <c r="G191" s="2" t="s">
        <v>2951</v>
      </c>
      <c r="H191" s="60" t="s">
        <v>2947</v>
      </c>
    </row>
    <row r="192" spans="1:8" ht="61.95" customHeight="1">
      <c r="A192" s="58">
        <v>187</v>
      </c>
      <c r="B192" s="59" t="s">
        <v>2944</v>
      </c>
      <c r="C192" s="22" t="s">
        <v>3168</v>
      </c>
      <c r="D192" s="16" t="s">
        <v>3170</v>
      </c>
      <c r="E192" s="2" t="s">
        <v>1442</v>
      </c>
      <c r="F192" s="2" t="s">
        <v>59</v>
      </c>
      <c r="G192" s="2" t="s">
        <v>2951</v>
      </c>
      <c r="H192" s="60" t="s">
        <v>2947</v>
      </c>
    </row>
    <row r="193" spans="1:8" ht="61.95" customHeight="1">
      <c r="A193" s="58">
        <v>188</v>
      </c>
      <c r="B193" s="59" t="s">
        <v>2944</v>
      </c>
      <c r="C193" s="22" t="s">
        <v>3168</v>
      </c>
      <c r="D193" s="16" t="s">
        <v>3171</v>
      </c>
      <c r="E193" s="2" t="s">
        <v>1442</v>
      </c>
      <c r="F193" s="2" t="s">
        <v>59</v>
      </c>
      <c r="G193" s="2" t="s">
        <v>2951</v>
      </c>
      <c r="H193" s="60" t="s">
        <v>2947</v>
      </c>
    </row>
    <row r="194" spans="1:8" ht="61.95" customHeight="1">
      <c r="A194" s="58">
        <v>189</v>
      </c>
      <c r="B194" s="59" t="s">
        <v>2944</v>
      </c>
      <c r="C194" s="22" t="s">
        <v>3168</v>
      </c>
      <c r="D194" s="16" t="s">
        <v>3172</v>
      </c>
      <c r="E194" s="2" t="s">
        <v>606</v>
      </c>
      <c r="F194" s="2" t="s">
        <v>59</v>
      </c>
      <c r="G194" s="2" t="s">
        <v>2951</v>
      </c>
      <c r="H194" s="60" t="s">
        <v>2947</v>
      </c>
    </row>
    <row r="195" spans="1:8" ht="61.95" customHeight="1">
      <c r="A195" s="58">
        <v>190</v>
      </c>
      <c r="B195" s="59" t="s">
        <v>2944</v>
      </c>
      <c r="C195" s="22" t="s">
        <v>3168</v>
      </c>
      <c r="D195" s="16" t="s">
        <v>3173</v>
      </c>
      <c r="E195" s="2" t="s">
        <v>547</v>
      </c>
      <c r="F195" s="2" t="s">
        <v>59</v>
      </c>
      <c r="G195" s="2" t="s">
        <v>2951</v>
      </c>
      <c r="H195" s="60" t="s">
        <v>2947</v>
      </c>
    </row>
    <row r="196" spans="1:8" ht="61.95" customHeight="1">
      <c r="A196" s="58">
        <v>191</v>
      </c>
      <c r="B196" s="59" t="s">
        <v>2944</v>
      </c>
      <c r="C196" s="22" t="s">
        <v>3168</v>
      </c>
      <c r="D196" s="16" t="s">
        <v>3174</v>
      </c>
      <c r="E196" s="2" t="s">
        <v>1059</v>
      </c>
      <c r="F196" s="2" t="s">
        <v>59</v>
      </c>
      <c r="G196" s="2" t="s">
        <v>2951</v>
      </c>
      <c r="H196" s="60" t="s">
        <v>2947</v>
      </c>
    </row>
    <row r="197" spans="1:8" ht="47.55" customHeight="1">
      <c r="A197" s="58">
        <v>192</v>
      </c>
      <c r="B197" s="59" t="s">
        <v>2944</v>
      </c>
      <c r="C197" s="22" t="s">
        <v>3168</v>
      </c>
      <c r="D197" s="16" t="s">
        <v>3175</v>
      </c>
      <c r="E197" s="2" t="s">
        <v>1059</v>
      </c>
      <c r="F197" s="2" t="s">
        <v>59</v>
      </c>
      <c r="G197" s="2" t="s">
        <v>241</v>
      </c>
      <c r="H197" s="60" t="s">
        <v>2978</v>
      </c>
    </row>
    <row r="198" spans="1:8" ht="76.5" customHeight="1">
      <c r="A198" s="61">
        <v>193</v>
      </c>
      <c r="B198" s="62" t="s">
        <v>2944</v>
      </c>
      <c r="C198" s="32" t="s">
        <v>3168</v>
      </c>
      <c r="D198" s="39" t="s">
        <v>3176</v>
      </c>
      <c r="E198" s="33" t="s">
        <v>1197</v>
      </c>
      <c r="F198" s="33" t="s">
        <v>61</v>
      </c>
      <c r="G198" s="33" t="s">
        <v>2951</v>
      </c>
      <c r="H198" s="63" t="s">
        <v>2947</v>
      </c>
    </row>
    <row r="199" spans="1:8" ht="47.55" customHeight="1">
      <c r="A199" s="58">
        <v>194</v>
      </c>
      <c r="B199" s="59" t="s">
        <v>2944</v>
      </c>
      <c r="C199" s="22" t="s">
        <v>3168</v>
      </c>
      <c r="D199" s="16" t="s">
        <v>3177</v>
      </c>
      <c r="E199" s="2" t="s">
        <v>890</v>
      </c>
      <c r="F199" s="2" t="s">
        <v>59</v>
      </c>
      <c r="G199" s="2" t="s">
        <v>2951</v>
      </c>
      <c r="H199" s="60" t="s">
        <v>2947</v>
      </c>
    </row>
    <row r="200" spans="1:8" ht="76.5" customHeight="1">
      <c r="A200" s="61">
        <v>195</v>
      </c>
      <c r="B200" s="62" t="s">
        <v>2944</v>
      </c>
      <c r="C200" s="32" t="s">
        <v>3168</v>
      </c>
      <c r="D200" s="39" t="s">
        <v>3178</v>
      </c>
      <c r="E200" s="33" t="s">
        <v>1215</v>
      </c>
      <c r="F200" s="33" t="s">
        <v>61</v>
      </c>
      <c r="G200" s="33" t="s">
        <v>2951</v>
      </c>
      <c r="H200" s="63" t="s">
        <v>2947</v>
      </c>
    </row>
    <row r="201" spans="1:8" ht="61.95" customHeight="1">
      <c r="A201" s="61">
        <v>196</v>
      </c>
      <c r="B201" s="62" t="s">
        <v>2944</v>
      </c>
      <c r="C201" s="32" t="s">
        <v>3168</v>
      </c>
      <c r="D201" s="39" t="s">
        <v>3179</v>
      </c>
      <c r="E201" s="33" t="s">
        <v>1215</v>
      </c>
      <c r="F201" s="33" t="s">
        <v>61</v>
      </c>
      <c r="G201" s="33" t="s">
        <v>2951</v>
      </c>
      <c r="H201" s="63" t="s">
        <v>2947</v>
      </c>
    </row>
    <row r="202" spans="1:8" ht="33" customHeight="1">
      <c r="A202" s="61">
        <v>197</v>
      </c>
      <c r="B202" s="62" t="s">
        <v>2944</v>
      </c>
      <c r="C202" s="32" t="s">
        <v>3180</v>
      </c>
      <c r="D202" s="39" t="s">
        <v>3181</v>
      </c>
      <c r="E202" s="33" t="s">
        <v>733</v>
      </c>
      <c r="F202" s="33" t="s">
        <v>61</v>
      </c>
      <c r="G202" s="33" t="s">
        <v>2951</v>
      </c>
      <c r="H202" s="63" t="s">
        <v>2947</v>
      </c>
    </row>
    <row r="203" spans="1:8" ht="33" customHeight="1">
      <c r="A203" s="58">
        <v>198</v>
      </c>
      <c r="B203" s="59" t="s">
        <v>2944</v>
      </c>
      <c r="C203" s="22" t="s">
        <v>3182</v>
      </c>
      <c r="D203" s="16" t="s">
        <v>3183</v>
      </c>
      <c r="E203" s="2" t="s">
        <v>941</v>
      </c>
      <c r="F203" s="2" t="s">
        <v>59</v>
      </c>
      <c r="G203" s="2" t="s">
        <v>2951</v>
      </c>
      <c r="H203" s="60" t="s">
        <v>2947</v>
      </c>
    </row>
    <row r="204" spans="1:8" ht="33" customHeight="1">
      <c r="A204" s="58">
        <v>199</v>
      </c>
      <c r="B204" s="59" t="s">
        <v>2944</v>
      </c>
      <c r="C204" s="22" t="s">
        <v>3182</v>
      </c>
      <c r="D204" s="16" t="s">
        <v>3184</v>
      </c>
      <c r="E204" s="2" t="s">
        <v>941</v>
      </c>
      <c r="F204" s="2" t="s">
        <v>59</v>
      </c>
      <c r="G204" s="2" t="s">
        <v>2951</v>
      </c>
      <c r="H204" s="60" t="s">
        <v>2947</v>
      </c>
    </row>
    <row r="205" spans="1:8" ht="33" customHeight="1">
      <c r="A205" s="61">
        <v>200</v>
      </c>
      <c r="B205" s="62" t="s">
        <v>2944</v>
      </c>
      <c r="C205" s="32" t="s">
        <v>3185</v>
      </c>
      <c r="D205" s="39" t="s">
        <v>3186</v>
      </c>
      <c r="E205" s="33" t="s">
        <v>709</v>
      </c>
      <c r="F205" s="33" t="s">
        <v>61</v>
      </c>
      <c r="G205" s="33" t="s">
        <v>2951</v>
      </c>
      <c r="H205" s="63" t="s">
        <v>2947</v>
      </c>
    </row>
    <row r="206" spans="1:8" ht="33" customHeight="1">
      <c r="A206" s="58">
        <v>201</v>
      </c>
      <c r="B206" s="59" t="s">
        <v>218</v>
      </c>
      <c r="C206" s="22" t="s">
        <v>3187</v>
      </c>
      <c r="D206" s="16" t="s">
        <v>645</v>
      </c>
      <c r="E206" s="2" t="s">
        <v>627</v>
      </c>
      <c r="F206" s="2" t="s">
        <v>59</v>
      </c>
      <c r="G206" s="2" t="s">
        <v>3188</v>
      </c>
      <c r="H206" s="60" t="s">
        <v>2947</v>
      </c>
    </row>
    <row r="207" spans="1:8" ht="47.55" customHeight="1">
      <c r="A207" s="58">
        <v>202</v>
      </c>
      <c r="B207" s="59" t="s">
        <v>218</v>
      </c>
      <c r="C207" s="22" t="s">
        <v>3189</v>
      </c>
      <c r="D207" s="16" t="s">
        <v>3190</v>
      </c>
      <c r="E207" s="2" t="s">
        <v>3191</v>
      </c>
      <c r="F207" s="2" t="s">
        <v>2983</v>
      </c>
      <c r="G207" s="2" t="s">
        <v>3188</v>
      </c>
      <c r="H207" s="60" t="s">
        <v>2947</v>
      </c>
    </row>
    <row r="208" spans="1:8" ht="33" customHeight="1">
      <c r="A208" s="61">
        <v>203</v>
      </c>
      <c r="B208" s="62" t="s">
        <v>218</v>
      </c>
      <c r="C208" s="32" t="s">
        <v>3189</v>
      </c>
      <c r="D208" s="39" t="s">
        <v>3192</v>
      </c>
      <c r="E208" s="33" t="s">
        <v>295</v>
      </c>
      <c r="F208" s="33" t="s">
        <v>61</v>
      </c>
      <c r="G208" s="33" t="s">
        <v>3188</v>
      </c>
      <c r="H208" s="63" t="s">
        <v>2947</v>
      </c>
    </row>
    <row r="209" spans="1:8" ht="33" customHeight="1">
      <c r="A209" s="58">
        <v>204</v>
      </c>
      <c r="B209" s="59" t="s">
        <v>218</v>
      </c>
      <c r="C209" s="22" t="s">
        <v>3189</v>
      </c>
      <c r="D209" s="16" t="s">
        <v>3193</v>
      </c>
      <c r="E209" s="2" t="s">
        <v>547</v>
      </c>
      <c r="F209" s="2" t="s">
        <v>59</v>
      </c>
      <c r="G209" s="2" t="s">
        <v>3188</v>
      </c>
      <c r="H209" s="60" t="s">
        <v>2947</v>
      </c>
    </row>
    <row r="210" spans="1:8" ht="33" customHeight="1">
      <c r="A210" s="61">
        <v>205</v>
      </c>
      <c r="B210" s="62" t="s">
        <v>218</v>
      </c>
      <c r="C210" s="32" t="s">
        <v>3189</v>
      </c>
      <c r="D210" s="39" t="s">
        <v>3194</v>
      </c>
      <c r="E210" s="33" t="s">
        <v>295</v>
      </c>
      <c r="F210" s="33" t="s">
        <v>61</v>
      </c>
      <c r="G210" s="33" t="s">
        <v>3188</v>
      </c>
      <c r="H210" s="63" t="s">
        <v>2947</v>
      </c>
    </row>
    <row r="211" spans="1:8" ht="33" customHeight="1">
      <c r="A211" s="58">
        <v>206</v>
      </c>
      <c r="B211" s="59" t="s">
        <v>218</v>
      </c>
      <c r="C211" s="22" t="s">
        <v>3189</v>
      </c>
      <c r="D211" s="16" t="s">
        <v>3195</v>
      </c>
      <c r="E211" s="2" t="s">
        <v>547</v>
      </c>
      <c r="F211" s="2" t="s">
        <v>59</v>
      </c>
      <c r="G211" s="2" t="s">
        <v>3188</v>
      </c>
      <c r="H211" s="60" t="s">
        <v>2947</v>
      </c>
    </row>
    <row r="212" spans="1:8" ht="33" customHeight="1">
      <c r="A212" s="61">
        <v>207</v>
      </c>
      <c r="B212" s="62" t="s">
        <v>218</v>
      </c>
      <c r="C212" s="32" t="s">
        <v>3196</v>
      </c>
      <c r="D212" s="39" t="s">
        <v>3197</v>
      </c>
      <c r="E212" s="33" t="s">
        <v>686</v>
      </c>
      <c r="F212" s="33" t="s">
        <v>61</v>
      </c>
      <c r="G212" s="33" t="s">
        <v>244</v>
      </c>
      <c r="H212" s="63" t="s">
        <v>2947</v>
      </c>
    </row>
    <row r="213" spans="1:8" ht="33" customHeight="1">
      <c r="A213" s="58">
        <v>208</v>
      </c>
      <c r="B213" s="59" t="s">
        <v>218</v>
      </c>
      <c r="C213" s="22" t="s">
        <v>3196</v>
      </c>
      <c r="D213" s="16" t="s">
        <v>3198</v>
      </c>
      <c r="E213" s="2" t="s">
        <v>3167</v>
      </c>
      <c r="F213" s="2" t="s">
        <v>59</v>
      </c>
      <c r="G213" s="2" t="s">
        <v>3188</v>
      </c>
      <c r="H213" s="60" t="s">
        <v>2947</v>
      </c>
    </row>
    <row r="214" spans="1:8" ht="33" customHeight="1">
      <c r="A214" s="58">
        <v>209</v>
      </c>
      <c r="B214" s="59" t="s">
        <v>218</v>
      </c>
      <c r="C214" s="22" t="s">
        <v>3196</v>
      </c>
      <c r="D214" s="16" t="s">
        <v>3199</v>
      </c>
      <c r="E214" s="2" t="s">
        <v>400</v>
      </c>
      <c r="F214" s="2" t="s">
        <v>59</v>
      </c>
      <c r="G214" s="2" t="s">
        <v>2951</v>
      </c>
      <c r="H214" s="60" t="s">
        <v>2947</v>
      </c>
    </row>
    <row r="215" spans="1:8" ht="33" customHeight="1">
      <c r="A215" s="58">
        <v>210</v>
      </c>
      <c r="B215" s="59" t="s">
        <v>218</v>
      </c>
      <c r="C215" s="22" t="s">
        <v>3196</v>
      </c>
      <c r="D215" s="16" t="s">
        <v>3200</v>
      </c>
      <c r="E215" s="2" t="s">
        <v>400</v>
      </c>
      <c r="F215" s="2" t="s">
        <v>59</v>
      </c>
      <c r="G215" s="2" t="s">
        <v>2951</v>
      </c>
      <c r="H215" s="60" t="s">
        <v>2947</v>
      </c>
    </row>
    <row r="216" spans="1:8" ht="33" customHeight="1">
      <c r="A216" s="61">
        <v>211</v>
      </c>
      <c r="B216" s="62" t="s">
        <v>218</v>
      </c>
      <c r="C216" s="32" t="s">
        <v>3196</v>
      </c>
      <c r="D216" s="39" t="s">
        <v>3201</v>
      </c>
      <c r="E216" s="33" t="s">
        <v>686</v>
      </c>
      <c r="F216" s="33" t="s">
        <v>61</v>
      </c>
      <c r="G216" s="33" t="s">
        <v>244</v>
      </c>
      <c r="H216" s="63" t="s">
        <v>2947</v>
      </c>
    </row>
    <row r="217" spans="1:8" ht="33" customHeight="1">
      <c r="A217" s="61">
        <v>212</v>
      </c>
      <c r="B217" s="62" t="s">
        <v>218</v>
      </c>
      <c r="C217" s="32" t="s">
        <v>3196</v>
      </c>
      <c r="D217" s="39" t="s">
        <v>3202</v>
      </c>
      <c r="E217" s="33" t="s">
        <v>686</v>
      </c>
      <c r="F217" s="33" t="s">
        <v>61</v>
      </c>
      <c r="G217" s="33" t="s">
        <v>3188</v>
      </c>
      <c r="H217" s="63" t="s">
        <v>2947</v>
      </c>
    </row>
    <row r="218" spans="1:8" ht="33" customHeight="1">
      <c r="A218" s="61">
        <v>213</v>
      </c>
      <c r="B218" s="62" t="s">
        <v>218</v>
      </c>
      <c r="C218" s="32" t="s">
        <v>3196</v>
      </c>
      <c r="D218" s="39" t="s">
        <v>3203</v>
      </c>
      <c r="E218" s="33" t="s">
        <v>686</v>
      </c>
      <c r="F218" s="33" t="s">
        <v>61</v>
      </c>
      <c r="G218" s="33" t="s">
        <v>3188</v>
      </c>
      <c r="H218" s="63" t="s">
        <v>2947</v>
      </c>
    </row>
    <row r="219" spans="1:8" ht="33" customHeight="1">
      <c r="A219" s="58">
        <v>214</v>
      </c>
      <c r="B219" s="59" t="s">
        <v>218</v>
      </c>
      <c r="C219" s="22" t="s">
        <v>3196</v>
      </c>
      <c r="D219" s="16" t="s">
        <v>3204</v>
      </c>
      <c r="E219" s="2" t="s">
        <v>400</v>
      </c>
      <c r="F219" s="2" t="s">
        <v>59</v>
      </c>
      <c r="G219" s="2" t="s">
        <v>2951</v>
      </c>
      <c r="H219" s="60" t="s">
        <v>2947</v>
      </c>
    </row>
    <row r="220" spans="1:8" ht="18.45" customHeight="1">
      <c r="A220" s="58">
        <v>215</v>
      </c>
      <c r="B220" s="59" t="s">
        <v>218</v>
      </c>
      <c r="C220" s="22" t="s">
        <v>3205</v>
      </c>
      <c r="D220" s="16" t="s">
        <v>831</v>
      </c>
      <c r="E220" s="2" t="s">
        <v>815</v>
      </c>
      <c r="F220" s="2" t="s">
        <v>59</v>
      </c>
      <c r="G220" s="2" t="s">
        <v>242</v>
      </c>
      <c r="H220" s="60" t="s">
        <v>2978</v>
      </c>
    </row>
    <row r="221" spans="1:8" ht="33" customHeight="1">
      <c r="A221" s="58">
        <v>216</v>
      </c>
      <c r="B221" s="59" t="s">
        <v>218</v>
      </c>
      <c r="C221" s="22" t="s">
        <v>3206</v>
      </c>
      <c r="D221" s="16" t="s">
        <v>3207</v>
      </c>
      <c r="E221" s="2" t="s">
        <v>3167</v>
      </c>
      <c r="F221" s="2" t="s">
        <v>59</v>
      </c>
      <c r="G221" s="2" t="s">
        <v>3188</v>
      </c>
      <c r="H221" s="60" t="s">
        <v>2947</v>
      </c>
    </row>
    <row r="222" spans="1:8" ht="33" customHeight="1">
      <c r="A222" s="58">
        <v>217</v>
      </c>
      <c r="B222" s="59" t="s">
        <v>218</v>
      </c>
      <c r="C222" s="22" t="s">
        <v>3206</v>
      </c>
      <c r="D222" s="16" t="s">
        <v>2714</v>
      </c>
      <c r="E222" s="2" t="s">
        <v>3167</v>
      </c>
      <c r="F222" s="2" t="s">
        <v>59</v>
      </c>
      <c r="G222" s="2" t="s">
        <v>3188</v>
      </c>
      <c r="H222" s="60" t="s">
        <v>2947</v>
      </c>
    </row>
    <row r="223" spans="1:8" ht="47.55" customHeight="1">
      <c r="A223" s="58">
        <v>218</v>
      </c>
      <c r="B223" s="59" t="s">
        <v>218</v>
      </c>
      <c r="C223" s="22" t="s">
        <v>3206</v>
      </c>
      <c r="D223" s="16" t="s">
        <v>267</v>
      </c>
      <c r="E223" s="2" t="s">
        <v>2982</v>
      </c>
      <c r="F223" s="2" t="s">
        <v>2983</v>
      </c>
      <c r="G223" s="2" t="s">
        <v>3188</v>
      </c>
      <c r="H223" s="60" t="s">
        <v>2947</v>
      </c>
    </row>
    <row r="224" spans="1:8" ht="33" customHeight="1">
      <c r="A224" s="58">
        <v>219</v>
      </c>
      <c r="B224" s="59" t="s">
        <v>218</v>
      </c>
      <c r="C224" s="22" t="s">
        <v>3206</v>
      </c>
      <c r="D224" s="16" t="s">
        <v>3208</v>
      </c>
      <c r="E224" s="2" t="s">
        <v>3209</v>
      </c>
      <c r="F224" s="2" t="s">
        <v>59</v>
      </c>
      <c r="G224" s="2" t="s">
        <v>3188</v>
      </c>
      <c r="H224" s="60" t="s">
        <v>2947</v>
      </c>
    </row>
    <row r="225" spans="1:8" ht="33" customHeight="1">
      <c r="A225" s="58">
        <v>220</v>
      </c>
      <c r="B225" s="59" t="s">
        <v>218</v>
      </c>
      <c r="C225" s="22" t="s">
        <v>3206</v>
      </c>
      <c r="D225" s="16" t="s">
        <v>3210</v>
      </c>
      <c r="E225" s="2" t="s">
        <v>775</v>
      </c>
      <c r="F225" s="2" t="s">
        <v>59</v>
      </c>
      <c r="G225" s="2" t="s">
        <v>3188</v>
      </c>
      <c r="H225" s="60" t="s">
        <v>2947</v>
      </c>
    </row>
    <row r="226" spans="1:8" ht="33" customHeight="1">
      <c r="A226" s="58">
        <v>221</v>
      </c>
      <c r="B226" s="59" t="s">
        <v>218</v>
      </c>
      <c r="C226" s="22" t="s">
        <v>3206</v>
      </c>
      <c r="D226" s="16" t="s">
        <v>3211</v>
      </c>
      <c r="E226" s="2" t="s">
        <v>400</v>
      </c>
      <c r="F226" s="2" t="s">
        <v>59</v>
      </c>
      <c r="G226" s="2" t="s">
        <v>3188</v>
      </c>
      <c r="H226" s="60" t="s">
        <v>2947</v>
      </c>
    </row>
    <row r="227" spans="1:8" ht="33" customHeight="1">
      <c r="A227" s="58">
        <v>222</v>
      </c>
      <c r="B227" s="59" t="s">
        <v>218</v>
      </c>
      <c r="C227" s="22" t="s">
        <v>3206</v>
      </c>
      <c r="D227" s="16" t="s">
        <v>3212</v>
      </c>
      <c r="E227" s="2" t="s">
        <v>400</v>
      </c>
      <c r="F227" s="2" t="s">
        <v>59</v>
      </c>
      <c r="G227" s="2" t="s">
        <v>3188</v>
      </c>
      <c r="H227" s="60" t="s">
        <v>2947</v>
      </c>
    </row>
    <row r="228" spans="1:8" ht="33" customHeight="1">
      <c r="A228" s="58">
        <v>223</v>
      </c>
      <c r="B228" s="59" t="s">
        <v>218</v>
      </c>
      <c r="C228" s="22" t="s">
        <v>3206</v>
      </c>
      <c r="D228" s="16" t="s">
        <v>3213</v>
      </c>
      <c r="E228" s="2" t="s">
        <v>775</v>
      </c>
      <c r="F228" s="2" t="s">
        <v>59</v>
      </c>
      <c r="G228" s="2" t="s">
        <v>3188</v>
      </c>
      <c r="H228" s="60" t="s">
        <v>2947</v>
      </c>
    </row>
    <row r="229" spans="1:8" ht="47.55" customHeight="1">
      <c r="A229" s="58">
        <v>224</v>
      </c>
      <c r="B229" s="59" t="s">
        <v>218</v>
      </c>
      <c r="C229" s="22" t="s">
        <v>3206</v>
      </c>
      <c r="D229" s="16" t="s">
        <v>3214</v>
      </c>
      <c r="E229" s="2" t="s">
        <v>400</v>
      </c>
      <c r="F229" s="2" t="s">
        <v>59</v>
      </c>
      <c r="G229" s="2" t="s">
        <v>3188</v>
      </c>
      <c r="H229" s="60" t="s">
        <v>2947</v>
      </c>
    </row>
    <row r="230" spans="1:8" ht="33" customHeight="1">
      <c r="A230" s="58">
        <v>225</v>
      </c>
      <c r="B230" s="59" t="s">
        <v>218</v>
      </c>
      <c r="C230" s="22" t="s">
        <v>3206</v>
      </c>
      <c r="D230" s="16" t="s">
        <v>3215</v>
      </c>
      <c r="E230" s="2" t="s">
        <v>852</v>
      </c>
      <c r="F230" s="2" t="s">
        <v>59</v>
      </c>
      <c r="G230" s="2" t="s">
        <v>3188</v>
      </c>
      <c r="H230" s="60" t="s">
        <v>2947</v>
      </c>
    </row>
    <row r="231" spans="1:8" ht="33" customHeight="1">
      <c r="A231" s="58">
        <v>226</v>
      </c>
      <c r="B231" s="59" t="s">
        <v>218</v>
      </c>
      <c r="C231" s="22" t="s">
        <v>3206</v>
      </c>
      <c r="D231" s="16" t="s">
        <v>3216</v>
      </c>
      <c r="E231" s="2" t="s">
        <v>3167</v>
      </c>
      <c r="F231" s="2" t="s">
        <v>59</v>
      </c>
      <c r="G231" s="2" t="s">
        <v>3188</v>
      </c>
      <c r="H231" s="60" t="s">
        <v>2947</v>
      </c>
    </row>
    <row r="232" spans="1:8" ht="33" customHeight="1">
      <c r="A232" s="58">
        <v>227</v>
      </c>
      <c r="B232" s="59" t="s">
        <v>218</v>
      </c>
      <c r="C232" s="22" t="s">
        <v>3206</v>
      </c>
      <c r="D232" s="16" t="s">
        <v>3217</v>
      </c>
      <c r="E232" s="2" t="s">
        <v>775</v>
      </c>
      <c r="F232" s="2" t="s">
        <v>59</v>
      </c>
      <c r="G232" s="2" t="s">
        <v>3188</v>
      </c>
      <c r="H232" s="60" t="s">
        <v>2947</v>
      </c>
    </row>
    <row r="233" spans="1:8" ht="33" customHeight="1">
      <c r="A233" s="58">
        <v>228</v>
      </c>
      <c r="B233" s="59" t="s">
        <v>218</v>
      </c>
      <c r="C233" s="22" t="s">
        <v>3206</v>
      </c>
      <c r="D233" s="16" t="s">
        <v>3218</v>
      </c>
      <c r="E233" s="2" t="s">
        <v>400</v>
      </c>
      <c r="F233" s="2" t="s">
        <v>59</v>
      </c>
      <c r="G233" s="2" t="s">
        <v>3188</v>
      </c>
      <c r="H233" s="60" t="s">
        <v>2947</v>
      </c>
    </row>
    <row r="234" spans="1:8" ht="33" customHeight="1">
      <c r="A234" s="58">
        <v>229</v>
      </c>
      <c r="B234" s="59" t="s">
        <v>218</v>
      </c>
      <c r="C234" s="22" t="s">
        <v>3219</v>
      </c>
      <c r="D234" s="16" t="s">
        <v>1282</v>
      </c>
      <c r="E234" s="2" t="s">
        <v>1268</v>
      </c>
      <c r="F234" s="2" t="s">
        <v>59</v>
      </c>
      <c r="G234" s="2" t="s">
        <v>3188</v>
      </c>
      <c r="H234" s="60" t="s">
        <v>2947</v>
      </c>
    </row>
    <row r="235" spans="1:8" ht="33" customHeight="1">
      <c r="A235" s="58">
        <v>230</v>
      </c>
      <c r="B235" s="59" t="s">
        <v>218</v>
      </c>
      <c r="C235" s="22" t="s">
        <v>3219</v>
      </c>
      <c r="D235" s="16" t="s">
        <v>3220</v>
      </c>
      <c r="E235" s="2" t="s">
        <v>505</v>
      </c>
      <c r="F235" s="2" t="s">
        <v>59</v>
      </c>
      <c r="G235" s="2" t="s">
        <v>3188</v>
      </c>
      <c r="H235" s="60" t="s">
        <v>2947</v>
      </c>
    </row>
    <row r="236" spans="1:8" ht="47.55" customHeight="1">
      <c r="A236" s="58">
        <v>231</v>
      </c>
      <c r="B236" s="59" t="s">
        <v>218</v>
      </c>
      <c r="C236" s="22" t="s">
        <v>3219</v>
      </c>
      <c r="D236" s="16" t="s">
        <v>3221</v>
      </c>
      <c r="E236" s="2" t="s">
        <v>505</v>
      </c>
      <c r="F236" s="2" t="s">
        <v>59</v>
      </c>
      <c r="G236" s="2" t="s">
        <v>3188</v>
      </c>
      <c r="H236" s="60" t="s">
        <v>2947</v>
      </c>
    </row>
    <row r="237" spans="1:8" ht="33" customHeight="1">
      <c r="A237" s="58">
        <v>232</v>
      </c>
      <c r="B237" s="59" t="s">
        <v>218</v>
      </c>
      <c r="C237" s="22" t="s">
        <v>3222</v>
      </c>
      <c r="D237" s="16" t="s">
        <v>291</v>
      </c>
      <c r="E237" s="2" t="s">
        <v>272</v>
      </c>
      <c r="F237" s="2" t="s">
        <v>59</v>
      </c>
      <c r="G237" s="2" t="s">
        <v>3188</v>
      </c>
      <c r="H237" s="60" t="s">
        <v>2947</v>
      </c>
    </row>
    <row r="238" spans="1:8" ht="33" customHeight="1">
      <c r="A238" s="61">
        <v>233</v>
      </c>
      <c r="B238" s="62" t="s">
        <v>218</v>
      </c>
      <c r="C238" s="32" t="s">
        <v>2958</v>
      </c>
      <c r="D238" s="39" t="s">
        <v>3223</v>
      </c>
      <c r="E238" s="33" t="s">
        <v>964</v>
      </c>
      <c r="F238" s="33" t="s">
        <v>61</v>
      </c>
      <c r="G238" s="33" t="s">
        <v>3188</v>
      </c>
      <c r="H238" s="63" t="s">
        <v>2947</v>
      </c>
    </row>
    <row r="239" spans="1:8" ht="33" customHeight="1">
      <c r="A239" s="61">
        <v>234</v>
      </c>
      <c r="B239" s="62" t="s">
        <v>218</v>
      </c>
      <c r="C239" s="32" t="s">
        <v>2958</v>
      </c>
      <c r="D239" s="39" t="s">
        <v>3224</v>
      </c>
      <c r="E239" s="33" t="s">
        <v>964</v>
      </c>
      <c r="F239" s="33" t="s">
        <v>61</v>
      </c>
      <c r="G239" s="33" t="s">
        <v>3188</v>
      </c>
      <c r="H239" s="63" t="s">
        <v>2947</v>
      </c>
    </row>
    <row r="240" spans="1:8" ht="33" customHeight="1">
      <c r="A240" s="58">
        <v>235</v>
      </c>
      <c r="B240" s="59" t="s">
        <v>218</v>
      </c>
      <c r="C240" s="22" t="s">
        <v>3225</v>
      </c>
      <c r="D240" s="16" t="s">
        <v>3226</v>
      </c>
      <c r="E240" s="2" t="s">
        <v>3018</v>
      </c>
      <c r="F240" s="2" t="s">
        <v>59</v>
      </c>
      <c r="G240" s="2" t="s">
        <v>3188</v>
      </c>
      <c r="H240" s="60" t="s">
        <v>2947</v>
      </c>
    </row>
    <row r="241" spans="1:8" ht="33" customHeight="1">
      <c r="A241" s="58">
        <v>236</v>
      </c>
      <c r="B241" s="59" t="s">
        <v>218</v>
      </c>
      <c r="C241" s="22" t="s">
        <v>3225</v>
      </c>
      <c r="D241" s="16" t="s">
        <v>3227</v>
      </c>
      <c r="E241" s="2" t="s">
        <v>3018</v>
      </c>
      <c r="F241" s="2" t="s">
        <v>59</v>
      </c>
      <c r="G241" s="2" t="s">
        <v>3188</v>
      </c>
      <c r="H241" s="60" t="s">
        <v>2947</v>
      </c>
    </row>
    <row r="242" spans="1:8" ht="33" customHeight="1">
      <c r="A242" s="58">
        <v>237</v>
      </c>
      <c r="B242" s="59" t="s">
        <v>218</v>
      </c>
      <c r="C242" s="22" t="s">
        <v>3225</v>
      </c>
      <c r="D242" s="16" t="s">
        <v>3228</v>
      </c>
      <c r="E242" s="2" t="s">
        <v>316</v>
      </c>
      <c r="F242" s="2" t="s">
        <v>59</v>
      </c>
      <c r="G242" s="2" t="s">
        <v>3188</v>
      </c>
      <c r="H242" s="60" t="s">
        <v>2947</v>
      </c>
    </row>
    <row r="243" spans="1:8" ht="33" customHeight="1">
      <c r="A243" s="58">
        <v>238</v>
      </c>
      <c r="B243" s="59" t="s">
        <v>218</v>
      </c>
      <c r="C243" s="22" t="s">
        <v>3225</v>
      </c>
      <c r="D243" s="16" t="s">
        <v>3229</v>
      </c>
      <c r="E243" s="2" t="s">
        <v>316</v>
      </c>
      <c r="F243" s="2" t="s">
        <v>59</v>
      </c>
      <c r="G243" s="2" t="s">
        <v>3188</v>
      </c>
      <c r="H243" s="60" t="s">
        <v>2947</v>
      </c>
    </row>
    <row r="244" spans="1:8" ht="33" customHeight="1">
      <c r="A244" s="61">
        <v>239</v>
      </c>
      <c r="B244" s="62" t="s">
        <v>218</v>
      </c>
      <c r="C244" s="32" t="s">
        <v>3230</v>
      </c>
      <c r="D244" s="39" t="s">
        <v>3231</v>
      </c>
      <c r="E244" s="33" t="s">
        <v>1164</v>
      </c>
      <c r="F244" s="33" t="s">
        <v>61</v>
      </c>
      <c r="G244" s="33" t="s">
        <v>244</v>
      </c>
      <c r="H244" s="63" t="s">
        <v>2947</v>
      </c>
    </row>
    <row r="245" spans="1:8" ht="33" customHeight="1">
      <c r="A245" s="61">
        <v>240</v>
      </c>
      <c r="B245" s="62" t="s">
        <v>218</v>
      </c>
      <c r="C245" s="32" t="s">
        <v>3230</v>
      </c>
      <c r="D245" s="39" t="s">
        <v>3232</v>
      </c>
      <c r="E245" s="33" t="s">
        <v>1164</v>
      </c>
      <c r="F245" s="33" t="s">
        <v>61</v>
      </c>
      <c r="G245" s="33" t="s">
        <v>3188</v>
      </c>
      <c r="H245" s="63" t="s">
        <v>2947</v>
      </c>
    </row>
    <row r="246" spans="1:8" ht="33" customHeight="1">
      <c r="A246" s="61">
        <v>241</v>
      </c>
      <c r="B246" s="62" t="s">
        <v>218</v>
      </c>
      <c r="C246" s="32" t="s">
        <v>3230</v>
      </c>
      <c r="D246" s="39" t="s">
        <v>3233</v>
      </c>
      <c r="E246" s="33" t="s">
        <v>1164</v>
      </c>
      <c r="F246" s="33" t="s">
        <v>61</v>
      </c>
      <c r="G246" s="33" t="s">
        <v>3188</v>
      </c>
      <c r="H246" s="63" t="s">
        <v>2947</v>
      </c>
    </row>
    <row r="247" spans="1:8" ht="33" customHeight="1">
      <c r="A247" s="61">
        <v>242</v>
      </c>
      <c r="B247" s="62" t="s">
        <v>218</v>
      </c>
      <c r="C247" s="32" t="s">
        <v>3230</v>
      </c>
      <c r="D247" s="39" t="s">
        <v>3234</v>
      </c>
      <c r="E247" s="33" t="s">
        <v>1164</v>
      </c>
      <c r="F247" s="33" t="s">
        <v>61</v>
      </c>
      <c r="G247" s="33" t="s">
        <v>3188</v>
      </c>
      <c r="H247" s="63" t="s">
        <v>2947</v>
      </c>
    </row>
    <row r="248" spans="1:8" ht="33" customHeight="1">
      <c r="A248" s="61">
        <v>243</v>
      </c>
      <c r="B248" s="62" t="s">
        <v>218</v>
      </c>
      <c r="C248" s="32" t="s">
        <v>3230</v>
      </c>
      <c r="D248" s="39" t="s">
        <v>3235</v>
      </c>
      <c r="E248" s="33" t="s">
        <v>1164</v>
      </c>
      <c r="F248" s="33" t="s">
        <v>61</v>
      </c>
      <c r="G248" s="33" t="s">
        <v>3188</v>
      </c>
      <c r="H248" s="63" t="s">
        <v>2947</v>
      </c>
    </row>
    <row r="249" spans="1:8" ht="33" customHeight="1">
      <c r="A249" s="61">
        <v>244</v>
      </c>
      <c r="B249" s="62" t="s">
        <v>218</v>
      </c>
      <c r="C249" s="32" t="s">
        <v>3230</v>
      </c>
      <c r="D249" s="39" t="s">
        <v>3236</v>
      </c>
      <c r="E249" s="33" t="s">
        <v>1164</v>
      </c>
      <c r="F249" s="33" t="s">
        <v>61</v>
      </c>
      <c r="G249" s="33" t="s">
        <v>244</v>
      </c>
      <c r="H249" s="63" t="s">
        <v>2947</v>
      </c>
    </row>
    <row r="250" spans="1:8" ht="33" customHeight="1">
      <c r="A250" s="61">
        <v>245</v>
      </c>
      <c r="B250" s="62" t="s">
        <v>218</v>
      </c>
      <c r="C250" s="32" t="s">
        <v>3237</v>
      </c>
      <c r="D250" s="39" t="s">
        <v>3238</v>
      </c>
      <c r="E250" s="33" t="s">
        <v>686</v>
      </c>
      <c r="F250" s="33" t="s">
        <v>61</v>
      </c>
      <c r="G250" s="33" t="s">
        <v>242</v>
      </c>
      <c r="H250" s="63" t="s">
        <v>2978</v>
      </c>
    </row>
    <row r="251" spans="1:8" ht="33" customHeight="1">
      <c r="A251" s="61">
        <v>246</v>
      </c>
      <c r="B251" s="62" t="s">
        <v>218</v>
      </c>
      <c r="C251" s="32" t="s">
        <v>3239</v>
      </c>
      <c r="D251" s="39" t="s">
        <v>3240</v>
      </c>
      <c r="E251" s="33" t="s">
        <v>709</v>
      </c>
      <c r="F251" s="33" t="s">
        <v>61</v>
      </c>
      <c r="G251" s="33" t="s">
        <v>3188</v>
      </c>
      <c r="H251" s="63" t="s">
        <v>2947</v>
      </c>
    </row>
    <row r="252" spans="1:8" ht="33" customHeight="1">
      <c r="A252" s="61">
        <v>247</v>
      </c>
      <c r="B252" s="62" t="s">
        <v>218</v>
      </c>
      <c r="C252" s="32" t="s">
        <v>3239</v>
      </c>
      <c r="D252" s="39" t="s">
        <v>3241</v>
      </c>
      <c r="E252" s="33" t="s">
        <v>709</v>
      </c>
      <c r="F252" s="33" t="s">
        <v>61</v>
      </c>
      <c r="G252" s="33" t="s">
        <v>3188</v>
      </c>
      <c r="H252" s="63" t="s">
        <v>2947</v>
      </c>
    </row>
    <row r="253" spans="1:8" ht="33" customHeight="1">
      <c r="A253" s="61">
        <v>248</v>
      </c>
      <c r="B253" s="62" t="s">
        <v>218</v>
      </c>
      <c r="C253" s="32" t="s">
        <v>3239</v>
      </c>
      <c r="D253" s="39" t="s">
        <v>3242</v>
      </c>
      <c r="E253" s="33" t="s">
        <v>709</v>
      </c>
      <c r="F253" s="33" t="s">
        <v>61</v>
      </c>
      <c r="G253" s="33" t="s">
        <v>3188</v>
      </c>
      <c r="H253" s="63" t="s">
        <v>2947</v>
      </c>
    </row>
    <row r="254" spans="1:8" ht="33" customHeight="1">
      <c r="A254" s="61">
        <v>249</v>
      </c>
      <c r="B254" s="62" t="s">
        <v>218</v>
      </c>
      <c r="C254" s="32" t="s">
        <v>3243</v>
      </c>
      <c r="D254" s="39" t="s">
        <v>3244</v>
      </c>
      <c r="E254" s="33" t="s">
        <v>709</v>
      </c>
      <c r="F254" s="33" t="s">
        <v>61</v>
      </c>
      <c r="G254" s="33" t="s">
        <v>3188</v>
      </c>
      <c r="H254" s="63" t="s">
        <v>2947</v>
      </c>
    </row>
    <row r="255" spans="1:8" ht="33" customHeight="1">
      <c r="A255" s="61">
        <v>250</v>
      </c>
      <c r="B255" s="62" t="s">
        <v>218</v>
      </c>
      <c r="C255" s="32" t="s">
        <v>3245</v>
      </c>
      <c r="D255" s="39" t="s">
        <v>3246</v>
      </c>
      <c r="E255" s="33" t="s">
        <v>964</v>
      </c>
      <c r="F255" s="33" t="s">
        <v>61</v>
      </c>
      <c r="G255" s="33" t="s">
        <v>3188</v>
      </c>
      <c r="H255" s="63" t="s">
        <v>2947</v>
      </c>
    </row>
    <row r="256" spans="1:8" ht="33" customHeight="1">
      <c r="A256" s="61">
        <v>251</v>
      </c>
      <c r="B256" s="62" t="s">
        <v>218</v>
      </c>
      <c r="C256" s="32" t="s">
        <v>3245</v>
      </c>
      <c r="D256" s="39" t="s">
        <v>3247</v>
      </c>
      <c r="E256" s="33" t="s">
        <v>439</v>
      </c>
      <c r="F256" s="33" t="s">
        <v>61</v>
      </c>
      <c r="G256" s="33" t="s">
        <v>3188</v>
      </c>
      <c r="H256" s="63" t="s">
        <v>2947</v>
      </c>
    </row>
    <row r="257" spans="1:8" ht="33" customHeight="1">
      <c r="A257" s="61">
        <v>252</v>
      </c>
      <c r="B257" s="62" t="s">
        <v>218</v>
      </c>
      <c r="C257" s="32" t="s">
        <v>3245</v>
      </c>
      <c r="D257" s="39" t="s">
        <v>3248</v>
      </c>
      <c r="E257" s="33" t="s">
        <v>439</v>
      </c>
      <c r="F257" s="33" t="s">
        <v>61</v>
      </c>
      <c r="G257" s="33" t="s">
        <v>3188</v>
      </c>
      <c r="H257" s="63" t="s">
        <v>2947</v>
      </c>
    </row>
    <row r="258" spans="1:8" ht="33" customHeight="1">
      <c r="A258" s="61">
        <v>253</v>
      </c>
      <c r="B258" s="62" t="s">
        <v>218</v>
      </c>
      <c r="C258" s="32" t="s">
        <v>3245</v>
      </c>
      <c r="D258" s="39" t="s">
        <v>3249</v>
      </c>
      <c r="E258" s="33" t="s">
        <v>439</v>
      </c>
      <c r="F258" s="33" t="s">
        <v>61</v>
      </c>
      <c r="G258" s="33" t="s">
        <v>3188</v>
      </c>
      <c r="H258" s="63" t="s">
        <v>2947</v>
      </c>
    </row>
    <row r="259" spans="1:8" ht="33" customHeight="1">
      <c r="A259" s="61">
        <v>254</v>
      </c>
      <c r="B259" s="62" t="s">
        <v>218</v>
      </c>
      <c r="C259" s="32" t="s">
        <v>3245</v>
      </c>
      <c r="D259" s="39" t="s">
        <v>3250</v>
      </c>
      <c r="E259" s="33" t="s">
        <v>439</v>
      </c>
      <c r="F259" s="33" t="s">
        <v>61</v>
      </c>
      <c r="G259" s="33" t="s">
        <v>3188</v>
      </c>
      <c r="H259" s="63" t="s">
        <v>2947</v>
      </c>
    </row>
    <row r="260" spans="1:8" ht="33" customHeight="1">
      <c r="A260" s="61">
        <v>255</v>
      </c>
      <c r="B260" s="62" t="s">
        <v>218</v>
      </c>
      <c r="C260" s="32" t="s">
        <v>3245</v>
      </c>
      <c r="D260" s="39" t="s">
        <v>3251</v>
      </c>
      <c r="E260" s="33" t="s">
        <v>3079</v>
      </c>
      <c r="F260" s="33" t="s">
        <v>61</v>
      </c>
      <c r="G260" s="33" t="s">
        <v>3188</v>
      </c>
      <c r="H260" s="63" t="s">
        <v>2947</v>
      </c>
    </row>
    <row r="261" spans="1:8" ht="33" customHeight="1">
      <c r="A261" s="61">
        <v>256</v>
      </c>
      <c r="B261" s="62" t="s">
        <v>218</v>
      </c>
      <c r="C261" s="32" t="s">
        <v>3245</v>
      </c>
      <c r="D261" s="39" t="s">
        <v>3252</v>
      </c>
      <c r="E261" s="33" t="s">
        <v>964</v>
      </c>
      <c r="F261" s="33" t="s">
        <v>61</v>
      </c>
      <c r="G261" s="33" t="s">
        <v>3188</v>
      </c>
      <c r="H261" s="63" t="s">
        <v>2947</v>
      </c>
    </row>
    <row r="262" spans="1:8" ht="33" customHeight="1">
      <c r="A262" s="61">
        <v>257</v>
      </c>
      <c r="B262" s="62" t="s">
        <v>218</v>
      </c>
      <c r="C262" s="32" t="s">
        <v>3245</v>
      </c>
      <c r="D262" s="39" t="s">
        <v>3253</v>
      </c>
      <c r="E262" s="33" t="s">
        <v>1588</v>
      </c>
      <c r="F262" s="33" t="s">
        <v>61</v>
      </c>
      <c r="G262" s="33" t="s">
        <v>3188</v>
      </c>
      <c r="H262" s="63" t="s">
        <v>2947</v>
      </c>
    </row>
    <row r="263" spans="1:8" ht="33" customHeight="1">
      <c r="A263" s="58">
        <v>258</v>
      </c>
      <c r="B263" s="59" t="s">
        <v>218</v>
      </c>
      <c r="C263" s="22" t="s">
        <v>3254</v>
      </c>
      <c r="D263" s="16" t="s">
        <v>1488</v>
      </c>
      <c r="E263" s="2" t="s">
        <v>1471</v>
      </c>
      <c r="F263" s="2" t="s">
        <v>59</v>
      </c>
      <c r="G263" s="2" t="s">
        <v>3188</v>
      </c>
      <c r="H263" s="60" t="s">
        <v>2947</v>
      </c>
    </row>
    <row r="264" spans="1:8" ht="33" customHeight="1">
      <c r="A264" s="58">
        <v>259</v>
      </c>
      <c r="B264" s="59" t="s">
        <v>218</v>
      </c>
      <c r="C264" s="22" t="s">
        <v>3254</v>
      </c>
      <c r="D264" s="16" t="s">
        <v>3255</v>
      </c>
      <c r="E264" s="2" t="s">
        <v>3014</v>
      </c>
      <c r="F264" s="2" t="s">
        <v>59</v>
      </c>
      <c r="G264" s="2" t="s">
        <v>3188</v>
      </c>
      <c r="H264" s="60" t="s">
        <v>2947</v>
      </c>
    </row>
    <row r="265" spans="1:8" ht="33" customHeight="1">
      <c r="A265" s="58">
        <v>260</v>
      </c>
      <c r="B265" s="59" t="s">
        <v>218</v>
      </c>
      <c r="C265" s="22" t="s">
        <v>3254</v>
      </c>
      <c r="D265" s="16" t="s">
        <v>3256</v>
      </c>
      <c r="E265" s="2" t="s">
        <v>3014</v>
      </c>
      <c r="F265" s="2" t="s">
        <v>59</v>
      </c>
      <c r="G265" s="2" t="s">
        <v>3188</v>
      </c>
      <c r="H265" s="60" t="s">
        <v>2947</v>
      </c>
    </row>
    <row r="266" spans="1:8" ht="33" customHeight="1">
      <c r="A266" s="58">
        <v>261</v>
      </c>
      <c r="B266" s="59" t="s">
        <v>218</v>
      </c>
      <c r="C266" s="22" t="s">
        <v>3257</v>
      </c>
      <c r="D266" s="16" t="s">
        <v>3258</v>
      </c>
      <c r="E266" s="2" t="s">
        <v>423</v>
      </c>
      <c r="F266" s="2" t="s">
        <v>59</v>
      </c>
      <c r="G266" s="2" t="s">
        <v>3188</v>
      </c>
      <c r="H266" s="60" t="s">
        <v>2947</v>
      </c>
    </row>
    <row r="267" spans="1:8" ht="61.95" customHeight="1">
      <c r="A267" s="61">
        <v>262</v>
      </c>
      <c r="B267" s="62" t="s">
        <v>218</v>
      </c>
      <c r="C267" s="32" t="s">
        <v>3259</v>
      </c>
      <c r="D267" s="39" t="s">
        <v>3260</v>
      </c>
      <c r="E267" s="33" t="s">
        <v>686</v>
      </c>
      <c r="F267" s="33" t="s">
        <v>61</v>
      </c>
      <c r="G267" s="33" t="s">
        <v>3188</v>
      </c>
      <c r="H267" s="63" t="s">
        <v>2947</v>
      </c>
    </row>
    <row r="268" spans="1:8" ht="47.55" customHeight="1">
      <c r="A268" s="61">
        <v>263</v>
      </c>
      <c r="B268" s="62" t="s">
        <v>218</v>
      </c>
      <c r="C268" s="32" t="s">
        <v>3259</v>
      </c>
      <c r="D268" s="39" t="s">
        <v>3261</v>
      </c>
      <c r="E268" s="33" t="s">
        <v>686</v>
      </c>
      <c r="F268" s="33" t="s">
        <v>61</v>
      </c>
      <c r="G268" s="33" t="s">
        <v>3188</v>
      </c>
      <c r="H268" s="63" t="s">
        <v>2947</v>
      </c>
    </row>
    <row r="269" spans="1:8" ht="47.55" customHeight="1">
      <c r="A269" s="61">
        <v>264</v>
      </c>
      <c r="B269" s="62" t="s">
        <v>218</v>
      </c>
      <c r="C269" s="32" t="s">
        <v>3259</v>
      </c>
      <c r="D269" s="39" t="s">
        <v>3262</v>
      </c>
      <c r="E269" s="33" t="s">
        <v>686</v>
      </c>
      <c r="F269" s="33" t="s">
        <v>61</v>
      </c>
      <c r="G269" s="33" t="s">
        <v>242</v>
      </c>
      <c r="H269" s="63" t="s">
        <v>2978</v>
      </c>
    </row>
    <row r="270" spans="1:8" ht="47.55" customHeight="1">
      <c r="A270" s="61">
        <v>265</v>
      </c>
      <c r="B270" s="62" t="s">
        <v>218</v>
      </c>
      <c r="C270" s="32" t="s">
        <v>3259</v>
      </c>
      <c r="D270" s="39" t="s">
        <v>3263</v>
      </c>
      <c r="E270" s="33" t="s">
        <v>686</v>
      </c>
      <c r="F270" s="33" t="s">
        <v>61</v>
      </c>
      <c r="G270" s="33" t="s">
        <v>3188</v>
      </c>
      <c r="H270" s="63" t="s">
        <v>2947</v>
      </c>
    </row>
    <row r="271" spans="1:8" ht="47.55" customHeight="1">
      <c r="A271" s="61">
        <v>266</v>
      </c>
      <c r="B271" s="62" t="s">
        <v>218</v>
      </c>
      <c r="C271" s="32" t="s">
        <v>3259</v>
      </c>
      <c r="D271" s="39" t="s">
        <v>3264</v>
      </c>
      <c r="E271" s="33" t="s">
        <v>686</v>
      </c>
      <c r="F271" s="33" t="s">
        <v>61</v>
      </c>
      <c r="G271" s="33" t="s">
        <v>3188</v>
      </c>
      <c r="H271" s="63" t="s">
        <v>2947</v>
      </c>
    </row>
    <row r="272" spans="1:8" ht="33" customHeight="1">
      <c r="A272" s="58">
        <v>267</v>
      </c>
      <c r="B272" s="59" t="s">
        <v>218</v>
      </c>
      <c r="C272" s="22" t="s">
        <v>3265</v>
      </c>
      <c r="D272" s="16" t="s">
        <v>3266</v>
      </c>
      <c r="E272" s="2" t="s">
        <v>919</v>
      </c>
      <c r="F272" s="2" t="s">
        <v>59</v>
      </c>
      <c r="G272" s="2" t="s">
        <v>3188</v>
      </c>
      <c r="H272" s="60" t="s">
        <v>2947</v>
      </c>
    </row>
    <row r="273" spans="1:8" ht="33" customHeight="1">
      <c r="A273" s="61">
        <v>268</v>
      </c>
      <c r="B273" s="62" t="s">
        <v>218</v>
      </c>
      <c r="C273" s="32" t="s">
        <v>3267</v>
      </c>
      <c r="D273" s="39" t="s">
        <v>3268</v>
      </c>
      <c r="E273" s="33" t="s">
        <v>686</v>
      </c>
      <c r="F273" s="33" t="s">
        <v>61</v>
      </c>
      <c r="G273" s="33" t="s">
        <v>3188</v>
      </c>
      <c r="H273" s="63" t="s">
        <v>2947</v>
      </c>
    </row>
    <row r="274" spans="1:8" ht="33" customHeight="1">
      <c r="A274" s="58">
        <v>269</v>
      </c>
      <c r="B274" s="59" t="s">
        <v>218</v>
      </c>
      <c r="C274" s="22" t="s">
        <v>3267</v>
      </c>
      <c r="D274" s="16" t="s">
        <v>3269</v>
      </c>
      <c r="E274" s="2" t="s">
        <v>1246</v>
      </c>
      <c r="F274" s="2" t="s">
        <v>59</v>
      </c>
      <c r="G274" s="2" t="s">
        <v>3188</v>
      </c>
      <c r="H274" s="60" t="s">
        <v>2947</v>
      </c>
    </row>
    <row r="275" spans="1:8" ht="33" customHeight="1">
      <c r="A275" s="61">
        <v>270</v>
      </c>
      <c r="B275" s="62" t="s">
        <v>218</v>
      </c>
      <c r="C275" s="32" t="s">
        <v>3270</v>
      </c>
      <c r="D275" s="39" t="s">
        <v>3271</v>
      </c>
      <c r="E275" s="33" t="s">
        <v>733</v>
      </c>
      <c r="F275" s="33" t="s">
        <v>61</v>
      </c>
      <c r="G275" s="33" t="s">
        <v>3188</v>
      </c>
      <c r="H275" s="63" t="s">
        <v>2947</v>
      </c>
    </row>
    <row r="276" spans="1:8" ht="47.55" customHeight="1">
      <c r="A276" s="61">
        <v>271</v>
      </c>
      <c r="B276" s="62" t="s">
        <v>218</v>
      </c>
      <c r="C276" s="32" t="s">
        <v>3272</v>
      </c>
      <c r="D276" s="39" t="s">
        <v>3273</v>
      </c>
      <c r="E276" s="33" t="s">
        <v>733</v>
      </c>
      <c r="F276" s="33" t="s">
        <v>61</v>
      </c>
      <c r="G276" s="33" t="s">
        <v>242</v>
      </c>
      <c r="H276" s="63" t="s">
        <v>2978</v>
      </c>
    </row>
    <row r="277" spans="1:8" ht="33" customHeight="1">
      <c r="A277" s="58">
        <v>272</v>
      </c>
      <c r="B277" s="59" t="s">
        <v>218</v>
      </c>
      <c r="C277" s="22" t="s">
        <v>3274</v>
      </c>
      <c r="D277" s="16" t="s">
        <v>3275</v>
      </c>
      <c r="E277" s="2" t="s">
        <v>871</v>
      </c>
      <c r="F277" s="2" t="s">
        <v>59</v>
      </c>
      <c r="G277" s="2" t="s">
        <v>3276</v>
      </c>
      <c r="H277" s="60" t="s">
        <v>2947</v>
      </c>
    </row>
    <row r="278" spans="1:8" ht="33" customHeight="1">
      <c r="A278" s="58">
        <v>273</v>
      </c>
      <c r="B278" s="59" t="s">
        <v>218</v>
      </c>
      <c r="C278" s="22" t="s">
        <v>3274</v>
      </c>
      <c r="D278" s="16" t="s">
        <v>3277</v>
      </c>
      <c r="E278" s="2" t="s">
        <v>907</v>
      </c>
      <c r="F278" s="2" t="s">
        <v>59</v>
      </c>
      <c r="G278" s="2" t="s">
        <v>3188</v>
      </c>
      <c r="H278" s="60" t="s">
        <v>2947</v>
      </c>
    </row>
    <row r="279" spans="1:8" ht="33" customHeight="1">
      <c r="A279" s="58">
        <v>274</v>
      </c>
      <c r="B279" s="59" t="s">
        <v>218</v>
      </c>
      <c r="C279" s="22" t="s">
        <v>3278</v>
      </c>
      <c r="D279" s="16" t="s">
        <v>602</v>
      </c>
      <c r="E279" s="2" t="s">
        <v>585</v>
      </c>
      <c r="F279" s="2" t="s">
        <v>59</v>
      </c>
      <c r="G279" s="2" t="s">
        <v>3188</v>
      </c>
      <c r="H279" s="60" t="s">
        <v>2947</v>
      </c>
    </row>
    <row r="280" spans="1:8" ht="47.55" customHeight="1">
      <c r="A280" s="61">
        <v>275</v>
      </c>
      <c r="B280" s="62" t="s">
        <v>218</v>
      </c>
      <c r="C280" s="32" t="s">
        <v>3279</v>
      </c>
      <c r="D280" s="39" t="s">
        <v>1143</v>
      </c>
      <c r="E280" s="33" t="s">
        <v>1124</v>
      </c>
      <c r="F280" s="33" t="s">
        <v>61</v>
      </c>
      <c r="G280" s="33" t="s">
        <v>3188</v>
      </c>
      <c r="H280" s="63" t="s">
        <v>2947</v>
      </c>
    </row>
    <row r="281" spans="1:8" ht="33" customHeight="1">
      <c r="A281" s="61">
        <v>276</v>
      </c>
      <c r="B281" s="62" t="s">
        <v>218</v>
      </c>
      <c r="C281" s="32" t="s">
        <v>3280</v>
      </c>
      <c r="D281" s="39" t="s">
        <v>357</v>
      </c>
      <c r="E281" s="33" t="s">
        <v>339</v>
      </c>
      <c r="F281" s="33" t="s">
        <v>61</v>
      </c>
      <c r="G281" s="33" t="s">
        <v>3188</v>
      </c>
      <c r="H281" s="63" t="s">
        <v>2947</v>
      </c>
    </row>
    <row r="282" spans="1:8" ht="33" customHeight="1">
      <c r="A282" s="58">
        <v>277</v>
      </c>
      <c r="B282" s="59" t="s">
        <v>218</v>
      </c>
      <c r="C282" s="22" t="s">
        <v>3281</v>
      </c>
      <c r="D282" s="16" t="s">
        <v>3282</v>
      </c>
      <c r="E282" s="2" t="s">
        <v>3283</v>
      </c>
      <c r="F282" s="2" t="s">
        <v>59</v>
      </c>
      <c r="G282" s="2" t="s">
        <v>3188</v>
      </c>
      <c r="H282" s="60" t="s">
        <v>2947</v>
      </c>
    </row>
    <row r="283" spans="1:8" ht="33" customHeight="1">
      <c r="A283" s="58">
        <v>278</v>
      </c>
      <c r="B283" s="59" t="s">
        <v>218</v>
      </c>
      <c r="C283" s="22" t="s">
        <v>3281</v>
      </c>
      <c r="D283" s="16" t="s">
        <v>3284</v>
      </c>
      <c r="E283" s="2" t="s">
        <v>3285</v>
      </c>
      <c r="F283" s="2" t="s">
        <v>59</v>
      </c>
      <c r="G283" s="2" t="s">
        <v>3188</v>
      </c>
      <c r="H283" s="60" t="s">
        <v>2947</v>
      </c>
    </row>
    <row r="284" spans="1:8" ht="47.55" customHeight="1">
      <c r="A284" s="58">
        <v>279</v>
      </c>
      <c r="B284" s="59" t="s">
        <v>218</v>
      </c>
      <c r="C284" s="22" t="s">
        <v>3281</v>
      </c>
      <c r="D284" s="16" t="s">
        <v>3286</v>
      </c>
      <c r="E284" s="2" t="s">
        <v>871</v>
      </c>
      <c r="F284" s="2" t="s">
        <v>59</v>
      </c>
      <c r="G284" s="2" t="s">
        <v>3188</v>
      </c>
      <c r="H284" s="60" t="s">
        <v>2947</v>
      </c>
    </row>
    <row r="285" spans="1:8" ht="33" customHeight="1">
      <c r="A285" s="58">
        <v>280</v>
      </c>
      <c r="B285" s="59" t="s">
        <v>218</v>
      </c>
      <c r="C285" s="22" t="s">
        <v>3281</v>
      </c>
      <c r="D285" s="16" t="s">
        <v>3287</v>
      </c>
      <c r="E285" s="2" t="s">
        <v>890</v>
      </c>
      <c r="F285" s="2" t="s">
        <v>59</v>
      </c>
      <c r="G285" s="2" t="s">
        <v>3188</v>
      </c>
      <c r="H285" s="60" t="s">
        <v>2947</v>
      </c>
    </row>
    <row r="286" spans="1:8" ht="33" customHeight="1">
      <c r="A286" s="58">
        <v>281</v>
      </c>
      <c r="B286" s="59" t="s">
        <v>218</v>
      </c>
      <c r="C286" s="22" t="s">
        <v>3281</v>
      </c>
      <c r="D286" s="16" t="s">
        <v>3288</v>
      </c>
      <c r="E286" s="2" t="s">
        <v>890</v>
      </c>
      <c r="F286" s="2" t="s">
        <v>59</v>
      </c>
      <c r="G286" s="2" t="s">
        <v>3188</v>
      </c>
      <c r="H286" s="60" t="s">
        <v>2947</v>
      </c>
    </row>
    <row r="287" spans="1:8" ht="47.55" customHeight="1">
      <c r="A287" s="61">
        <v>282</v>
      </c>
      <c r="B287" s="62" t="s">
        <v>218</v>
      </c>
      <c r="C287" s="32" t="s">
        <v>3289</v>
      </c>
      <c r="D287" s="39" t="s">
        <v>3290</v>
      </c>
      <c r="E287" s="33" t="s">
        <v>733</v>
      </c>
      <c r="F287" s="33" t="s">
        <v>61</v>
      </c>
      <c r="G287" s="33" t="s">
        <v>3188</v>
      </c>
      <c r="H287" s="63" t="s">
        <v>2947</v>
      </c>
    </row>
    <row r="288" spans="1:8" ht="33" customHeight="1">
      <c r="A288" s="58">
        <v>283</v>
      </c>
      <c r="B288" s="59" t="s">
        <v>218</v>
      </c>
      <c r="C288" s="22" t="s">
        <v>3291</v>
      </c>
      <c r="D288" s="16" t="s">
        <v>3292</v>
      </c>
      <c r="E288" s="2" t="s">
        <v>941</v>
      </c>
      <c r="F288" s="2" t="s">
        <v>59</v>
      </c>
      <c r="G288" s="2" t="s">
        <v>3188</v>
      </c>
      <c r="H288" s="60" t="s">
        <v>2947</v>
      </c>
    </row>
    <row r="289" spans="1:8" ht="33" customHeight="1">
      <c r="A289" s="58">
        <v>284</v>
      </c>
      <c r="B289" s="59" t="s">
        <v>218</v>
      </c>
      <c r="C289" s="22" t="s">
        <v>3291</v>
      </c>
      <c r="D289" s="16" t="s">
        <v>3293</v>
      </c>
      <c r="E289" s="2" t="s">
        <v>941</v>
      </c>
      <c r="F289" s="2" t="s">
        <v>59</v>
      </c>
      <c r="G289" s="2" t="s">
        <v>3188</v>
      </c>
      <c r="H289" s="60" t="s">
        <v>2947</v>
      </c>
    </row>
    <row r="290" spans="1:8" ht="33" customHeight="1">
      <c r="A290" s="58">
        <v>285</v>
      </c>
      <c r="B290" s="59" t="s">
        <v>218</v>
      </c>
      <c r="C290" s="22" t="s">
        <v>3291</v>
      </c>
      <c r="D290" s="16" t="s">
        <v>3294</v>
      </c>
      <c r="E290" s="2" t="s">
        <v>941</v>
      </c>
      <c r="F290" s="2" t="s">
        <v>59</v>
      </c>
      <c r="G290" s="2" t="s">
        <v>3188</v>
      </c>
      <c r="H290" s="60" t="s">
        <v>2947</v>
      </c>
    </row>
    <row r="291" spans="1:8" ht="33" customHeight="1">
      <c r="A291" s="58">
        <v>286</v>
      </c>
      <c r="B291" s="59" t="s">
        <v>218</v>
      </c>
      <c r="C291" s="22" t="s">
        <v>3291</v>
      </c>
      <c r="D291" s="16" t="s">
        <v>3295</v>
      </c>
      <c r="E291" s="2" t="s">
        <v>941</v>
      </c>
      <c r="F291" s="2" t="s">
        <v>59</v>
      </c>
      <c r="G291" s="2" t="s">
        <v>3188</v>
      </c>
      <c r="H291" s="60" t="s">
        <v>2947</v>
      </c>
    </row>
    <row r="292" spans="1:8" ht="33" customHeight="1">
      <c r="A292" s="58">
        <v>287</v>
      </c>
      <c r="B292" s="59" t="s">
        <v>218</v>
      </c>
      <c r="C292" s="22" t="s">
        <v>3291</v>
      </c>
      <c r="D292" s="16" t="s">
        <v>3296</v>
      </c>
      <c r="E292" s="2" t="s">
        <v>941</v>
      </c>
      <c r="F292" s="2" t="s">
        <v>59</v>
      </c>
      <c r="G292" s="2" t="s">
        <v>3188</v>
      </c>
      <c r="H292" s="60" t="s">
        <v>2947</v>
      </c>
    </row>
    <row r="293" spans="1:8" ht="61.95" customHeight="1">
      <c r="A293" s="58">
        <v>288</v>
      </c>
      <c r="B293" s="59" t="s">
        <v>218</v>
      </c>
      <c r="C293" s="22" t="s">
        <v>3297</v>
      </c>
      <c r="D293" s="16" t="s">
        <v>3298</v>
      </c>
      <c r="E293" s="2" t="s">
        <v>423</v>
      </c>
      <c r="F293" s="2" t="s">
        <v>59</v>
      </c>
      <c r="G293" s="2" t="s">
        <v>3188</v>
      </c>
      <c r="H293" s="60" t="s">
        <v>2947</v>
      </c>
    </row>
    <row r="294" spans="1:8" ht="33" customHeight="1">
      <c r="A294" s="58">
        <v>289</v>
      </c>
      <c r="B294" s="59" t="s">
        <v>218</v>
      </c>
      <c r="C294" s="22" t="s">
        <v>3297</v>
      </c>
      <c r="D294" s="16" t="s">
        <v>3299</v>
      </c>
      <c r="E294" s="2" t="s">
        <v>423</v>
      </c>
      <c r="F294" s="2" t="s">
        <v>59</v>
      </c>
      <c r="G294" s="2" t="s">
        <v>3188</v>
      </c>
      <c r="H294" s="60" t="s">
        <v>2947</v>
      </c>
    </row>
    <row r="295" spans="1:8" ht="33" customHeight="1">
      <c r="A295" s="58">
        <v>290</v>
      </c>
      <c r="B295" s="59" t="s">
        <v>218</v>
      </c>
      <c r="C295" s="22" t="s">
        <v>3297</v>
      </c>
      <c r="D295" s="16" t="s">
        <v>396</v>
      </c>
      <c r="E295" s="2" t="s">
        <v>378</v>
      </c>
      <c r="F295" s="2" t="s">
        <v>59</v>
      </c>
      <c r="G295" s="2" t="s">
        <v>3188</v>
      </c>
      <c r="H295" s="60" t="s">
        <v>2947</v>
      </c>
    </row>
    <row r="296" spans="1:8" ht="33" customHeight="1">
      <c r="A296" s="58">
        <v>291</v>
      </c>
      <c r="B296" s="59" t="s">
        <v>218</v>
      </c>
      <c r="C296" s="22" t="s">
        <v>3300</v>
      </c>
      <c r="D296" s="16" t="s">
        <v>3301</v>
      </c>
      <c r="E296" s="2" t="s">
        <v>941</v>
      </c>
      <c r="F296" s="2" t="s">
        <v>59</v>
      </c>
      <c r="G296" s="2" t="s">
        <v>3188</v>
      </c>
      <c r="H296" s="60" t="s">
        <v>2947</v>
      </c>
    </row>
    <row r="297" spans="1:8" ht="33" customHeight="1">
      <c r="A297" s="58">
        <v>292</v>
      </c>
      <c r="B297" s="59" t="s">
        <v>218</v>
      </c>
      <c r="C297" s="22" t="s">
        <v>3300</v>
      </c>
      <c r="D297" s="16" t="s">
        <v>3302</v>
      </c>
      <c r="E297" s="2" t="s">
        <v>941</v>
      </c>
      <c r="F297" s="2" t="s">
        <v>59</v>
      </c>
      <c r="G297" s="2" t="s">
        <v>3188</v>
      </c>
      <c r="H297" s="60" t="s">
        <v>2947</v>
      </c>
    </row>
    <row r="298" spans="1:8" ht="33" customHeight="1">
      <c r="A298" s="58">
        <v>293</v>
      </c>
      <c r="B298" s="59" t="s">
        <v>218</v>
      </c>
      <c r="C298" s="22" t="s">
        <v>3303</v>
      </c>
      <c r="D298" s="16" t="s">
        <v>3304</v>
      </c>
      <c r="E298" s="2" t="s">
        <v>463</v>
      </c>
      <c r="F298" s="2" t="s">
        <v>59</v>
      </c>
      <c r="G298" s="2" t="s">
        <v>3188</v>
      </c>
      <c r="H298" s="60" t="s">
        <v>2947</v>
      </c>
    </row>
    <row r="299" spans="1:8" ht="33" customHeight="1">
      <c r="A299" s="58">
        <v>294</v>
      </c>
      <c r="B299" s="59" t="s">
        <v>218</v>
      </c>
      <c r="C299" s="22" t="s">
        <v>3303</v>
      </c>
      <c r="D299" s="16" t="s">
        <v>3305</v>
      </c>
      <c r="E299" s="2" t="s">
        <v>463</v>
      </c>
      <c r="F299" s="2" t="s">
        <v>59</v>
      </c>
      <c r="G299" s="2" t="s">
        <v>3188</v>
      </c>
      <c r="H299" s="60" t="s">
        <v>2947</v>
      </c>
    </row>
    <row r="300" spans="1:8" ht="33" customHeight="1">
      <c r="A300" s="58">
        <v>295</v>
      </c>
      <c r="B300" s="59" t="s">
        <v>218</v>
      </c>
      <c r="C300" s="22" t="s">
        <v>3306</v>
      </c>
      <c r="D300" s="16" t="s">
        <v>3307</v>
      </c>
      <c r="E300" s="2" t="s">
        <v>1246</v>
      </c>
      <c r="F300" s="2" t="s">
        <v>59</v>
      </c>
      <c r="G300" s="2" t="s">
        <v>3188</v>
      </c>
      <c r="H300" s="60" t="s">
        <v>2947</v>
      </c>
    </row>
    <row r="301" spans="1:8" ht="47.55" customHeight="1">
      <c r="A301" s="58">
        <v>296</v>
      </c>
      <c r="B301" s="59" t="s">
        <v>3308</v>
      </c>
      <c r="C301" s="22" t="s">
        <v>3309</v>
      </c>
      <c r="D301" s="16" t="s">
        <v>3310</v>
      </c>
      <c r="E301" s="2" t="s">
        <v>3311</v>
      </c>
      <c r="F301" s="2" t="s">
        <v>2983</v>
      </c>
      <c r="G301" s="2" t="s">
        <v>3312</v>
      </c>
      <c r="H301" s="60" t="s">
        <v>2947</v>
      </c>
    </row>
    <row r="302" spans="1:8" ht="33" customHeight="1">
      <c r="A302" s="61">
        <v>297</v>
      </c>
      <c r="B302" s="62" t="s">
        <v>3308</v>
      </c>
      <c r="C302" s="32" t="s">
        <v>3309</v>
      </c>
      <c r="D302" s="39" t="s">
        <v>3313</v>
      </c>
      <c r="E302" s="33" t="s">
        <v>439</v>
      </c>
      <c r="F302" s="33" t="s">
        <v>61</v>
      </c>
      <c r="G302" s="33" t="s">
        <v>3312</v>
      </c>
      <c r="H302" s="63" t="s">
        <v>2947</v>
      </c>
    </row>
    <row r="303" spans="1:8" ht="33" customHeight="1">
      <c r="A303" s="61">
        <v>298</v>
      </c>
      <c r="B303" s="62" t="s">
        <v>3308</v>
      </c>
      <c r="C303" s="32" t="s">
        <v>3309</v>
      </c>
      <c r="D303" s="39" t="s">
        <v>3314</v>
      </c>
      <c r="E303" s="33" t="s">
        <v>733</v>
      </c>
      <c r="F303" s="33" t="s">
        <v>61</v>
      </c>
      <c r="G303" s="33" t="s">
        <v>3312</v>
      </c>
      <c r="H303" s="63" t="s">
        <v>2947</v>
      </c>
    </row>
    <row r="304" spans="1:8" ht="33" customHeight="1">
      <c r="A304" s="61">
        <v>299</v>
      </c>
      <c r="B304" s="62" t="s">
        <v>3308</v>
      </c>
      <c r="C304" s="32" t="s">
        <v>3309</v>
      </c>
      <c r="D304" s="39" t="s">
        <v>3315</v>
      </c>
      <c r="E304" s="33" t="s">
        <v>733</v>
      </c>
      <c r="F304" s="33" t="s">
        <v>61</v>
      </c>
      <c r="G304" s="33" t="s">
        <v>3312</v>
      </c>
      <c r="H304" s="63" t="s">
        <v>2947</v>
      </c>
    </row>
    <row r="305" spans="1:8" ht="33" customHeight="1">
      <c r="A305" s="61">
        <v>300</v>
      </c>
      <c r="B305" s="62" t="s">
        <v>3308</v>
      </c>
      <c r="C305" s="32" t="s">
        <v>3309</v>
      </c>
      <c r="D305" s="39" t="s">
        <v>3316</v>
      </c>
      <c r="E305" s="33" t="s">
        <v>439</v>
      </c>
      <c r="F305" s="33" t="s">
        <v>61</v>
      </c>
      <c r="G305" s="33" t="s">
        <v>3312</v>
      </c>
      <c r="H305" s="63" t="s">
        <v>2947</v>
      </c>
    </row>
    <row r="306" spans="1:8" ht="33" customHeight="1">
      <c r="A306" s="58">
        <v>301</v>
      </c>
      <c r="B306" s="59" t="s">
        <v>3308</v>
      </c>
      <c r="C306" s="22" t="s">
        <v>3309</v>
      </c>
      <c r="D306" s="16" t="s">
        <v>3317</v>
      </c>
      <c r="E306" s="2" t="s">
        <v>400</v>
      </c>
      <c r="F306" s="2" t="s">
        <v>59</v>
      </c>
      <c r="G306" s="2" t="s">
        <v>3312</v>
      </c>
      <c r="H306" s="60" t="s">
        <v>2947</v>
      </c>
    </row>
    <row r="307" spans="1:8" ht="33" customHeight="1">
      <c r="A307" s="58">
        <v>302</v>
      </c>
      <c r="B307" s="59" t="s">
        <v>3308</v>
      </c>
      <c r="C307" s="22" t="s">
        <v>3309</v>
      </c>
      <c r="D307" s="16" t="s">
        <v>3318</v>
      </c>
      <c r="E307" s="2" t="s">
        <v>1246</v>
      </c>
      <c r="F307" s="2" t="s">
        <v>59</v>
      </c>
      <c r="G307" s="2" t="s">
        <v>3312</v>
      </c>
      <c r="H307" s="60" t="s">
        <v>2947</v>
      </c>
    </row>
    <row r="308" spans="1:8" ht="33" customHeight="1">
      <c r="A308" s="58">
        <v>303</v>
      </c>
      <c r="B308" s="59" t="s">
        <v>3308</v>
      </c>
      <c r="C308" s="22" t="s">
        <v>3309</v>
      </c>
      <c r="D308" s="16" t="s">
        <v>3319</v>
      </c>
      <c r="E308" s="2" t="s">
        <v>1424</v>
      </c>
      <c r="F308" s="2" t="s">
        <v>59</v>
      </c>
      <c r="G308" s="2" t="s">
        <v>3312</v>
      </c>
      <c r="H308" s="60" t="s">
        <v>2947</v>
      </c>
    </row>
    <row r="309" spans="1:8" ht="33" customHeight="1">
      <c r="A309" s="61">
        <v>304</v>
      </c>
      <c r="B309" s="62" t="s">
        <v>3308</v>
      </c>
      <c r="C309" s="32" t="s">
        <v>3309</v>
      </c>
      <c r="D309" s="39" t="s">
        <v>3320</v>
      </c>
      <c r="E309" s="33" t="s">
        <v>964</v>
      </c>
      <c r="F309" s="33" t="s">
        <v>61</v>
      </c>
      <c r="G309" s="33" t="s">
        <v>3312</v>
      </c>
      <c r="H309" s="63" t="s">
        <v>2947</v>
      </c>
    </row>
    <row r="310" spans="1:8" ht="33" customHeight="1">
      <c r="A310" s="61">
        <v>305</v>
      </c>
      <c r="B310" s="62" t="s">
        <v>3308</v>
      </c>
      <c r="C310" s="32" t="s">
        <v>3309</v>
      </c>
      <c r="D310" s="39" t="s">
        <v>3321</v>
      </c>
      <c r="E310" s="33" t="s">
        <v>964</v>
      </c>
      <c r="F310" s="33" t="s">
        <v>61</v>
      </c>
      <c r="G310" s="33" t="s">
        <v>3312</v>
      </c>
      <c r="H310" s="63" t="s">
        <v>2947</v>
      </c>
    </row>
    <row r="311" spans="1:8" ht="33" customHeight="1">
      <c r="A311" s="61">
        <v>306</v>
      </c>
      <c r="B311" s="62" t="s">
        <v>3308</v>
      </c>
      <c r="C311" s="32" t="s">
        <v>3309</v>
      </c>
      <c r="D311" s="39" t="s">
        <v>2840</v>
      </c>
      <c r="E311" s="33" t="s">
        <v>439</v>
      </c>
      <c r="F311" s="33" t="s">
        <v>61</v>
      </c>
      <c r="G311" s="33" t="s">
        <v>3312</v>
      </c>
      <c r="H311" s="63" t="s">
        <v>2947</v>
      </c>
    </row>
    <row r="312" spans="1:8" ht="33" customHeight="1">
      <c r="A312" s="58">
        <v>307</v>
      </c>
      <c r="B312" s="59" t="s">
        <v>3308</v>
      </c>
      <c r="C312" s="22" t="s">
        <v>3309</v>
      </c>
      <c r="D312" s="16" t="s">
        <v>3322</v>
      </c>
      <c r="E312" s="2" t="s">
        <v>1246</v>
      </c>
      <c r="F312" s="2" t="s">
        <v>59</v>
      </c>
      <c r="G312" s="2" t="s">
        <v>3312</v>
      </c>
      <c r="H312" s="60" t="s">
        <v>2947</v>
      </c>
    </row>
    <row r="313" spans="1:8" ht="33" customHeight="1">
      <c r="A313" s="61">
        <v>308</v>
      </c>
      <c r="B313" s="62" t="s">
        <v>3308</v>
      </c>
      <c r="C313" s="32" t="s">
        <v>3309</v>
      </c>
      <c r="D313" s="39" t="s">
        <v>3323</v>
      </c>
      <c r="E313" s="33" t="s">
        <v>964</v>
      </c>
      <c r="F313" s="33" t="s">
        <v>61</v>
      </c>
      <c r="G313" s="33" t="s">
        <v>3312</v>
      </c>
      <c r="H313" s="63" t="s">
        <v>2947</v>
      </c>
    </row>
    <row r="314" spans="1:8" ht="33" customHeight="1">
      <c r="A314" s="58">
        <v>309</v>
      </c>
      <c r="B314" s="59" t="s">
        <v>3308</v>
      </c>
      <c r="C314" s="22" t="s">
        <v>3309</v>
      </c>
      <c r="D314" s="16" t="s">
        <v>3324</v>
      </c>
      <c r="E314" s="2" t="s">
        <v>1246</v>
      </c>
      <c r="F314" s="2" t="s">
        <v>59</v>
      </c>
      <c r="G314" s="2" t="s">
        <v>3312</v>
      </c>
      <c r="H314" s="60" t="s">
        <v>2947</v>
      </c>
    </row>
    <row r="315" spans="1:8" ht="33" customHeight="1">
      <c r="A315" s="61">
        <v>310</v>
      </c>
      <c r="B315" s="62" t="s">
        <v>3308</v>
      </c>
      <c r="C315" s="32" t="s">
        <v>3309</v>
      </c>
      <c r="D315" s="39" t="s">
        <v>3325</v>
      </c>
      <c r="E315" s="33" t="s">
        <v>1588</v>
      </c>
      <c r="F315" s="33" t="s">
        <v>61</v>
      </c>
      <c r="G315" s="33" t="s">
        <v>3312</v>
      </c>
      <c r="H315" s="63" t="s">
        <v>2947</v>
      </c>
    </row>
    <row r="316" spans="1:8" ht="33" customHeight="1">
      <c r="A316" s="58">
        <v>311</v>
      </c>
      <c r="B316" s="59" t="s">
        <v>3308</v>
      </c>
      <c r="C316" s="22" t="s">
        <v>3309</v>
      </c>
      <c r="D316" s="16" t="s">
        <v>3326</v>
      </c>
      <c r="E316" s="2" t="s">
        <v>1246</v>
      </c>
      <c r="F316" s="2" t="s">
        <v>59</v>
      </c>
      <c r="G316" s="2" t="s">
        <v>3312</v>
      </c>
      <c r="H316" s="60" t="s">
        <v>2947</v>
      </c>
    </row>
    <row r="317" spans="1:8" ht="47.55" customHeight="1">
      <c r="A317" s="61">
        <v>312</v>
      </c>
      <c r="B317" s="62" t="s">
        <v>3308</v>
      </c>
      <c r="C317" s="32" t="s">
        <v>3327</v>
      </c>
      <c r="D317" s="39" t="s">
        <v>3328</v>
      </c>
      <c r="E317" s="33" t="s">
        <v>733</v>
      </c>
      <c r="F317" s="33" t="s">
        <v>61</v>
      </c>
      <c r="G317" s="33" t="s">
        <v>243</v>
      </c>
      <c r="H317" s="63" t="s">
        <v>2978</v>
      </c>
    </row>
    <row r="318" spans="1:8" ht="33" customHeight="1">
      <c r="A318" s="61">
        <v>313</v>
      </c>
      <c r="B318" s="62" t="s">
        <v>3308</v>
      </c>
      <c r="C318" s="32" t="s">
        <v>3329</v>
      </c>
      <c r="D318" s="39" t="s">
        <v>3330</v>
      </c>
      <c r="E318" s="33" t="s">
        <v>709</v>
      </c>
      <c r="F318" s="33" t="s">
        <v>61</v>
      </c>
      <c r="G318" s="33" t="s">
        <v>3312</v>
      </c>
      <c r="H318" s="63" t="s">
        <v>2947</v>
      </c>
    </row>
    <row r="319" spans="1:8" ht="47.55" customHeight="1">
      <c r="A319" s="58">
        <v>314</v>
      </c>
      <c r="B319" s="59" t="s">
        <v>3308</v>
      </c>
      <c r="C319" s="22" t="s">
        <v>3331</v>
      </c>
      <c r="D319" s="16" t="s">
        <v>3332</v>
      </c>
      <c r="E319" s="2" t="s">
        <v>1059</v>
      </c>
      <c r="F319" s="2" t="s">
        <v>59</v>
      </c>
      <c r="G319" s="2" t="s">
        <v>243</v>
      </c>
      <c r="H319" s="60" t="s">
        <v>2978</v>
      </c>
    </row>
    <row r="320" spans="1:8" ht="33" customHeight="1">
      <c r="A320" s="58">
        <v>315</v>
      </c>
      <c r="B320" s="59" t="s">
        <v>3308</v>
      </c>
      <c r="C320" s="22" t="s">
        <v>3333</v>
      </c>
      <c r="D320" s="16" t="s">
        <v>3334</v>
      </c>
      <c r="E320" s="2" t="s">
        <v>361</v>
      </c>
      <c r="F320" s="2" t="s">
        <v>59</v>
      </c>
      <c r="G320" s="2" t="s">
        <v>3312</v>
      </c>
      <c r="H320" s="60" t="s">
        <v>2947</v>
      </c>
    </row>
    <row r="321" spans="1:8" ht="33" customHeight="1">
      <c r="A321" s="58">
        <v>316</v>
      </c>
      <c r="B321" s="59" t="s">
        <v>3308</v>
      </c>
      <c r="C321" s="22" t="s">
        <v>3333</v>
      </c>
      <c r="D321" s="16" t="s">
        <v>3335</v>
      </c>
      <c r="E321" s="2" t="s">
        <v>1002</v>
      </c>
      <c r="F321" s="2" t="s">
        <v>59</v>
      </c>
      <c r="G321" s="2" t="s">
        <v>243</v>
      </c>
      <c r="H321" s="60" t="s">
        <v>2978</v>
      </c>
    </row>
    <row r="322" spans="1:8" ht="33" customHeight="1">
      <c r="A322" s="58">
        <v>317</v>
      </c>
      <c r="B322" s="59" t="s">
        <v>3308</v>
      </c>
      <c r="C322" s="22" t="s">
        <v>3333</v>
      </c>
      <c r="D322" s="16" t="s">
        <v>3336</v>
      </c>
      <c r="E322" s="2" t="s">
        <v>1268</v>
      </c>
      <c r="F322" s="2" t="s">
        <v>59</v>
      </c>
      <c r="G322" s="2" t="s">
        <v>243</v>
      </c>
      <c r="H322" s="60" t="s">
        <v>2978</v>
      </c>
    </row>
    <row r="323" spans="1:8" ht="33" customHeight="1">
      <c r="A323" s="58">
        <v>318</v>
      </c>
      <c r="B323" s="59" t="s">
        <v>3308</v>
      </c>
      <c r="C323" s="22" t="s">
        <v>3337</v>
      </c>
      <c r="D323" s="16" t="s">
        <v>3338</v>
      </c>
      <c r="E323" s="2" t="s">
        <v>1038</v>
      </c>
      <c r="F323" s="2" t="s">
        <v>59</v>
      </c>
      <c r="G323" s="2" t="s">
        <v>3312</v>
      </c>
      <c r="H323" s="60" t="s">
        <v>2947</v>
      </c>
    </row>
    <row r="324" spans="1:8" ht="33" customHeight="1">
      <c r="A324" s="58">
        <v>319</v>
      </c>
      <c r="B324" s="59" t="s">
        <v>3308</v>
      </c>
      <c r="C324" s="22" t="s">
        <v>3339</v>
      </c>
      <c r="D324" s="16" t="s">
        <v>3340</v>
      </c>
      <c r="E324" s="2" t="s">
        <v>1246</v>
      </c>
      <c r="F324" s="2" t="s">
        <v>59</v>
      </c>
      <c r="G324" s="2" t="s">
        <v>3312</v>
      </c>
      <c r="H324" s="60" t="s">
        <v>2947</v>
      </c>
    </row>
    <row r="325" spans="1:8" ht="33" customHeight="1">
      <c r="A325" s="58">
        <v>320</v>
      </c>
      <c r="B325" s="59" t="s">
        <v>3308</v>
      </c>
      <c r="C325" s="22" t="s">
        <v>3341</v>
      </c>
      <c r="D325" s="16" t="s">
        <v>3342</v>
      </c>
      <c r="E325" s="2" t="s">
        <v>400</v>
      </c>
      <c r="F325" s="2" t="s">
        <v>59</v>
      </c>
      <c r="G325" s="2" t="s">
        <v>243</v>
      </c>
      <c r="H325" s="60" t="s">
        <v>2978</v>
      </c>
    </row>
    <row r="326" spans="1:8" ht="33" customHeight="1">
      <c r="A326" s="58">
        <v>321</v>
      </c>
      <c r="B326" s="59" t="s">
        <v>3308</v>
      </c>
      <c r="C326" s="22" t="s">
        <v>3343</v>
      </c>
      <c r="D326" s="16" t="s">
        <v>3344</v>
      </c>
      <c r="E326" s="2" t="s">
        <v>1038</v>
      </c>
      <c r="F326" s="2" t="s">
        <v>59</v>
      </c>
      <c r="G326" s="2" t="s">
        <v>3312</v>
      </c>
      <c r="H326" s="60" t="s">
        <v>2947</v>
      </c>
    </row>
    <row r="327" spans="1:8" ht="33" customHeight="1">
      <c r="A327" s="58">
        <v>322</v>
      </c>
      <c r="B327" s="59" t="s">
        <v>3308</v>
      </c>
      <c r="C327" s="22" t="s">
        <v>3345</v>
      </c>
      <c r="D327" s="16" t="s">
        <v>3346</v>
      </c>
      <c r="E327" s="2" t="s">
        <v>585</v>
      </c>
      <c r="F327" s="2" t="s">
        <v>59</v>
      </c>
      <c r="G327" s="2" t="s">
        <v>243</v>
      </c>
      <c r="H327" s="60" t="s">
        <v>2978</v>
      </c>
    </row>
    <row r="328" spans="1:8" ht="33" customHeight="1">
      <c r="A328" s="61">
        <v>323</v>
      </c>
      <c r="B328" s="62" t="s">
        <v>3308</v>
      </c>
      <c r="C328" s="32" t="s">
        <v>3347</v>
      </c>
      <c r="D328" s="39" t="s">
        <v>3348</v>
      </c>
      <c r="E328" s="33" t="s">
        <v>1230</v>
      </c>
      <c r="F328" s="33" t="s">
        <v>61</v>
      </c>
      <c r="G328" s="33" t="s">
        <v>243</v>
      </c>
      <c r="H328" s="63" t="s">
        <v>2978</v>
      </c>
    </row>
    <row r="329" spans="1:8" ht="33" customHeight="1">
      <c r="A329" s="61">
        <v>324</v>
      </c>
      <c r="B329" s="62" t="s">
        <v>3308</v>
      </c>
      <c r="C329" s="32" t="s">
        <v>3349</v>
      </c>
      <c r="D329" s="39" t="s">
        <v>3350</v>
      </c>
      <c r="E329" s="33" t="s">
        <v>709</v>
      </c>
      <c r="F329" s="33" t="s">
        <v>61</v>
      </c>
      <c r="G329" s="33" t="s">
        <v>3312</v>
      </c>
      <c r="H329" s="63" t="s">
        <v>2947</v>
      </c>
    </row>
    <row r="330" spans="1:8" ht="61.95" customHeight="1">
      <c r="A330" s="58">
        <v>325</v>
      </c>
      <c r="B330" s="59" t="s">
        <v>3308</v>
      </c>
      <c r="C330" s="22" t="s">
        <v>3351</v>
      </c>
      <c r="D330" s="16" t="s">
        <v>3352</v>
      </c>
      <c r="E330" s="2" t="s">
        <v>1246</v>
      </c>
      <c r="F330" s="2" t="s">
        <v>59</v>
      </c>
      <c r="G330" s="2" t="s">
        <v>243</v>
      </c>
      <c r="H330" s="60" t="s">
        <v>2978</v>
      </c>
    </row>
    <row r="331" spans="1:8" ht="33" customHeight="1">
      <c r="A331" s="58">
        <v>326</v>
      </c>
      <c r="B331" s="59" t="s">
        <v>3308</v>
      </c>
      <c r="C331" s="22" t="s">
        <v>3353</v>
      </c>
      <c r="D331" s="16" t="s">
        <v>3354</v>
      </c>
      <c r="E331" s="2" t="s">
        <v>1340</v>
      </c>
      <c r="F331" s="2" t="s">
        <v>59</v>
      </c>
      <c r="G331" s="2" t="s">
        <v>3312</v>
      </c>
      <c r="H331" s="60" t="s">
        <v>2947</v>
      </c>
    </row>
    <row r="332" spans="1:8" ht="33" customHeight="1">
      <c r="A332" s="58">
        <v>327</v>
      </c>
      <c r="B332" s="59" t="s">
        <v>3308</v>
      </c>
      <c r="C332" s="22" t="s">
        <v>3355</v>
      </c>
      <c r="D332" s="16" t="s">
        <v>3356</v>
      </c>
      <c r="E332" s="2" t="s">
        <v>547</v>
      </c>
      <c r="F332" s="2" t="s">
        <v>59</v>
      </c>
      <c r="G332" s="2" t="s">
        <v>3312</v>
      </c>
      <c r="H332" s="60" t="s">
        <v>2947</v>
      </c>
    </row>
    <row r="333" spans="1:8" ht="33" customHeight="1">
      <c r="A333" s="58">
        <v>328</v>
      </c>
      <c r="B333" s="59" t="s">
        <v>3308</v>
      </c>
      <c r="C333" s="22" t="s">
        <v>3357</v>
      </c>
      <c r="D333" s="16" t="s">
        <v>1109</v>
      </c>
      <c r="E333" s="2" t="s">
        <v>1091</v>
      </c>
      <c r="F333" s="2" t="s">
        <v>59</v>
      </c>
      <c r="G333" s="2" t="s">
        <v>243</v>
      </c>
      <c r="H333" s="60" t="s">
        <v>2978</v>
      </c>
    </row>
    <row r="334" spans="1:8" ht="33" customHeight="1">
      <c r="A334" s="58">
        <v>329</v>
      </c>
      <c r="B334" s="59" t="s">
        <v>3308</v>
      </c>
      <c r="C334" s="22" t="s">
        <v>3357</v>
      </c>
      <c r="D334" s="16" t="s">
        <v>3358</v>
      </c>
      <c r="E334" s="2" t="s">
        <v>547</v>
      </c>
      <c r="F334" s="2" t="s">
        <v>59</v>
      </c>
      <c r="G334" s="2" t="s">
        <v>243</v>
      </c>
      <c r="H334" s="60" t="s">
        <v>2978</v>
      </c>
    </row>
    <row r="335" spans="1:8" ht="33" customHeight="1">
      <c r="A335" s="58">
        <v>330</v>
      </c>
      <c r="B335" s="59" t="s">
        <v>3308</v>
      </c>
      <c r="C335" s="22" t="s">
        <v>3357</v>
      </c>
      <c r="D335" s="16" t="s">
        <v>3359</v>
      </c>
      <c r="E335" s="2" t="s">
        <v>1375</v>
      </c>
      <c r="F335" s="2" t="s">
        <v>59</v>
      </c>
      <c r="G335" s="2" t="s">
        <v>3312</v>
      </c>
      <c r="H335" s="60" t="s">
        <v>2947</v>
      </c>
    </row>
    <row r="336" spans="1:8" ht="33" customHeight="1">
      <c r="A336" s="58">
        <v>331</v>
      </c>
      <c r="B336" s="59" t="s">
        <v>3308</v>
      </c>
      <c r="C336" s="22" t="s">
        <v>3357</v>
      </c>
      <c r="D336" s="16" t="s">
        <v>3360</v>
      </c>
      <c r="E336" s="2" t="s">
        <v>547</v>
      </c>
      <c r="F336" s="2" t="s">
        <v>59</v>
      </c>
      <c r="G336" s="2" t="s">
        <v>3312</v>
      </c>
      <c r="H336" s="60" t="s">
        <v>2947</v>
      </c>
    </row>
    <row r="337" spans="1:8" ht="33" customHeight="1">
      <c r="A337" s="58">
        <v>332</v>
      </c>
      <c r="B337" s="59" t="s">
        <v>3308</v>
      </c>
      <c r="C337" s="22" t="s">
        <v>3357</v>
      </c>
      <c r="D337" s="16" t="s">
        <v>3361</v>
      </c>
      <c r="E337" s="2" t="s">
        <v>3362</v>
      </c>
      <c r="F337" s="2" t="s">
        <v>59</v>
      </c>
      <c r="G337" s="2" t="s">
        <v>3312</v>
      </c>
      <c r="H337" s="60" t="s">
        <v>2947</v>
      </c>
    </row>
    <row r="338" spans="1:8" ht="47.55" customHeight="1">
      <c r="A338" s="58">
        <v>333</v>
      </c>
      <c r="B338" s="59" t="s">
        <v>3308</v>
      </c>
      <c r="C338" s="22" t="s">
        <v>3357</v>
      </c>
      <c r="D338" s="16" t="s">
        <v>3363</v>
      </c>
      <c r="E338" s="2" t="s">
        <v>3364</v>
      </c>
      <c r="F338" s="2" t="s">
        <v>2983</v>
      </c>
      <c r="G338" s="2" t="s">
        <v>3312</v>
      </c>
      <c r="H338" s="60" t="s">
        <v>2947</v>
      </c>
    </row>
    <row r="339" spans="1:8" ht="47.55" customHeight="1">
      <c r="A339" s="58">
        <v>334</v>
      </c>
      <c r="B339" s="59" t="s">
        <v>3308</v>
      </c>
      <c r="C339" s="22" t="s">
        <v>3357</v>
      </c>
      <c r="D339" s="16" t="s">
        <v>3365</v>
      </c>
      <c r="E339" s="2" t="s">
        <v>2982</v>
      </c>
      <c r="F339" s="2" t="s">
        <v>2983</v>
      </c>
      <c r="G339" s="2" t="s">
        <v>3312</v>
      </c>
      <c r="H339" s="60" t="s">
        <v>2947</v>
      </c>
    </row>
    <row r="340" spans="1:8" ht="33" customHeight="1">
      <c r="A340" s="58">
        <v>335</v>
      </c>
      <c r="B340" s="59" t="s">
        <v>3308</v>
      </c>
      <c r="C340" s="22" t="s">
        <v>3357</v>
      </c>
      <c r="D340" s="16" t="s">
        <v>3366</v>
      </c>
      <c r="E340" s="2" t="s">
        <v>400</v>
      </c>
      <c r="F340" s="2" t="s">
        <v>59</v>
      </c>
      <c r="G340" s="2" t="s">
        <v>3312</v>
      </c>
      <c r="H340" s="60" t="s">
        <v>2947</v>
      </c>
    </row>
    <row r="341" spans="1:8" ht="33" customHeight="1">
      <c r="A341" s="58">
        <v>336</v>
      </c>
      <c r="B341" s="59" t="s">
        <v>3308</v>
      </c>
      <c r="C341" s="22" t="s">
        <v>3357</v>
      </c>
      <c r="D341" s="16" t="s">
        <v>3367</v>
      </c>
      <c r="E341" s="2" t="s">
        <v>1471</v>
      </c>
      <c r="F341" s="2" t="s">
        <v>59</v>
      </c>
      <c r="G341" s="2" t="s">
        <v>3312</v>
      </c>
      <c r="H341" s="60" t="s">
        <v>2947</v>
      </c>
    </row>
    <row r="342" spans="1:8" ht="47.55" customHeight="1">
      <c r="A342" s="58">
        <v>337</v>
      </c>
      <c r="B342" s="59" t="s">
        <v>3308</v>
      </c>
      <c r="C342" s="22" t="s">
        <v>3357</v>
      </c>
      <c r="D342" s="16" t="s">
        <v>3368</v>
      </c>
      <c r="E342" s="2" t="s">
        <v>985</v>
      </c>
      <c r="F342" s="2" t="s">
        <v>59</v>
      </c>
      <c r="G342" s="2" t="s">
        <v>3312</v>
      </c>
      <c r="H342" s="60" t="s">
        <v>2947</v>
      </c>
    </row>
    <row r="343" spans="1:8" ht="33" customHeight="1">
      <c r="A343" s="58">
        <v>338</v>
      </c>
      <c r="B343" s="59" t="s">
        <v>3308</v>
      </c>
      <c r="C343" s="22" t="s">
        <v>3357</v>
      </c>
      <c r="D343" s="16" t="s">
        <v>3369</v>
      </c>
      <c r="E343" s="2" t="s">
        <v>1609</v>
      </c>
      <c r="F343" s="2" t="s">
        <v>59</v>
      </c>
      <c r="G343" s="2" t="s">
        <v>3312</v>
      </c>
      <c r="H343" s="60" t="s">
        <v>2947</v>
      </c>
    </row>
    <row r="344" spans="1:8" ht="33" customHeight="1">
      <c r="A344" s="58">
        <v>339</v>
      </c>
      <c r="B344" s="59" t="s">
        <v>3308</v>
      </c>
      <c r="C344" s="22" t="s">
        <v>3357</v>
      </c>
      <c r="D344" s="16" t="s">
        <v>3370</v>
      </c>
      <c r="E344" s="2" t="s">
        <v>1609</v>
      </c>
      <c r="F344" s="2" t="s">
        <v>59</v>
      </c>
      <c r="G344" s="2" t="s">
        <v>3312</v>
      </c>
      <c r="H344" s="60" t="s">
        <v>2947</v>
      </c>
    </row>
    <row r="345" spans="1:8" ht="33" customHeight="1">
      <c r="A345" s="61">
        <v>340</v>
      </c>
      <c r="B345" s="62" t="s">
        <v>3308</v>
      </c>
      <c r="C345" s="32" t="s">
        <v>3357</v>
      </c>
      <c r="D345" s="39" t="s">
        <v>3371</v>
      </c>
      <c r="E345" s="33" t="s">
        <v>1215</v>
      </c>
      <c r="F345" s="33" t="s">
        <v>61</v>
      </c>
      <c r="G345" s="33" t="s">
        <v>3312</v>
      </c>
      <c r="H345" s="63" t="s">
        <v>2947</v>
      </c>
    </row>
    <row r="346" spans="1:8" ht="33" customHeight="1">
      <c r="A346" s="61">
        <v>341</v>
      </c>
      <c r="B346" s="62" t="s">
        <v>3308</v>
      </c>
      <c r="C346" s="32" t="s">
        <v>3357</v>
      </c>
      <c r="D346" s="39" t="s">
        <v>3372</v>
      </c>
      <c r="E346" s="33" t="s">
        <v>1164</v>
      </c>
      <c r="F346" s="33" t="s">
        <v>61</v>
      </c>
      <c r="G346" s="33" t="s">
        <v>3312</v>
      </c>
      <c r="H346" s="63" t="s">
        <v>2947</v>
      </c>
    </row>
    <row r="347" spans="1:8" ht="47.55" customHeight="1">
      <c r="A347" s="61">
        <v>342</v>
      </c>
      <c r="B347" s="62" t="s">
        <v>3308</v>
      </c>
      <c r="C347" s="32" t="s">
        <v>3357</v>
      </c>
      <c r="D347" s="39" t="s">
        <v>3373</v>
      </c>
      <c r="E347" s="33" t="s">
        <v>439</v>
      </c>
      <c r="F347" s="33" t="s">
        <v>61</v>
      </c>
      <c r="G347" s="33" t="s">
        <v>3312</v>
      </c>
      <c r="H347" s="63" t="s">
        <v>2947</v>
      </c>
    </row>
    <row r="348" spans="1:8" ht="33" customHeight="1">
      <c r="A348" s="61">
        <v>343</v>
      </c>
      <c r="B348" s="62" t="s">
        <v>3308</v>
      </c>
      <c r="C348" s="32" t="s">
        <v>3357</v>
      </c>
      <c r="D348" s="39" t="s">
        <v>3374</v>
      </c>
      <c r="E348" s="33" t="s">
        <v>964</v>
      </c>
      <c r="F348" s="33" t="s">
        <v>61</v>
      </c>
      <c r="G348" s="33" t="s">
        <v>3312</v>
      </c>
      <c r="H348" s="63" t="s">
        <v>2947</v>
      </c>
    </row>
    <row r="349" spans="1:8" ht="33" customHeight="1">
      <c r="A349" s="61">
        <v>344</v>
      </c>
      <c r="B349" s="62" t="s">
        <v>3308</v>
      </c>
      <c r="C349" s="32" t="s">
        <v>3357</v>
      </c>
      <c r="D349" s="39" t="s">
        <v>3375</v>
      </c>
      <c r="E349" s="33" t="s">
        <v>339</v>
      </c>
      <c r="F349" s="33" t="s">
        <v>61</v>
      </c>
      <c r="G349" s="33" t="s">
        <v>3312</v>
      </c>
      <c r="H349" s="63" t="s">
        <v>2947</v>
      </c>
    </row>
    <row r="350" spans="1:8" ht="47.55" customHeight="1">
      <c r="A350" s="61">
        <v>345</v>
      </c>
      <c r="B350" s="62" t="s">
        <v>3308</v>
      </c>
      <c r="C350" s="32" t="s">
        <v>3357</v>
      </c>
      <c r="D350" s="39" t="s">
        <v>3376</v>
      </c>
      <c r="E350" s="33" t="s">
        <v>709</v>
      </c>
      <c r="F350" s="33" t="s">
        <v>61</v>
      </c>
      <c r="G350" s="33" t="s">
        <v>3312</v>
      </c>
      <c r="H350" s="63" t="s">
        <v>2947</v>
      </c>
    </row>
    <row r="351" spans="1:8" ht="47.55" customHeight="1">
      <c r="A351" s="58">
        <v>346</v>
      </c>
      <c r="B351" s="59" t="s">
        <v>3308</v>
      </c>
      <c r="C351" s="22" t="s">
        <v>3357</v>
      </c>
      <c r="D351" s="16" t="s">
        <v>3377</v>
      </c>
      <c r="E351" s="2" t="s">
        <v>1020</v>
      </c>
      <c r="F351" s="2" t="s">
        <v>59</v>
      </c>
      <c r="G351" s="2" t="s">
        <v>243</v>
      </c>
      <c r="H351" s="60" t="s">
        <v>2978</v>
      </c>
    </row>
    <row r="352" spans="1:8" ht="47.55" customHeight="1">
      <c r="A352" s="58">
        <v>347</v>
      </c>
      <c r="B352" s="59" t="s">
        <v>3308</v>
      </c>
      <c r="C352" s="22" t="s">
        <v>3357</v>
      </c>
      <c r="D352" s="16" t="s">
        <v>3378</v>
      </c>
      <c r="E352" s="2" t="s">
        <v>890</v>
      </c>
      <c r="F352" s="2" t="s">
        <v>59</v>
      </c>
      <c r="G352" s="2" t="s">
        <v>3312</v>
      </c>
      <c r="H352" s="60" t="s">
        <v>2947</v>
      </c>
    </row>
    <row r="353" spans="1:8" ht="33" customHeight="1">
      <c r="A353" s="61">
        <v>348</v>
      </c>
      <c r="B353" s="62" t="s">
        <v>3308</v>
      </c>
      <c r="C353" s="32" t="s">
        <v>3357</v>
      </c>
      <c r="D353" s="39" t="s">
        <v>3379</v>
      </c>
      <c r="E353" s="33" t="s">
        <v>1644</v>
      </c>
      <c r="F353" s="33" t="s">
        <v>61</v>
      </c>
      <c r="G353" s="33" t="s">
        <v>243</v>
      </c>
      <c r="H353" s="63" t="s">
        <v>2978</v>
      </c>
    </row>
    <row r="354" spans="1:8" ht="33" customHeight="1">
      <c r="A354" s="58">
        <v>349</v>
      </c>
      <c r="B354" s="59" t="s">
        <v>3308</v>
      </c>
      <c r="C354" s="22" t="s">
        <v>3357</v>
      </c>
      <c r="D354" s="16" t="s">
        <v>3380</v>
      </c>
      <c r="E354" s="2" t="s">
        <v>1375</v>
      </c>
      <c r="F354" s="2" t="s">
        <v>59</v>
      </c>
      <c r="G354" s="2" t="s">
        <v>3312</v>
      </c>
      <c r="H354" s="60" t="s">
        <v>2947</v>
      </c>
    </row>
    <row r="355" spans="1:8" ht="47.55" customHeight="1">
      <c r="A355" s="58">
        <v>350</v>
      </c>
      <c r="B355" s="59" t="s">
        <v>3308</v>
      </c>
      <c r="C355" s="22" t="s">
        <v>3357</v>
      </c>
      <c r="D355" s="16" t="s">
        <v>3381</v>
      </c>
      <c r="E355" s="2" t="s">
        <v>941</v>
      </c>
      <c r="F355" s="2" t="s">
        <v>59</v>
      </c>
      <c r="G355" s="2" t="s">
        <v>243</v>
      </c>
      <c r="H355" s="60" t="s">
        <v>2978</v>
      </c>
    </row>
    <row r="356" spans="1:8" ht="33" customHeight="1">
      <c r="A356" s="58">
        <v>351</v>
      </c>
      <c r="B356" s="59" t="s">
        <v>3308</v>
      </c>
      <c r="C356" s="22" t="s">
        <v>3357</v>
      </c>
      <c r="D356" s="16" t="s">
        <v>2266</v>
      </c>
      <c r="E356" s="2" t="s">
        <v>3382</v>
      </c>
      <c r="F356" s="2" t="s">
        <v>59</v>
      </c>
      <c r="G356" s="2" t="s">
        <v>3312</v>
      </c>
      <c r="H356" s="60" t="s">
        <v>2947</v>
      </c>
    </row>
    <row r="357" spans="1:8" ht="33" customHeight="1">
      <c r="A357" s="58">
        <v>352</v>
      </c>
      <c r="B357" s="59" t="s">
        <v>3308</v>
      </c>
      <c r="C357" s="22" t="s">
        <v>3357</v>
      </c>
      <c r="D357" s="16" t="s">
        <v>3383</v>
      </c>
      <c r="E357" s="2" t="s">
        <v>627</v>
      </c>
      <c r="F357" s="2" t="s">
        <v>59</v>
      </c>
      <c r="G357" s="2" t="s">
        <v>243</v>
      </c>
      <c r="H357" s="60" t="s">
        <v>2978</v>
      </c>
    </row>
    <row r="358" spans="1:8" ht="47.55" customHeight="1">
      <c r="A358" s="58">
        <v>353</v>
      </c>
      <c r="B358" s="59" t="s">
        <v>3308</v>
      </c>
      <c r="C358" s="22" t="s">
        <v>3357</v>
      </c>
      <c r="D358" s="16" t="s">
        <v>3384</v>
      </c>
      <c r="E358" s="2" t="s">
        <v>1457</v>
      </c>
      <c r="F358" s="2" t="s">
        <v>59</v>
      </c>
      <c r="G358" s="2" t="s">
        <v>3312</v>
      </c>
      <c r="H358" s="60" t="s">
        <v>2947</v>
      </c>
    </row>
    <row r="359" spans="1:8" ht="33" customHeight="1">
      <c r="A359" s="58">
        <v>354</v>
      </c>
      <c r="B359" s="59" t="s">
        <v>3308</v>
      </c>
      <c r="C359" s="22" t="s">
        <v>3357</v>
      </c>
      <c r="D359" s="16" t="s">
        <v>3385</v>
      </c>
      <c r="E359" s="2" t="s">
        <v>3386</v>
      </c>
      <c r="F359" s="2" t="s">
        <v>59</v>
      </c>
      <c r="G359" s="2" t="s">
        <v>3312</v>
      </c>
      <c r="H359" s="60" t="s">
        <v>2947</v>
      </c>
    </row>
    <row r="360" spans="1:8" ht="47.55" customHeight="1">
      <c r="A360" s="58">
        <v>355</v>
      </c>
      <c r="B360" s="59" t="s">
        <v>3308</v>
      </c>
      <c r="C360" s="22" t="s">
        <v>3357</v>
      </c>
      <c r="D360" s="16" t="s">
        <v>3387</v>
      </c>
      <c r="E360" s="2" t="s">
        <v>1424</v>
      </c>
      <c r="F360" s="2" t="s">
        <v>59</v>
      </c>
      <c r="G360" s="2" t="s">
        <v>3312</v>
      </c>
      <c r="H360" s="60" t="s">
        <v>2947</v>
      </c>
    </row>
    <row r="361" spans="1:8" ht="33" customHeight="1">
      <c r="A361" s="61">
        <v>356</v>
      </c>
      <c r="B361" s="62" t="s">
        <v>3308</v>
      </c>
      <c r="C361" s="32" t="s">
        <v>3388</v>
      </c>
      <c r="D361" s="39" t="s">
        <v>3389</v>
      </c>
      <c r="E361" s="33" t="s">
        <v>1164</v>
      </c>
      <c r="F361" s="33" t="s">
        <v>61</v>
      </c>
      <c r="G361" s="33" t="s">
        <v>243</v>
      </c>
      <c r="H361" s="63" t="s">
        <v>2978</v>
      </c>
    </row>
    <row r="362" spans="1:8" ht="33" customHeight="1">
      <c r="A362" s="58">
        <v>357</v>
      </c>
      <c r="B362" s="59" t="s">
        <v>3308</v>
      </c>
      <c r="C362" s="22" t="s">
        <v>3390</v>
      </c>
      <c r="D362" s="16" t="s">
        <v>3391</v>
      </c>
      <c r="E362" s="2" t="s">
        <v>985</v>
      </c>
      <c r="F362" s="2" t="s">
        <v>59</v>
      </c>
      <c r="G362" s="2" t="s">
        <v>3312</v>
      </c>
      <c r="H362" s="60" t="s">
        <v>2947</v>
      </c>
    </row>
    <row r="363" spans="1:8" ht="33" customHeight="1">
      <c r="A363" s="58">
        <v>358</v>
      </c>
      <c r="B363" s="59" t="s">
        <v>3308</v>
      </c>
      <c r="C363" s="22" t="s">
        <v>3390</v>
      </c>
      <c r="D363" s="16" t="s">
        <v>3392</v>
      </c>
      <c r="E363" s="2" t="s">
        <v>547</v>
      </c>
      <c r="F363" s="2" t="s">
        <v>59</v>
      </c>
      <c r="G363" s="2" t="s">
        <v>3312</v>
      </c>
      <c r="H363" s="60" t="s">
        <v>2947</v>
      </c>
    </row>
    <row r="364" spans="1:8" ht="33" customHeight="1">
      <c r="A364" s="61">
        <v>359</v>
      </c>
      <c r="B364" s="62" t="s">
        <v>3308</v>
      </c>
      <c r="C364" s="32" t="s">
        <v>3390</v>
      </c>
      <c r="D364" s="39" t="s">
        <v>3393</v>
      </c>
      <c r="E364" s="33" t="s">
        <v>1674</v>
      </c>
      <c r="F364" s="33" t="s">
        <v>61</v>
      </c>
      <c r="G364" s="33" t="s">
        <v>3312</v>
      </c>
      <c r="H364" s="63" t="s">
        <v>2947</v>
      </c>
    </row>
    <row r="365" spans="1:8" ht="33" customHeight="1">
      <c r="A365" s="61">
        <v>360</v>
      </c>
      <c r="B365" s="62" t="s">
        <v>3308</v>
      </c>
      <c r="C365" s="32" t="s">
        <v>3390</v>
      </c>
      <c r="D365" s="39" t="s">
        <v>3394</v>
      </c>
      <c r="E365" s="33" t="s">
        <v>247</v>
      </c>
      <c r="F365" s="33" t="s">
        <v>61</v>
      </c>
      <c r="G365" s="33" t="s">
        <v>3312</v>
      </c>
      <c r="H365" s="63" t="s">
        <v>2947</v>
      </c>
    </row>
    <row r="366" spans="1:8" ht="33" customHeight="1">
      <c r="A366" s="58">
        <v>361</v>
      </c>
      <c r="B366" s="59" t="s">
        <v>3308</v>
      </c>
      <c r="C366" s="22" t="s">
        <v>3390</v>
      </c>
      <c r="D366" s="16" t="s">
        <v>3395</v>
      </c>
      <c r="E366" s="2" t="s">
        <v>852</v>
      </c>
      <c r="F366" s="2" t="s">
        <v>59</v>
      </c>
      <c r="G366" s="2" t="s">
        <v>3312</v>
      </c>
      <c r="H366" s="60" t="s">
        <v>2947</v>
      </c>
    </row>
    <row r="367" spans="1:8" ht="33" customHeight="1">
      <c r="A367" s="58">
        <v>362</v>
      </c>
      <c r="B367" s="59" t="s">
        <v>3308</v>
      </c>
      <c r="C367" s="22" t="s">
        <v>3390</v>
      </c>
      <c r="D367" s="16" t="s">
        <v>3396</v>
      </c>
      <c r="E367" s="2" t="s">
        <v>1424</v>
      </c>
      <c r="F367" s="2" t="s">
        <v>59</v>
      </c>
      <c r="G367" s="2" t="s">
        <v>3312</v>
      </c>
      <c r="H367" s="60" t="s">
        <v>2947</v>
      </c>
    </row>
    <row r="368" spans="1:8" ht="33" customHeight="1">
      <c r="A368" s="58">
        <v>363</v>
      </c>
      <c r="B368" s="59" t="s">
        <v>3308</v>
      </c>
      <c r="C368" s="22" t="s">
        <v>3390</v>
      </c>
      <c r="D368" s="16" t="s">
        <v>3397</v>
      </c>
      <c r="E368" s="2" t="s">
        <v>1609</v>
      </c>
      <c r="F368" s="2" t="s">
        <v>59</v>
      </c>
      <c r="G368" s="2" t="s">
        <v>3312</v>
      </c>
      <c r="H368" s="60" t="s">
        <v>2947</v>
      </c>
    </row>
    <row r="369" spans="1:8" ht="33" customHeight="1">
      <c r="A369" s="58">
        <v>364</v>
      </c>
      <c r="B369" s="59" t="s">
        <v>3308</v>
      </c>
      <c r="C369" s="22" t="s">
        <v>3390</v>
      </c>
      <c r="D369" s="16" t="s">
        <v>3398</v>
      </c>
      <c r="E369" s="2" t="s">
        <v>606</v>
      </c>
      <c r="F369" s="2" t="s">
        <v>59</v>
      </c>
      <c r="G369" s="2" t="s">
        <v>3312</v>
      </c>
      <c r="H369" s="60" t="s">
        <v>2947</v>
      </c>
    </row>
    <row r="370" spans="1:8" ht="33" customHeight="1">
      <c r="A370" s="58">
        <v>365</v>
      </c>
      <c r="B370" s="59" t="s">
        <v>3308</v>
      </c>
      <c r="C370" s="22" t="s">
        <v>3390</v>
      </c>
      <c r="D370" s="16" t="s">
        <v>3399</v>
      </c>
      <c r="E370" s="2" t="s">
        <v>815</v>
      </c>
      <c r="F370" s="2" t="s">
        <v>59</v>
      </c>
      <c r="G370" s="2" t="s">
        <v>3312</v>
      </c>
      <c r="H370" s="60" t="s">
        <v>2947</v>
      </c>
    </row>
    <row r="371" spans="1:8" ht="33" customHeight="1">
      <c r="A371" s="58">
        <v>366</v>
      </c>
      <c r="B371" s="59" t="s">
        <v>3308</v>
      </c>
      <c r="C371" s="22" t="s">
        <v>3390</v>
      </c>
      <c r="D371" s="16" t="s">
        <v>3400</v>
      </c>
      <c r="E371" s="2" t="s">
        <v>1471</v>
      </c>
      <c r="F371" s="2" t="s">
        <v>59</v>
      </c>
      <c r="G371" s="2" t="s">
        <v>3312</v>
      </c>
      <c r="H371" s="60" t="s">
        <v>2947</v>
      </c>
    </row>
    <row r="372" spans="1:8" ht="33" customHeight="1">
      <c r="A372" s="61">
        <v>367</v>
      </c>
      <c r="B372" s="62" t="s">
        <v>3308</v>
      </c>
      <c r="C372" s="32" t="s">
        <v>3390</v>
      </c>
      <c r="D372" s="39" t="s">
        <v>3401</v>
      </c>
      <c r="E372" s="33" t="s">
        <v>1197</v>
      </c>
      <c r="F372" s="33" t="s">
        <v>61</v>
      </c>
      <c r="G372" s="33" t="s">
        <v>3312</v>
      </c>
      <c r="H372" s="63" t="s">
        <v>2947</v>
      </c>
    </row>
    <row r="373" spans="1:8" ht="33" customHeight="1">
      <c r="A373" s="58">
        <v>368</v>
      </c>
      <c r="B373" s="59" t="s">
        <v>3308</v>
      </c>
      <c r="C373" s="22" t="s">
        <v>3390</v>
      </c>
      <c r="D373" s="16" t="s">
        <v>3402</v>
      </c>
      <c r="E373" s="2" t="s">
        <v>871</v>
      </c>
      <c r="F373" s="2" t="s">
        <v>59</v>
      </c>
      <c r="G373" s="2" t="s">
        <v>3312</v>
      </c>
      <c r="H373" s="60" t="s">
        <v>2947</v>
      </c>
    </row>
    <row r="374" spans="1:8" ht="33" customHeight="1">
      <c r="A374" s="58">
        <v>369</v>
      </c>
      <c r="B374" s="59" t="s">
        <v>3308</v>
      </c>
      <c r="C374" s="22" t="s">
        <v>3390</v>
      </c>
      <c r="D374" s="16" t="s">
        <v>3403</v>
      </c>
      <c r="E374" s="2" t="s">
        <v>1059</v>
      </c>
      <c r="F374" s="2" t="s">
        <v>59</v>
      </c>
      <c r="G374" s="2" t="s">
        <v>3312</v>
      </c>
      <c r="H374" s="60" t="s">
        <v>2947</v>
      </c>
    </row>
    <row r="375" spans="1:8" ht="33" customHeight="1">
      <c r="A375" s="61">
        <v>370</v>
      </c>
      <c r="B375" s="62" t="s">
        <v>3308</v>
      </c>
      <c r="C375" s="32" t="s">
        <v>3390</v>
      </c>
      <c r="D375" s="39" t="s">
        <v>3404</v>
      </c>
      <c r="E375" s="33" t="s">
        <v>1215</v>
      </c>
      <c r="F375" s="33" t="s">
        <v>61</v>
      </c>
      <c r="G375" s="33" t="s">
        <v>3312</v>
      </c>
      <c r="H375" s="63" t="s">
        <v>2947</v>
      </c>
    </row>
    <row r="376" spans="1:8" ht="33" customHeight="1">
      <c r="A376" s="58">
        <v>371</v>
      </c>
      <c r="B376" s="59" t="s">
        <v>3308</v>
      </c>
      <c r="C376" s="22" t="s">
        <v>3390</v>
      </c>
      <c r="D376" s="16" t="s">
        <v>3405</v>
      </c>
      <c r="E376" s="2" t="s">
        <v>423</v>
      </c>
      <c r="F376" s="2" t="s">
        <v>59</v>
      </c>
      <c r="G376" s="2" t="s">
        <v>3312</v>
      </c>
      <c r="H376" s="60" t="s">
        <v>2947</v>
      </c>
    </row>
    <row r="377" spans="1:8" ht="33" customHeight="1">
      <c r="A377" s="58">
        <v>372</v>
      </c>
      <c r="B377" s="59" t="s">
        <v>3308</v>
      </c>
      <c r="C377" s="22" t="s">
        <v>3390</v>
      </c>
      <c r="D377" s="16" t="s">
        <v>3406</v>
      </c>
      <c r="E377" s="2" t="s">
        <v>378</v>
      </c>
      <c r="F377" s="2" t="s">
        <v>59</v>
      </c>
      <c r="G377" s="2" t="s">
        <v>3312</v>
      </c>
      <c r="H377" s="60" t="s">
        <v>2947</v>
      </c>
    </row>
    <row r="378" spans="1:8" ht="33" customHeight="1">
      <c r="A378" s="61">
        <v>373</v>
      </c>
      <c r="B378" s="62" t="s">
        <v>3308</v>
      </c>
      <c r="C378" s="32" t="s">
        <v>3390</v>
      </c>
      <c r="D378" s="39" t="s">
        <v>3407</v>
      </c>
      <c r="E378" s="33" t="s">
        <v>1230</v>
      </c>
      <c r="F378" s="33" t="s">
        <v>61</v>
      </c>
      <c r="G378" s="33" t="s">
        <v>3312</v>
      </c>
      <c r="H378" s="63" t="s">
        <v>2947</v>
      </c>
    </row>
    <row r="379" spans="1:8" ht="33" customHeight="1">
      <c r="A379" s="58">
        <v>374</v>
      </c>
      <c r="B379" s="59" t="s">
        <v>3308</v>
      </c>
      <c r="C379" s="22" t="s">
        <v>3390</v>
      </c>
      <c r="D379" s="16" t="s">
        <v>3408</v>
      </c>
      <c r="E379" s="2" t="s">
        <v>1442</v>
      </c>
      <c r="F379" s="2" t="s">
        <v>59</v>
      </c>
      <c r="G379" s="2" t="s">
        <v>3312</v>
      </c>
      <c r="H379" s="60" t="s">
        <v>2947</v>
      </c>
    </row>
    <row r="380" spans="1:8" ht="33" customHeight="1">
      <c r="A380" s="58">
        <v>375</v>
      </c>
      <c r="B380" s="59" t="s">
        <v>3308</v>
      </c>
      <c r="C380" s="22" t="s">
        <v>3390</v>
      </c>
      <c r="D380" s="16" t="s">
        <v>3409</v>
      </c>
      <c r="E380" s="2" t="s">
        <v>1457</v>
      </c>
      <c r="F380" s="2" t="s">
        <v>59</v>
      </c>
      <c r="G380" s="2" t="s">
        <v>3312</v>
      </c>
      <c r="H380" s="60" t="s">
        <v>2947</v>
      </c>
    </row>
    <row r="381" spans="1:8" ht="33" customHeight="1">
      <c r="A381" s="58">
        <v>376</v>
      </c>
      <c r="B381" s="59" t="s">
        <v>3308</v>
      </c>
      <c r="C381" s="22" t="s">
        <v>3390</v>
      </c>
      <c r="D381" s="16" t="s">
        <v>3410</v>
      </c>
      <c r="E381" s="2" t="s">
        <v>1340</v>
      </c>
      <c r="F381" s="2" t="s">
        <v>59</v>
      </c>
      <c r="G381" s="2" t="s">
        <v>3312</v>
      </c>
      <c r="H381" s="60" t="s">
        <v>2947</v>
      </c>
    </row>
    <row r="382" spans="1:8" ht="33" customHeight="1">
      <c r="A382" s="58">
        <v>377</v>
      </c>
      <c r="B382" s="59" t="s">
        <v>3308</v>
      </c>
      <c r="C382" s="22" t="s">
        <v>3390</v>
      </c>
      <c r="D382" s="16" t="s">
        <v>3411</v>
      </c>
      <c r="E382" s="2" t="s">
        <v>463</v>
      </c>
      <c r="F382" s="2" t="s">
        <v>59</v>
      </c>
      <c r="G382" s="2" t="s">
        <v>3312</v>
      </c>
      <c r="H382" s="60" t="s">
        <v>2947</v>
      </c>
    </row>
    <row r="383" spans="1:8" ht="33" customHeight="1">
      <c r="A383" s="58">
        <v>378</v>
      </c>
      <c r="B383" s="59" t="s">
        <v>3308</v>
      </c>
      <c r="C383" s="22" t="s">
        <v>3412</v>
      </c>
      <c r="D383" s="16" t="s">
        <v>3413</v>
      </c>
      <c r="E383" s="2" t="s">
        <v>775</v>
      </c>
      <c r="F383" s="2" t="s">
        <v>59</v>
      </c>
      <c r="G383" s="2" t="s">
        <v>3312</v>
      </c>
      <c r="H383" s="60" t="s">
        <v>2947</v>
      </c>
    </row>
    <row r="384" spans="1:8" ht="33" customHeight="1">
      <c r="A384" s="58">
        <v>379</v>
      </c>
      <c r="B384" s="59" t="s">
        <v>3308</v>
      </c>
      <c r="C384" s="22" t="s">
        <v>3412</v>
      </c>
      <c r="D384" s="16" t="s">
        <v>3414</v>
      </c>
      <c r="E384" s="2" t="s">
        <v>775</v>
      </c>
      <c r="F384" s="2" t="s">
        <v>59</v>
      </c>
      <c r="G384" s="2" t="s">
        <v>3312</v>
      </c>
      <c r="H384" s="60" t="s">
        <v>2947</v>
      </c>
    </row>
    <row r="385" spans="1:8" ht="47.55" customHeight="1">
      <c r="A385" s="61">
        <v>380</v>
      </c>
      <c r="B385" s="62" t="s">
        <v>3308</v>
      </c>
      <c r="C385" s="32" t="s">
        <v>3415</v>
      </c>
      <c r="D385" s="39" t="s">
        <v>3416</v>
      </c>
      <c r="E385" s="33" t="s">
        <v>709</v>
      </c>
      <c r="F385" s="33" t="s">
        <v>61</v>
      </c>
      <c r="G385" s="33" t="s">
        <v>243</v>
      </c>
      <c r="H385" s="63" t="s">
        <v>2978</v>
      </c>
    </row>
    <row r="386" spans="1:8" ht="33" customHeight="1">
      <c r="A386" s="61">
        <v>381</v>
      </c>
      <c r="B386" s="62" t="s">
        <v>3308</v>
      </c>
      <c r="C386" s="32" t="s">
        <v>3417</v>
      </c>
      <c r="D386" s="39" t="s">
        <v>3418</v>
      </c>
      <c r="E386" s="33" t="s">
        <v>709</v>
      </c>
      <c r="F386" s="33" t="s">
        <v>61</v>
      </c>
      <c r="G386" s="33" t="s">
        <v>3312</v>
      </c>
      <c r="H386" s="63" t="s">
        <v>2947</v>
      </c>
    </row>
    <row r="387" spans="1:8" ht="33" customHeight="1">
      <c r="A387" s="61">
        <v>382</v>
      </c>
      <c r="B387" s="62" t="s">
        <v>3308</v>
      </c>
      <c r="C387" s="32" t="s">
        <v>3419</v>
      </c>
      <c r="D387" s="39" t="s">
        <v>3420</v>
      </c>
      <c r="E387" s="33" t="s">
        <v>686</v>
      </c>
      <c r="F387" s="33" t="s">
        <v>61</v>
      </c>
      <c r="G387" s="33" t="s">
        <v>3312</v>
      </c>
      <c r="H387" s="63" t="s">
        <v>2947</v>
      </c>
    </row>
    <row r="388" spans="1:8" ht="33" customHeight="1">
      <c r="A388" s="61">
        <v>383</v>
      </c>
      <c r="B388" s="62" t="s">
        <v>3308</v>
      </c>
      <c r="C388" s="32" t="s">
        <v>3421</v>
      </c>
      <c r="D388" s="39" t="s">
        <v>3422</v>
      </c>
      <c r="E388" s="33" t="s">
        <v>733</v>
      </c>
      <c r="F388" s="33" t="s">
        <v>61</v>
      </c>
      <c r="G388" s="33" t="s">
        <v>3312</v>
      </c>
      <c r="H388" s="63" t="s">
        <v>2947</v>
      </c>
    </row>
    <row r="389" spans="1:8" ht="47.55" customHeight="1">
      <c r="A389" s="58">
        <v>384</v>
      </c>
      <c r="B389" s="59" t="s">
        <v>3308</v>
      </c>
      <c r="C389" s="22" t="s">
        <v>3423</v>
      </c>
      <c r="D389" s="16" t="s">
        <v>3424</v>
      </c>
      <c r="E389" s="2" t="s">
        <v>985</v>
      </c>
      <c r="F389" s="2" t="s">
        <v>59</v>
      </c>
      <c r="G389" s="2" t="s">
        <v>3312</v>
      </c>
      <c r="H389" s="60" t="s">
        <v>2947</v>
      </c>
    </row>
    <row r="390" spans="1:8" ht="33" customHeight="1">
      <c r="A390" s="61">
        <v>385</v>
      </c>
      <c r="B390" s="62" t="s">
        <v>3308</v>
      </c>
      <c r="C390" s="32" t="s">
        <v>3425</v>
      </c>
      <c r="D390" s="39" t="s">
        <v>3426</v>
      </c>
      <c r="E390" s="33" t="s">
        <v>1644</v>
      </c>
      <c r="F390" s="33" t="s">
        <v>61</v>
      </c>
      <c r="G390" s="33" t="s">
        <v>3312</v>
      </c>
      <c r="H390" s="63" t="s">
        <v>2947</v>
      </c>
    </row>
    <row r="391" spans="1:8" ht="33" customHeight="1">
      <c r="A391" s="61">
        <v>386</v>
      </c>
      <c r="B391" s="62" t="s">
        <v>3308</v>
      </c>
      <c r="C391" s="32" t="s">
        <v>3427</v>
      </c>
      <c r="D391" s="39" t="s">
        <v>3428</v>
      </c>
      <c r="E391" s="33" t="s">
        <v>1164</v>
      </c>
      <c r="F391" s="33" t="s">
        <v>61</v>
      </c>
      <c r="G391" s="33" t="s">
        <v>3312</v>
      </c>
      <c r="H391" s="63" t="s">
        <v>2947</v>
      </c>
    </row>
    <row r="392" spans="1:8" ht="33" customHeight="1">
      <c r="A392" s="58">
        <v>387</v>
      </c>
      <c r="B392" s="59" t="s">
        <v>3308</v>
      </c>
      <c r="C392" s="22" t="s">
        <v>3429</v>
      </c>
      <c r="D392" s="16" t="s">
        <v>3430</v>
      </c>
      <c r="E392" s="2" t="s">
        <v>1457</v>
      </c>
      <c r="F392" s="2" t="s">
        <v>59</v>
      </c>
      <c r="G392" s="2" t="s">
        <v>3312</v>
      </c>
      <c r="H392" s="60" t="s">
        <v>2947</v>
      </c>
    </row>
    <row r="393" spans="1:8" ht="33" customHeight="1">
      <c r="A393" s="58">
        <v>388</v>
      </c>
      <c r="B393" s="59" t="s">
        <v>3308</v>
      </c>
      <c r="C393" s="22" t="s">
        <v>3431</v>
      </c>
      <c r="D393" s="16" t="s">
        <v>3432</v>
      </c>
      <c r="E393" s="2" t="s">
        <v>1246</v>
      </c>
      <c r="F393" s="2" t="s">
        <v>59</v>
      </c>
      <c r="G393" s="2" t="s">
        <v>3312</v>
      </c>
      <c r="H393" s="60" t="s">
        <v>2947</v>
      </c>
    </row>
    <row r="394" spans="1:8" ht="33" customHeight="1">
      <c r="A394" s="61">
        <v>389</v>
      </c>
      <c r="B394" s="62" t="s">
        <v>3308</v>
      </c>
      <c r="C394" s="32" t="s">
        <v>3431</v>
      </c>
      <c r="D394" s="39" t="s">
        <v>3433</v>
      </c>
      <c r="E394" s="33" t="s">
        <v>686</v>
      </c>
      <c r="F394" s="33" t="s">
        <v>61</v>
      </c>
      <c r="G394" s="33" t="s">
        <v>244</v>
      </c>
      <c r="H394" s="63" t="s">
        <v>2947</v>
      </c>
    </row>
    <row r="395" spans="1:8" ht="33" customHeight="1">
      <c r="A395" s="58">
        <v>390</v>
      </c>
      <c r="B395" s="59" t="s">
        <v>3308</v>
      </c>
      <c r="C395" s="22" t="s">
        <v>3434</v>
      </c>
      <c r="D395" s="16" t="s">
        <v>3435</v>
      </c>
      <c r="E395" s="2" t="s">
        <v>1246</v>
      </c>
      <c r="F395" s="2" t="s">
        <v>59</v>
      </c>
      <c r="G395" s="2" t="s">
        <v>3312</v>
      </c>
      <c r="H395" s="60" t="s">
        <v>2947</v>
      </c>
    </row>
    <row r="396" spans="1:8" ht="33" customHeight="1">
      <c r="A396" s="61">
        <v>391</v>
      </c>
      <c r="B396" s="62" t="s">
        <v>3308</v>
      </c>
      <c r="C396" s="32" t="s">
        <v>3436</v>
      </c>
      <c r="D396" s="39" t="s">
        <v>3437</v>
      </c>
      <c r="E396" s="33" t="s">
        <v>1164</v>
      </c>
      <c r="F396" s="33" t="s">
        <v>61</v>
      </c>
      <c r="G396" s="33" t="s">
        <v>3312</v>
      </c>
      <c r="H396" s="63" t="s">
        <v>2947</v>
      </c>
    </row>
    <row r="397" spans="1:8" ht="47.55" customHeight="1">
      <c r="A397" s="61">
        <v>392</v>
      </c>
      <c r="B397" s="62" t="s">
        <v>3308</v>
      </c>
      <c r="C397" s="32" t="s">
        <v>3436</v>
      </c>
      <c r="D397" s="39" t="s">
        <v>3438</v>
      </c>
      <c r="E397" s="33" t="s">
        <v>439</v>
      </c>
      <c r="F397" s="33" t="s">
        <v>61</v>
      </c>
      <c r="G397" s="33" t="s">
        <v>3312</v>
      </c>
      <c r="H397" s="63" t="s">
        <v>2947</v>
      </c>
    </row>
    <row r="398" spans="1:8" ht="33" customHeight="1">
      <c r="A398" s="61">
        <v>393</v>
      </c>
      <c r="B398" s="62" t="s">
        <v>3308</v>
      </c>
      <c r="C398" s="32" t="s">
        <v>3439</v>
      </c>
      <c r="D398" s="39" t="s">
        <v>3440</v>
      </c>
      <c r="E398" s="33" t="s">
        <v>1197</v>
      </c>
      <c r="F398" s="33" t="s">
        <v>61</v>
      </c>
      <c r="G398" s="33" t="s">
        <v>243</v>
      </c>
      <c r="H398" s="63" t="s">
        <v>2978</v>
      </c>
    </row>
    <row r="399" spans="1:8" ht="33" customHeight="1">
      <c r="A399" s="58">
        <v>394</v>
      </c>
      <c r="B399" s="59" t="s">
        <v>3308</v>
      </c>
      <c r="C399" s="22" t="s">
        <v>3441</v>
      </c>
      <c r="D399" s="16" t="s">
        <v>3442</v>
      </c>
      <c r="E399" s="2" t="s">
        <v>1690</v>
      </c>
      <c r="F399" s="2" t="s">
        <v>59</v>
      </c>
      <c r="G399" s="2" t="s">
        <v>3312</v>
      </c>
      <c r="H399" s="60" t="s">
        <v>2947</v>
      </c>
    </row>
    <row r="400" spans="1:8" ht="33" customHeight="1">
      <c r="A400" s="58">
        <v>395</v>
      </c>
      <c r="B400" s="59" t="s">
        <v>3308</v>
      </c>
      <c r="C400" s="22" t="s">
        <v>3443</v>
      </c>
      <c r="D400" s="16" t="s">
        <v>3444</v>
      </c>
      <c r="E400" s="2" t="s">
        <v>1268</v>
      </c>
      <c r="F400" s="2" t="s">
        <v>59</v>
      </c>
      <c r="G400" s="2" t="s">
        <v>243</v>
      </c>
      <c r="H400" s="60" t="s">
        <v>2978</v>
      </c>
    </row>
    <row r="401" spans="1:8" ht="47.55" customHeight="1">
      <c r="A401" s="58">
        <v>396</v>
      </c>
      <c r="B401" s="59" t="s">
        <v>3308</v>
      </c>
      <c r="C401" s="22" t="s">
        <v>3443</v>
      </c>
      <c r="D401" s="16" t="s">
        <v>3445</v>
      </c>
      <c r="E401" s="2" t="s">
        <v>1002</v>
      </c>
      <c r="F401" s="2" t="s">
        <v>59</v>
      </c>
      <c r="G401" s="2" t="s">
        <v>243</v>
      </c>
      <c r="H401" s="60" t="s">
        <v>2978</v>
      </c>
    </row>
    <row r="402" spans="1:8" ht="47.55" customHeight="1">
      <c r="A402" s="58">
        <v>397</v>
      </c>
      <c r="B402" s="59" t="s">
        <v>3308</v>
      </c>
      <c r="C402" s="22" t="s">
        <v>3443</v>
      </c>
      <c r="D402" s="16" t="s">
        <v>3446</v>
      </c>
      <c r="E402" s="2" t="s">
        <v>1059</v>
      </c>
      <c r="F402" s="2" t="s">
        <v>59</v>
      </c>
      <c r="G402" s="2" t="s">
        <v>3312</v>
      </c>
      <c r="H402" s="60" t="s">
        <v>2947</v>
      </c>
    </row>
    <row r="403" spans="1:8" ht="47.55" customHeight="1">
      <c r="A403" s="58">
        <v>398</v>
      </c>
      <c r="B403" s="59" t="s">
        <v>3308</v>
      </c>
      <c r="C403" s="22" t="s">
        <v>3443</v>
      </c>
      <c r="D403" s="16" t="s">
        <v>3447</v>
      </c>
      <c r="E403" s="2" t="s">
        <v>627</v>
      </c>
      <c r="F403" s="2" t="s">
        <v>59</v>
      </c>
      <c r="G403" s="2" t="s">
        <v>3312</v>
      </c>
      <c r="H403" s="60" t="s">
        <v>2947</v>
      </c>
    </row>
    <row r="404" spans="1:8" ht="47.55" customHeight="1">
      <c r="A404" s="58">
        <v>399</v>
      </c>
      <c r="B404" s="59" t="s">
        <v>3308</v>
      </c>
      <c r="C404" s="22" t="s">
        <v>3443</v>
      </c>
      <c r="D404" s="16" t="s">
        <v>3448</v>
      </c>
      <c r="E404" s="2" t="s">
        <v>3449</v>
      </c>
      <c r="F404" s="2" t="s">
        <v>59</v>
      </c>
      <c r="G404" s="2" t="s">
        <v>3312</v>
      </c>
      <c r="H404" s="60" t="s">
        <v>2947</v>
      </c>
    </row>
    <row r="405" spans="1:8" ht="33" customHeight="1">
      <c r="A405" s="58">
        <v>400</v>
      </c>
      <c r="B405" s="59" t="s">
        <v>3308</v>
      </c>
      <c r="C405" s="22" t="s">
        <v>3450</v>
      </c>
      <c r="D405" s="16" t="s">
        <v>3451</v>
      </c>
      <c r="E405" s="2" t="s">
        <v>1424</v>
      </c>
      <c r="F405" s="2" t="s">
        <v>59</v>
      </c>
      <c r="G405" s="2" t="s">
        <v>3312</v>
      </c>
      <c r="H405" s="60" t="s">
        <v>2947</v>
      </c>
    </row>
    <row r="406" spans="1:8" ht="33" customHeight="1">
      <c r="A406" s="61">
        <v>401</v>
      </c>
      <c r="B406" s="62" t="s">
        <v>3308</v>
      </c>
      <c r="C406" s="32" t="s">
        <v>3452</v>
      </c>
      <c r="D406" s="39" t="s">
        <v>3453</v>
      </c>
      <c r="E406" s="33" t="s">
        <v>709</v>
      </c>
      <c r="F406" s="33" t="s">
        <v>61</v>
      </c>
      <c r="G406" s="33" t="s">
        <v>3312</v>
      </c>
      <c r="H406" s="63" t="s">
        <v>2947</v>
      </c>
    </row>
    <row r="407" spans="1:8" ht="33" customHeight="1">
      <c r="A407" s="61">
        <v>402</v>
      </c>
      <c r="B407" s="62" t="s">
        <v>3308</v>
      </c>
      <c r="C407" s="32" t="s">
        <v>3452</v>
      </c>
      <c r="D407" s="39" t="s">
        <v>3454</v>
      </c>
      <c r="E407" s="33" t="s">
        <v>709</v>
      </c>
      <c r="F407" s="33" t="s">
        <v>61</v>
      </c>
      <c r="G407" s="33" t="s">
        <v>3312</v>
      </c>
      <c r="H407" s="63" t="s">
        <v>2947</v>
      </c>
    </row>
    <row r="408" spans="1:8" ht="47.55" customHeight="1">
      <c r="A408" s="58">
        <v>403</v>
      </c>
      <c r="B408" s="59" t="s">
        <v>3308</v>
      </c>
      <c r="C408" s="22" t="s">
        <v>3455</v>
      </c>
      <c r="D408" s="16" t="s">
        <v>3456</v>
      </c>
      <c r="E408" s="2" t="s">
        <v>1340</v>
      </c>
      <c r="F408" s="2" t="s">
        <v>59</v>
      </c>
      <c r="G408" s="2" t="s">
        <v>3312</v>
      </c>
      <c r="H408" s="60" t="s">
        <v>2947</v>
      </c>
    </row>
    <row r="409" spans="1:8" ht="33" customHeight="1">
      <c r="A409" s="58">
        <v>404</v>
      </c>
      <c r="B409" s="59" t="s">
        <v>3308</v>
      </c>
      <c r="C409" s="22" t="s">
        <v>3457</v>
      </c>
      <c r="D409" s="16" t="s">
        <v>3458</v>
      </c>
      <c r="E409" s="2" t="s">
        <v>775</v>
      </c>
      <c r="F409" s="2" t="s">
        <v>59</v>
      </c>
      <c r="G409" s="2" t="s">
        <v>3312</v>
      </c>
      <c r="H409" s="60" t="s">
        <v>2947</v>
      </c>
    </row>
    <row r="410" spans="1:8" ht="47.55" customHeight="1">
      <c r="A410" s="58">
        <v>405</v>
      </c>
      <c r="B410" s="59" t="s">
        <v>3308</v>
      </c>
      <c r="C410" s="22" t="s">
        <v>3459</v>
      </c>
      <c r="D410" s="16" t="s">
        <v>3460</v>
      </c>
      <c r="E410" s="2" t="s">
        <v>400</v>
      </c>
      <c r="F410" s="2" t="s">
        <v>59</v>
      </c>
      <c r="G410" s="2" t="s">
        <v>243</v>
      </c>
      <c r="H410" s="60" t="s">
        <v>2978</v>
      </c>
    </row>
    <row r="411" spans="1:8" ht="33" customHeight="1">
      <c r="A411" s="61">
        <v>406</v>
      </c>
      <c r="B411" s="62" t="s">
        <v>3308</v>
      </c>
      <c r="C411" s="32" t="s">
        <v>3461</v>
      </c>
      <c r="D411" s="39" t="s">
        <v>3462</v>
      </c>
      <c r="E411" s="33" t="s">
        <v>1588</v>
      </c>
      <c r="F411" s="33" t="s">
        <v>61</v>
      </c>
      <c r="G411" s="33" t="s">
        <v>3312</v>
      </c>
      <c r="H411" s="63" t="s">
        <v>2947</v>
      </c>
    </row>
    <row r="412" spans="1:8" ht="33" customHeight="1">
      <c r="A412" s="61">
        <v>407</v>
      </c>
      <c r="B412" s="62" t="s">
        <v>3308</v>
      </c>
      <c r="C412" s="32" t="s">
        <v>3461</v>
      </c>
      <c r="D412" s="39" t="s">
        <v>2844</v>
      </c>
      <c r="E412" s="33" t="s">
        <v>439</v>
      </c>
      <c r="F412" s="33" t="s">
        <v>61</v>
      </c>
      <c r="G412" s="33" t="s">
        <v>3312</v>
      </c>
      <c r="H412" s="63" t="s">
        <v>2947</v>
      </c>
    </row>
    <row r="413" spans="1:8" ht="33" customHeight="1">
      <c r="A413" s="61">
        <v>408</v>
      </c>
      <c r="B413" s="62" t="s">
        <v>3308</v>
      </c>
      <c r="C413" s="32" t="s">
        <v>3461</v>
      </c>
      <c r="D413" s="39" t="s">
        <v>3463</v>
      </c>
      <c r="E413" s="33" t="s">
        <v>964</v>
      </c>
      <c r="F413" s="33" t="s">
        <v>61</v>
      </c>
      <c r="G413" s="33" t="s">
        <v>3312</v>
      </c>
      <c r="H413" s="63" t="s">
        <v>2947</v>
      </c>
    </row>
    <row r="414" spans="1:8" ht="33" customHeight="1">
      <c r="A414" s="61">
        <v>409</v>
      </c>
      <c r="B414" s="62" t="s">
        <v>3308</v>
      </c>
      <c r="C414" s="32" t="s">
        <v>3461</v>
      </c>
      <c r="D414" s="39" t="s">
        <v>3464</v>
      </c>
      <c r="E414" s="33" t="s">
        <v>439</v>
      </c>
      <c r="F414" s="33" t="s">
        <v>61</v>
      </c>
      <c r="G414" s="33" t="s">
        <v>3312</v>
      </c>
      <c r="H414" s="63" t="s">
        <v>2947</v>
      </c>
    </row>
    <row r="415" spans="1:8" ht="47.55" customHeight="1">
      <c r="A415" s="58">
        <v>410</v>
      </c>
      <c r="B415" s="59" t="s">
        <v>3308</v>
      </c>
      <c r="C415" s="22" t="s">
        <v>3465</v>
      </c>
      <c r="D415" s="16" t="s">
        <v>3466</v>
      </c>
      <c r="E415" s="2" t="s">
        <v>1246</v>
      </c>
      <c r="F415" s="2" t="s">
        <v>59</v>
      </c>
      <c r="G415" s="2" t="s">
        <v>3312</v>
      </c>
      <c r="H415" s="60" t="s">
        <v>2947</v>
      </c>
    </row>
    <row r="416" spans="1:8" ht="33" customHeight="1">
      <c r="A416" s="61">
        <v>411</v>
      </c>
      <c r="B416" s="62" t="s">
        <v>3308</v>
      </c>
      <c r="C416" s="32" t="s">
        <v>3467</v>
      </c>
      <c r="D416" s="39" t="s">
        <v>3468</v>
      </c>
      <c r="E416" s="33" t="s">
        <v>1644</v>
      </c>
      <c r="F416" s="33" t="s">
        <v>61</v>
      </c>
      <c r="G416" s="33" t="s">
        <v>3312</v>
      </c>
      <c r="H416" s="63" t="s">
        <v>2947</v>
      </c>
    </row>
    <row r="417" spans="1:8" ht="47.55" customHeight="1">
      <c r="A417" s="58">
        <v>412</v>
      </c>
      <c r="B417" s="59" t="s">
        <v>3308</v>
      </c>
      <c r="C417" s="22" t="s">
        <v>3467</v>
      </c>
      <c r="D417" s="16" t="s">
        <v>3469</v>
      </c>
      <c r="E417" s="2" t="s">
        <v>3470</v>
      </c>
      <c r="F417" s="2" t="s">
        <v>2983</v>
      </c>
      <c r="G417" s="2" t="s">
        <v>3312</v>
      </c>
      <c r="H417" s="60" t="s">
        <v>2947</v>
      </c>
    </row>
    <row r="418" spans="1:8" ht="33" customHeight="1">
      <c r="A418" s="58">
        <v>413</v>
      </c>
      <c r="B418" s="59" t="s">
        <v>3308</v>
      </c>
      <c r="C418" s="22" t="s">
        <v>3471</v>
      </c>
      <c r="D418" s="16" t="s">
        <v>3472</v>
      </c>
      <c r="E418" s="2" t="s">
        <v>1375</v>
      </c>
      <c r="F418" s="2" t="s">
        <v>59</v>
      </c>
      <c r="G418" s="2" t="s">
        <v>3312</v>
      </c>
      <c r="H418" s="60" t="s">
        <v>2947</v>
      </c>
    </row>
    <row r="419" spans="1:8" ht="33" customHeight="1">
      <c r="A419" s="58">
        <v>414</v>
      </c>
      <c r="B419" s="59" t="s">
        <v>3308</v>
      </c>
      <c r="C419" s="22" t="s">
        <v>3471</v>
      </c>
      <c r="D419" s="16" t="s">
        <v>3473</v>
      </c>
      <c r="E419" s="2" t="s">
        <v>1268</v>
      </c>
      <c r="F419" s="2" t="s">
        <v>59</v>
      </c>
      <c r="G419" s="2" t="s">
        <v>243</v>
      </c>
      <c r="H419" s="60" t="s">
        <v>2978</v>
      </c>
    </row>
    <row r="420" spans="1:8" ht="33" customHeight="1">
      <c r="A420" s="58">
        <v>415</v>
      </c>
      <c r="B420" s="59" t="s">
        <v>3308</v>
      </c>
      <c r="C420" s="22" t="s">
        <v>3471</v>
      </c>
      <c r="D420" s="16" t="s">
        <v>2173</v>
      </c>
      <c r="E420" s="2" t="s">
        <v>1609</v>
      </c>
      <c r="F420" s="2" t="s">
        <v>59</v>
      </c>
      <c r="G420" s="2" t="s">
        <v>3312</v>
      </c>
      <c r="H420" s="60" t="s">
        <v>2947</v>
      </c>
    </row>
    <row r="421" spans="1:8" ht="47.55" customHeight="1">
      <c r="A421" s="58">
        <v>416</v>
      </c>
      <c r="B421" s="59" t="s">
        <v>3308</v>
      </c>
      <c r="C421" s="22" t="s">
        <v>3471</v>
      </c>
      <c r="D421" s="16" t="s">
        <v>314</v>
      </c>
      <c r="E421" s="2" t="s">
        <v>3474</v>
      </c>
      <c r="F421" s="2" t="s">
        <v>2983</v>
      </c>
      <c r="G421" s="2" t="s">
        <v>3312</v>
      </c>
      <c r="H421" s="60" t="s">
        <v>2947</v>
      </c>
    </row>
    <row r="422" spans="1:8" ht="33" customHeight="1">
      <c r="A422" s="58">
        <v>417</v>
      </c>
      <c r="B422" s="59" t="s">
        <v>3308</v>
      </c>
      <c r="C422" s="22" t="s">
        <v>3471</v>
      </c>
      <c r="D422" s="16" t="s">
        <v>3475</v>
      </c>
      <c r="E422" s="2" t="s">
        <v>1424</v>
      </c>
      <c r="F422" s="2" t="s">
        <v>59</v>
      </c>
      <c r="G422" s="2" t="s">
        <v>243</v>
      </c>
      <c r="H422" s="60" t="s">
        <v>2978</v>
      </c>
    </row>
    <row r="423" spans="1:8" ht="47.55" customHeight="1">
      <c r="A423" s="58">
        <v>418</v>
      </c>
      <c r="B423" s="59" t="s">
        <v>3308</v>
      </c>
      <c r="C423" s="22" t="s">
        <v>3471</v>
      </c>
      <c r="D423" s="16" t="s">
        <v>3476</v>
      </c>
      <c r="E423" s="2" t="s">
        <v>3477</v>
      </c>
      <c r="F423" s="2" t="s">
        <v>59</v>
      </c>
      <c r="G423" s="2" t="s">
        <v>3312</v>
      </c>
      <c r="H423" s="60" t="s">
        <v>2947</v>
      </c>
    </row>
    <row r="424" spans="1:8" ht="33" customHeight="1">
      <c r="A424" s="61">
        <v>419</v>
      </c>
      <c r="B424" s="62" t="s">
        <v>3308</v>
      </c>
      <c r="C424" s="32" t="s">
        <v>3471</v>
      </c>
      <c r="D424" s="39" t="s">
        <v>3478</v>
      </c>
      <c r="E424" s="33" t="s">
        <v>1197</v>
      </c>
      <c r="F424" s="33" t="s">
        <v>61</v>
      </c>
      <c r="G424" s="33" t="s">
        <v>3312</v>
      </c>
      <c r="H424" s="63" t="s">
        <v>2947</v>
      </c>
    </row>
    <row r="425" spans="1:8" ht="33" customHeight="1">
      <c r="A425" s="58">
        <v>420</v>
      </c>
      <c r="B425" s="59" t="s">
        <v>3308</v>
      </c>
      <c r="C425" s="22" t="s">
        <v>3471</v>
      </c>
      <c r="D425" s="16" t="s">
        <v>3479</v>
      </c>
      <c r="E425" s="2" t="s">
        <v>1246</v>
      </c>
      <c r="F425" s="2" t="s">
        <v>59</v>
      </c>
      <c r="G425" s="2" t="s">
        <v>3312</v>
      </c>
      <c r="H425" s="60" t="s">
        <v>2947</v>
      </c>
    </row>
    <row r="426" spans="1:8" ht="47.55" customHeight="1">
      <c r="A426" s="58">
        <v>421</v>
      </c>
      <c r="B426" s="59" t="s">
        <v>3308</v>
      </c>
      <c r="C426" s="22" t="s">
        <v>3480</v>
      </c>
      <c r="D426" s="16" t="s">
        <v>3481</v>
      </c>
      <c r="E426" s="2" t="s">
        <v>3167</v>
      </c>
      <c r="F426" s="2" t="s">
        <v>59</v>
      </c>
      <c r="G426" s="2" t="s">
        <v>3312</v>
      </c>
      <c r="H426" s="60" t="s">
        <v>2947</v>
      </c>
    </row>
    <row r="427" spans="1:8" ht="47.55" customHeight="1">
      <c r="A427" s="61">
        <v>422</v>
      </c>
      <c r="B427" s="62" t="s">
        <v>3308</v>
      </c>
      <c r="C427" s="32" t="s">
        <v>3482</v>
      </c>
      <c r="D427" s="39" t="s">
        <v>3483</v>
      </c>
      <c r="E427" s="33" t="s">
        <v>733</v>
      </c>
      <c r="F427" s="33" t="s">
        <v>61</v>
      </c>
      <c r="G427" s="33" t="s">
        <v>3312</v>
      </c>
      <c r="H427" s="63" t="s">
        <v>2947</v>
      </c>
    </row>
    <row r="428" spans="1:8" ht="47.55" customHeight="1">
      <c r="A428" s="61">
        <v>423</v>
      </c>
      <c r="B428" s="62" t="s">
        <v>3308</v>
      </c>
      <c r="C428" s="32" t="s">
        <v>3482</v>
      </c>
      <c r="D428" s="39" t="s">
        <v>3484</v>
      </c>
      <c r="E428" s="33" t="s">
        <v>709</v>
      </c>
      <c r="F428" s="33" t="s">
        <v>61</v>
      </c>
      <c r="G428" s="33" t="s">
        <v>3312</v>
      </c>
      <c r="H428" s="63" t="s">
        <v>2947</v>
      </c>
    </row>
    <row r="429" spans="1:8" ht="33" customHeight="1">
      <c r="A429" s="61">
        <v>424</v>
      </c>
      <c r="B429" s="62" t="s">
        <v>3308</v>
      </c>
      <c r="C429" s="32" t="s">
        <v>3485</v>
      </c>
      <c r="D429" s="39" t="s">
        <v>3486</v>
      </c>
      <c r="E429" s="33" t="s">
        <v>439</v>
      </c>
      <c r="F429" s="33" t="s">
        <v>61</v>
      </c>
      <c r="G429" s="33" t="s">
        <v>3312</v>
      </c>
      <c r="H429" s="63" t="s">
        <v>2947</v>
      </c>
    </row>
    <row r="430" spans="1:8" ht="33" customHeight="1">
      <c r="A430" s="61">
        <v>425</v>
      </c>
      <c r="B430" s="62" t="s">
        <v>3308</v>
      </c>
      <c r="C430" s="32" t="s">
        <v>3487</v>
      </c>
      <c r="D430" s="39" t="s">
        <v>3488</v>
      </c>
      <c r="E430" s="33" t="s">
        <v>686</v>
      </c>
      <c r="F430" s="33" t="s">
        <v>61</v>
      </c>
      <c r="G430" s="33" t="s">
        <v>3312</v>
      </c>
      <c r="H430" s="63" t="s">
        <v>2947</v>
      </c>
    </row>
    <row r="431" spans="1:8" ht="33" customHeight="1">
      <c r="A431" s="58">
        <v>426</v>
      </c>
      <c r="B431" s="59" t="s">
        <v>3308</v>
      </c>
      <c r="C431" s="22" t="s">
        <v>3489</v>
      </c>
      <c r="D431" s="16" t="s">
        <v>3490</v>
      </c>
      <c r="E431" s="2" t="s">
        <v>941</v>
      </c>
      <c r="F431" s="2" t="s">
        <v>59</v>
      </c>
      <c r="G431" s="2" t="s">
        <v>3312</v>
      </c>
      <c r="H431" s="60" t="s">
        <v>2947</v>
      </c>
    </row>
    <row r="432" spans="1:8" ht="47.55" customHeight="1">
      <c r="A432" s="58">
        <v>427</v>
      </c>
      <c r="B432" s="59" t="s">
        <v>3308</v>
      </c>
      <c r="C432" s="22" t="s">
        <v>3491</v>
      </c>
      <c r="D432" s="16" t="s">
        <v>3492</v>
      </c>
      <c r="E432" s="2" t="s">
        <v>3493</v>
      </c>
      <c r="F432" s="2" t="s">
        <v>59</v>
      </c>
      <c r="G432" s="2" t="s">
        <v>3312</v>
      </c>
      <c r="H432" s="60" t="s">
        <v>2947</v>
      </c>
    </row>
    <row r="433" spans="1:8" ht="47.55" customHeight="1">
      <c r="A433" s="58">
        <v>428</v>
      </c>
      <c r="B433" s="59" t="s">
        <v>3308</v>
      </c>
      <c r="C433" s="22" t="s">
        <v>3491</v>
      </c>
      <c r="D433" s="16" t="s">
        <v>3494</v>
      </c>
      <c r="E433" s="2" t="s">
        <v>3106</v>
      </c>
      <c r="F433" s="2" t="s">
        <v>59</v>
      </c>
      <c r="G433" s="2" t="s">
        <v>3312</v>
      </c>
      <c r="H433" s="60" t="s">
        <v>2947</v>
      </c>
    </row>
    <row r="434" spans="1:8" ht="33" customHeight="1">
      <c r="A434" s="61">
        <v>429</v>
      </c>
      <c r="B434" s="62" t="s">
        <v>3308</v>
      </c>
      <c r="C434" s="32" t="s">
        <v>3495</v>
      </c>
      <c r="D434" s="39" t="s">
        <v>3496</v>
      </c>
      <c r="E434" s="33" t="s">
        <v>964</v>
      </c>
      <c r="F434" s="33" t="s">
        <v>61</v>
      </c>
      <c r="G434" s="33" t="s">
        <v>3312</v>
      </c>
      <c r="H434" s="63" t="s">
        <v>2947</v>
      </c>
    </row>
    <row r="435" spans="1:8" ht="33" customHeight="1">
      <c r="A435" s="61">
        <v>430</v>
      </c>
      <c r="B435" s="62" t="s">
        <v>3308</v>
      </c>
      <c r="C435" s="32" t="s">
        <v>3497</v>
      </c>
      <c r="D435" s="39" t="s">
        <v>3498</v>
      </c>
      <c r="E435" s="33" t="s">
        <v>1164</v>
      </c>
      <c r="F435" s="33" t="s">
        <v>61</v>
      </c>
      <c r="G435" s="33" t="s">
        <v>3312</v>
      </c>
      <c r="H435" s="63" t="s">
        <v>2947</v>
      </c>
    </row>
    <row r="436" spans="1:8" ht="33" customHeight="1">
      <c r="A436" s="58">
        <v>431</v>
      </c>
      <c r="B436" s="59" t="s">
        <v>3308</v>
      </c>
      <c r="C436" s="22" t="s">
        <v>3499</v>
      </c>
      <c r="D436" s="16" t="s">
        <v>3500</v>
      </c>
      <c r="E436" s="2" t="s">
        <v>649</v>
      </c>
      <c r="F436" s="2" t="s">
        <v>59</v>
      </c>
      <c r="G436" s="2" t="s">
        <v>3312</v>
      </c>
      <c r="H436" s="60" t="s">
        <v>2947</v>
      </c>
    </row>
    <row r="437" spans="1:8" ht="33" customHeight="1">
      <c r="A437" s="58">
        <v>432</v>
      </c>
      <c r="B437" s="59" t="s">
        <v>3308</v>
      </c>
      <c r="C437" s="22" t="s">
        <v>3499</v>
      </c>
      <c r="D437" s="16" t="s">
        <v>3501</v>
      </c>
      <c r="E437" s="2" t="s">
        <v>1246</v>
      </c>
      <c r="F437" s="2" t="s">
        <v>59</v>
      </c>
      <c r="G437" s="2" t="s">
        <v>3312</v>
      </c>
      <c r="H437" s="60" t="s">
        <v>2947</v>
      </c>
    </row>
    <row r="438" spans="1:8" ht="33" customHeight="1">
      <c r="A438" s="61">
        <v>433</v>
      </c>
      <c r="B438" s="62" t="s">
        <v>3308</v>
      </c>
      <c r="C438" s="32" t="s">
        <v>3499</v>
      </c>
      <c r="D438" s="39" t="s">
        <v>3502</v>
      </c>
      <c r="E438" s="33" t="s">
        <v>1215</v>
      </c>
      <c r="F438" s="33" t="s">
        <v>61</v>
      </c>
      <c r="G438" s="33" t="s">
        <v>3312</v>
      </c>
      <c r="H438" s="63" t="s">
        <v>2947</v>
      </c>
    </row>
    <row r="439" spans="1:8" ht="33" customHeight="1">
      <c r="A439" s="61">
        <v>434</v>
      </c>
      <c r="B439" s="62" t="s">
        <v>3308</v>
      </c>
      <c r="C439" s="32" t="s">
        <v>3499</v>
      </c>
      <c r="D439" s="39" t="s">
        <v>3503</v>
      </c>
      <c r="E439" s="33" t="s">
        <v>1588</v>
      </c>
      <c r="F439" s="33" t="s">
        <v>61</v>
      </c>
      <c r="G439" s="33" t="s">
        <v>3312</v>
      </c>
      <c r="H439" s="63" t="s">
        <v>2947</v>
      </c>
    </row>
    <row r="440" spans="1:8" ht="33" customHeight="1">
      <c r="A440" s="58">
        <v>435</v>
      </c>
      <c r="B440" s="59" t="s">
        <v>3308</v>
      </c>
      <c r="C440" s="22" t="s">
        <v>3499</v>
      </c>
      <c r="D440" s="16" t="s">
        <v>3504</v>
      </c>
      <c r="E440" s="2" t="s">
        <v>890</v>
      </c>
      <c r="F440" s="2" t="s">
        <v>59</v>
      </c>
      <c r="G440" s="2" t="s">
        <v>3312</v>
      </c>
      <c r="H440" s="60" t="s">
        <v>2947</v>
      </c>
    </row>
    <row r="441" spans="1:8" ht="33" customHeight="1">
      <c r="A441" s="58">
        <v>436</v>
      </c>
      <c r="B441" s="59" t="s">
        <v>3308</v>
      </c>
      <c r="C441" s="22" t="s">
        <v>3499</v>
      </c>
      <c r="D441" s="16" t="s">
        <v>3505</v>
      </c>
      <c r="E441" s="2" t="s">
        <v>941</v>
      </c>
      <c r="F441" s="2" t="s">
        <v>59</v>
      </c>
      <c r="G441" s="2" t="s">
        <v>243</v>
      </c>
      <c r="H441" s="60" t="s">
        <v>2978</v>
      </c>
    </row>
    <row r="442" spans="1:8" ht="33" customHeight="1">
      <c r="A442" s="61">
        <v>437</v>
      </c>
      <c r="B442" s="62" t="s">
        <v>3308</v>
      </c>
      <c r="C442" s="32" t="s">
        <v>3499</v>
      </c>
      <c r="D442" s="39" t="s">
        <v>3506</v>
      </c>
      <c r="E442" s="33" t="s">
        <v>1644</v>
      </c>
      <c r="F442" s="33" t="s">
        <v>61</v>
      </c>
      <c r="G442" s="33" t="s">
        <v>3312</v>
      </c>
      <c r="H442" s="63" t="s">
        <v>2947</v>
      </c>
    </row>
    <row r="443" spans="1:8" ht="33" customHeight="1">
      <c r="A443" s="58">
        <v>438</v>
      </c>
      <c r="B443" s="59" t="s">
        <v>3308</v>
      </c>
      <c r="C443" s="22" t="s">
        <v>3499</v>
      </c>
      <c r="D443" s="16" t="s">
        <v>3507</v>
      </c>
      <c r="E443" s="2" t="s">
        <v>1059</v>
      </c>
      <c r="F443" s="2" t="s">
        <v>59</v>
      </c>
      <c r="G443" s="2" t="s">
        <v>3312</v>
      </c>
      <c r="H443" s="60" t="s">
        <v>2947</v>
      </c>
    </row>
    <row r="444" spans="1:8" ht="47.55" customHeight="1">
      <c r="A444" s="58">
        <v>439</v>
      </c>
      <c r="B444" s="59" t="s">
        <v>3308</v>
      </c>
      <c r="C444" s="22" t="s">
        <v>3508</v>
      </c>
      <c r="D444" s="16" t="s">
        <v>3509</v>
      </c>
      <c r="E444" s="2" t="s">
        <v>775</v>
      </c>
      <c r="F444" s="2" t="s">
        <v>59</v>
      </c>
      <c r="G444" s="2" t="s">
        <v>3312</v>
      </c>
      <c r="H444" s="60" t="s">
        <v>2947</v>
      </c>
    </row>
    <row r="445" spans="1:8" ht="47.55" customHeight="1">
      <c r="A445" s="58">
        <v>440</v>
      </c>
      <c r="B445" s="59" t="s">
        <v>3308</v>
      </c>
      <c r="C445" s="22" t="s">
        <v>3508</v>
      </c>
      <c r="D445" s="16" t="s">
        <v>3510</v>
      </c>
      <c r="E445" s="2" t="s">
        <v>400</v>
      </c>
      <c r="F445" s="2" t="s">
        <v>59</v>
      </c>
      <c r="G445" s="2" t="s">
        <v>3312</v>
      </c>
      <c r="H445" s="60" t="s">
        <v>2947</v>
      </c>
    </row>
    <row r="446" spans="1:8" ht="47.55" customHeight="1">
      <c r="A446" s="58">
        <v>441</v>
      </c>
      <c r="B446" s="59" t="s">
        <v>3308</v>
      </c>
      <c r="C446" s="22" t="s">
        <v>3508</v>
      </c>
      <c r="D446" s="16" t="s">
        <v>3511</v>
      </c>
      <c r="E446" s="2" t="s">
        <v>400</v>
      </c>
      <c r="F446" s="2" t="s">
        <v>59</v>
      </c>
      <c r="G446" s="2" t="s">
        <v>3312</v>
      </c>
      <c r="H446" s="60" t="s">
        <v>2947</v>
      </c>
    </row>
    <row r="447" spans="1:8" ht="33" customHeight="1">
      <c r="A447" s="58">
        <v>442</v>
      </c>
      <c r="B447" s="59" t="s">
        <v>3308</v>
      </c>
      <c r="C447" s="22" t="s">
        <v>3512</v>
      </c>
      <c r="D447" s="16" t="s">
        <v>3513</v>
      </c>
      <c r="E447" s="2" t="s">
        <v>649</v>
      </c>
      <c r="F447" s="2" t="s">
        <v>59</v>
      </c>
      <c r="G447" s="2" t="s">
        <v>3312</v>
      </c>
      <c r="H447" s="60" t="s">
        <v>2947</v>
      </c>
    </row>
    <row r="448" spans="1:8" ht="33" customHeight="1">
      <c r="A448" s="61">
        <v>443</v>
      </c>
      <c r="B448" s="62" t="s">
        <v>3308</v>
      </c>
      <c r="C448" s="32" t="s">
        <v>3512</v>
      </c>
      <c r="D448" s="39" t="s">
        <v>3514</v>
      </c>
      <c r="E448" s="33" t="s">
        <v>964</v>
      </c>
      <c r="F448" s="33" t="s">
        <v>61</v>
      </c>
      <c r="G448" s="33" t="s">
        <v>3312</v>
      </c>
      <c r="H448" s="63" t="s">
        <v>2947</v>
      </c>
    </row>
    <row r="449" spans="1:8" ht="33" customHeight="1">
      <c r="A449" s="58">
        <v>444</v>
      </c>
      <c r="B449" s="59" t="s">
        <v>3308</v>
      </c>
      <c r="C449" s="22" t="s">
        <v>3512</v>
      </c>
      <c r="D449" s="16" t="s">
        <v>3515</v>
      </c>
      <c r="E449" s="2" t="s">
        <v>1321</v>
      </c>
      <c r="F449" s="2" t="s">
        <v>59</v>
      </c>
      <c r="G449" s="2" t="s">
        <v>3312</v>
      </c>
      <c r="H449" s="60" t="s">
        <v>2947</v>
      </c>
    </row>
    <row r="450" spans="1:8" ht="33" customHeight="1">
      <c r="A450" s="58">
        <v>445</v>
      </c>
      <c r="B450" s="59" t="s">
        <v>3308</v>
      </c>
      <c r="C450" s="22" t="s">
        <v>3512</v>
      </c>
      <c r="D450" s="16" t="s">
        <v>3516</v>
      </c>
      <c r="E450" s="2" t="s">
        <v>1321</v>
      </c>
      <c r="F450" s="2" t="s">
        <v>59</v>
      </c>
      <c r="G450" s="2" t="s">
        <v>3312</v>
      </c>
      <c r="H450" s="60" t="s">
        <v>2947</v>
      </c>
    </row>
    <row r="451" spans="1:8" ht="33" customHeight="1">
      <c r="A451" s="58">
        <v>446</v>
      </c>
      <c r="B451" s="59" t="s">
        <v>3308</v>
      </c>
      <c r="C451" s="22" t="s">
        <v>3512</v>
      </c>
      <c r="D451" s="16" t="s">
        <v>3517</v>
      </c>
      <c r="E451" s="2" t="s">
        <v>547</v>
      </c>
      <c r="F451" s="2" t="s">
        <v>59</v>
      </c>
      <c r="G451" s="2" t="s">
        <v>3312</v>
      </c>
      <c r="H451" s="60" t="s">
        <v>2947</v>
      </c>
    </row>
    <row r="452" spans="1:8" ht="33" customHeight="1">
      <c r="A452" s="58">
        <v>447</v>
      </c>
      <c r="B452" s="59" t="s">
        <v>3308</v>
      </c>
      <c r="C452" s="22" t="s">
        <v>3512</v>
      </c>
      <c r="D452" s="16" t="s">
        <v>3518</v>
      </c>
      <c r="E452" s="2" t="s">
        <v>1246</v>
      </c>
      <c r="F452" s="2" t="s">
        <v>59</v>
      </c>
      <c r="G452" s="2" t="s">
        <v>3312</v>
      </c>
      <c r="H452" s="60" t="s">
        <v>2947</v>
      </c>
    </row>
    <row r="453" spans="1:8" ht="33" customHeight="1">
      <c r="A453" s="58">
        <v>448</v>
      </c>
      <c r="B453" s="59" t="s">
        <v>3308</v>
      </c>
      <c r="C453" s="22" t="s">
        <v>3512</v>
      </c>
      <c r="D453" s="16" t="s">
        <v>3519</v>
      </c>
      <c r="E453" s="2" t="s">
        <v>941</v>
      </c>
      <c r="F453" s="2" t="s">
        <v>59</v>
      </c>
      <c r="G453" s="2" t="s">
        <v>3312</v>
      </c>
      <c r="H453" s="60" t="s">
        <v>2947</v>
      </c>
    </row>
    <row r="454" spans="1:8" ht="33" customHeight="1">
      <c r="A454" s="58">
        <v>449</v>
      </c>
      <c r="B454" s="59" t="s">
        <v>3308</v>
      </c>
      <c r="C454" s="22" t="s">
        <v>3512</v>
      </c>
      <c r="D454" s="16" t="s">
        <v>3520</v>
      </c>
      <c r="E454" s="2" t="s">
        <v>1038</v>
      </c>
      <c r="F454" s="2" t="s">
        <v>59</v>
      </c>
      <c r="G454" s="2" t="s">
        <v>244</v>
      </c>
      <c r="H454" s="60" t="s">
        <v>2947</v>
      </c>
    </row>
    <row r="455" spans="1:8" ht="33" customHeight="1">
      <c r="A455" s="58">
        <v>450</v>
      </c>
      <c r="B455" s="59" t="s">
        <v>3308</v>
      </c>
      <c r="C455" s="22" t="s">
        <v>3512</v>
      </c>
      <c r="D455" s="16" t="s">
        <v>3521</v>
      </c>
      <c r="E455" s="2" t="s">
        <v>400</v>
      </c>
      <c r="F455" s="2" t="s">
        <v>59</v>
      </c>
      <c r="G455" s="2" t="s">
        <v>3312</v>
      </c>
      <c r="H455" s="60" t="s">
        <v>2947</v>
      </c>
    </row>
    <row r="456" spans="1:8" ht="33" customHeight="1">
      <c r="A456" s="58">
        <v>451</v>
      </c>
      <c r="B456" s="59" t="s">
        <v>3308</v>
      </c>
      <c r="C456" s="22" t="s">
        <v>3512</v>
      </c>
      <c r="D456" s="16" t="s">
        <v>3522</v>
      </c>
      <c r="E456" s="2" t="s">
        <v>1268</v>
      </c>
      <c r="F456" s="2" t="s">
        <v>59</v>
      </c>
      <c r="G456" s="2" t="s">
        <v>3312</v>
      </c>
      <c r="H456" s="60" t="s">
        <v>2947</v>
      </c>
    </row>
    <row r="457" spans="1:8" ht="33" customHeight="1">
      <c r="A457" s="58">
        <v>452</v>
      </c>
      <c r="B457" s="59" t="s">
        <v>3308</v>
      </c>
      <c r="C457" s="22" t="s">
        <v>3512</v>
      </c>
      <c r="D457" s="16" t="s">
        <v>2018</v>
      </c>
      <c r="E457" s="2" t="s">
        <v>1038</v>
      </c>
      <c r="F457" s="2" t="s">
        <v>59</v>
      </c>
      <c r="G457" s="2" t="s">
        <v>3312</v>
      </c>
      <c r="H457" s="60" t="s">
        <v>2947</v>
      </c>
    </row>
    <row r="458" spans="1:8" ht="33" customHeight="1">
      <c r="A458" s="58">
        <v>453</v>
      </c>
      <c r="B458" s="59" t="s">
        <v>3308</v>
      </c>
      <c r="C458" s="22" t="s">
        <v>3512</v>
      </c>
      <c r="D458" s="16" t="s">
        <v>336</v>
      </c>
      <c r="E458" s="2" t="s">
        <v>3018</v>
      </c>
      <c r="F458" s="2" t="s">
        <v>59</v>
      </c>
      <c r="G458" s="2" t="s">
        <v>3312</v>
      </c>
      <c r="H458" s="60" t="s">
        <v>2947</v>
      </c>
    </row>
    <row r="459" spans="1:8" ht="33" customHeight="1">
      <c r="A459" s="58">
        <v>454</v>
      </c>
      <c r="B459" s="59" t="s">
        <v>3308</v>
      </c>
      <c r="C459" s="22" t="s">
        <v>3512</v>
      </c>
      <c r="D459" s="16" t="s">
        <v>3523</v>
      </c>
      <c r="E459" s="2" t="s">
        <v>1038</v>
      </c>
      <c r="F459" s="2" t="s">
        <v>59</v>
      </c>
      <c r="G459" s="2" t="s">
        <v>3312</v>
      </c>
      <c r="H459" s="60" t="s">
        <v>2947</v>
      </c>
    </row>
    <row r="460" spans="1:8" ht="33" customHeight="1">
      <c r="A460" s="61">
        <v>455</v>
      </c>
      <c r="B460" s="62" t="s">
        <v>3308</v>
      </c>
      <c r="C460" s="32" t="s">
        <v>3512</v>
      </c>
      <c r="D460" s="39" t="s">
        <v>3524</v>
      </c>
      <c r="E460" s="33" t="s">
        <v>1164</v>
      </c>
      <c r="F460" s="33" t="s">
        <v>61</v>
      </c>
      <c r="G460" s="33" t="s">
        <v>3312</v>
      </c>
      <c r="H460" s="63" t="s">
        <v>2947</v>
      </c>
    </row>
    <row r="461" spans="1:8" ht="33" customHeight="1">
      <c r="A461" s="58">
        <v>456</v>
      </c>
      <c r="B461" s="59" t="s">
        <v>3308</v>
      </c>
      <c r="C461" s="22" t="s">
        <v>3512</v>
      </c>
      <c r="D461" s="16" t="s">
        <v>1161</v>
      </c>
      <c r="E461" s="2" t="s">
        <v>1146</v>
      </c>
      <c r="F461" s="2" t="s">
        <v>59</v>
      </c>
      <c r="G461" s="2" t="s">
        <v>3312</v>
      </c>
      <c r="H461" s="60" t="s">
        <v>2947</v>
      </c>
    </row>
    <row r="462" spans="1:8" ht="33" customHeight="1">
      <c r="A462" s="61">
        <v>457</v>
      </c>
      <c r="B462" s="62" t="s">
        <v>3308</v>
      </c>
      <c r="C462" s="32" t="s">
        <v>3512</v>
      </c>
      <c r="D462" s="39" t="s">
        <v>3525</v>
      </c>
      <c r="E462" s="33" t="s">
        <v>1164</v>
      </c>
      <c r="F462" s="33" t="s">
        <v>61</v>
      </c>
      <c r="G462" s="33" t="s">
        <v>244</v>
      </c>
      <c r="H462" s="63" t="s">
        <v>2947</v>
      </c>
    </row>
    <row r="463" spans="1:8" ht="33" customHeight="1">
      <c r="A463" s="58">
        <v>458</v>
      </c>
      <c r="B463" s="59" t="s">
        <v>3308</v>
      </c>
      <c r="C463" s="22" t="s">
        <v>3512</v>
      </c>
      <c r="D463" s="16" t="s">
        <v>3526</v>
      </c>
      <c r="E463" s="2" t="s">
        <v>666</v>
      </c>
      <c r="F463" s="2" t="s">
        <v>59</v>
      </c>
      <c r="G463" s="2" t="s">
        <v>3312</v>
      </c>
      <c r="H463" s="60" t="s">
        <v>2947</v>
      </c>
    </row>
    <row r="464" spans="1:8" ht="33" customHeight="1">
      <c r="A464" s="61">
        <v>459</v>
      </c>
      <c r="B464" s="62" t="s">
        <v>3308</v>
      </c>
      <c r="C464" s="32" t="s">
        <v>3512</v>
      </c>
      <c r="D464" s="39" t="s">
        <v>3527</v>
      </c>
      <c r="E464" s="33" t="s">
        <v>439</v>
      </c>
      <c r="F464" s="33" t="s">
        <v>61</v>
      </c>
      <c r="G464" s="33" t="s">
        <v>3312</v>
      </c>
      <c r="H464" s="63" t="s">
        <v>2947</v>
      </c>
    </row>
    <row r="465" spans="1:8" ht="33" customHeight="1">
      <c r="A465" s="61">
        <v>460</v>
      </c>
      <c r="B465" s="62" t="s">
        <v>3308</v>
      </c>
      <c r="C465" s="32" t="s">
        <v>3512</v>
      </c>
      <c r="D465" s="39" t="s">
        <v>3528</v>
      </c>
      <c r="E465" s="33" t="s">
        <v>1588</v>
      </c>
      <c r="F465" s="33" t="s">
        <v>61</v>
      </c>
      <c r="G465" s="33" t="s">
        <v>3312</v>
      </c>
      <c r="H465" s="63" t="s">
        <v>2947</v>
      </c>
    </row>
    <row r="466" spans="1:8" ht="33" customHeight="1">
      <c r="A466" s="61">
        <v>461</v>
      </c>
      <c r="B466" s="62" t="s">
        <v>3308</v>
      </c>
      <c r="C466" s="32" t="s">
        <v>3512</v>
      </c>
      <c r="D466" s="39" t="s">
        <v>3529</v>
      </c>
      <c r="E466" s="33" t="s">
        <v>439</v>
      </c>
      <c r="F466" s="33" t="s">
        <v>61</v>
      </c>
      <c r="G466" s="33" t="s">
        <v>3312</v>
      </c>
      <c r="H466" s="63" t="s">
        <v>2947</v>
      </c>
    </row>
    <row r="467" spans="1:8" ht="33" customHeight="1">
      <c r="A467" s="58">
        <v>462</v>
      </c>
      <c r="B467" s="59" t="s">
        <v>3308</v>
      </c>
      <c r="C467" s="22" t="s">
        <v>3512</v>
      </c>
      <c r="D467" s="16" t="s">
        <v>3530</v>
      </c>
      <c r="E467" s="2" t="s">
        <v>796</v>
      </c>
      <c r="F467" s="2" t="s">
        <v>59</v>
      </c>
      <c r="G467" s="2" t="s">
        <v>3312</v>
      </c>
      <c r="H467" s="60" t="s">
        <v>2947</v>
      </c>
    </row>
    <row r="468" spans="1:8" ht="33" customHeight="1">
      <c r="A468" s="58">
        <v>463</v>
      </c>
      <c r="B468" s="59" t="s">
        <v>3308</v>
      </c>
      <c r="C468" s="22" t="s">
        <v>3512</v>
      </c>
      <c r="D468" s="16" t="s">
        <v>3531</v>
      </c>
      <c r="E468" s="2" t="s">
        <v>1391</v>
      </c>
      <c r="F468" s="2" t="s">
        <v>59</v>
      </c>
      <c r="G468" s="2" t="s">
        <v>3312</v>
      </c>
      <c r="H468" s="60" t="s">
        <v>2947</v>
      </c>
    </row>
    <row r="469" spans="1:8" ht="33" customHeight="1">
      <c r="A469" s="58">
        <v>464</v>
      </c>
      <c r="B469" s="59" t="s">
        <v>3308</v>
      </c>
      <c r="C469" s="22" t="s">
        <v>3512</v>
      </c>
      <c r="D469" s="16" t="s">
        <v>3532</v>
      </c>
      <c r="E469" s="2" t="s">
        <v>1002</v>
      </c>
      <c r="F469" s="2" t="s">
        <v>59</v>
      </c>
      <c r="G469" s="2" t="s">
        <v>3312</v>
      </c>
      <c r="H469" s="60" t="s">
        <v>2947</v>
      </c>
    </row>
    <row r="470" spans="1:8" ht="33" customHeight="1">
      <c r="A470" s="58">
        <v>465</v>
      </c>
      <c r="B470" s="59" t="s">
        <v>3308</v>
      </c>
      <c r="C470" s="22" t="s">
        <v>3512</v>
      </c>
      <c r="D470" s="16" t="s">
        <v>3533</v>
      </c>
      <c r="E470" s="2" t="s">
        <v>3014</v>
      </c>
      <c r="F470" s="2" t="s">
        <v>59</v>
      </c>
      <c r="G470" s="2" t="s">
        <v>3312</v>
      </c>
      <c r="H470" s="60" t="s">
        <v>2947</v>
      </c>
    </row>
    <row r="471" spans="1:8" ht="33" customHeight="1">
      <c r="A471" s="61">
        <v>466</v>
      </c>
      <c r="B471" s="62" t="s">
        <v>3308</v>
      </c>
      <c r="C471" s="32" t="s">
        <v>3512</v>
      </c>
      <c r="D471" s="39" t="s">
        <v>3534</v>
      </c>
      <c r="E471" s="33" t="s">
        <v>686</v>
      </c>
      <c r="F471" s="33" t="s">
        <v>61</v>
      </c>
      <c r="G471" s="33" t="s">
        <v>3312</v>
      </c>
      <c r="H471" s="63" t="s">
        <v>2947</v>
      </c>
    </row>
    <row r="472" spans="1:8" ht="33" customHeight="1">
      <c r="A472" s="61">
        <v>467</v>
      </c>
      <c r="B472" s="62" t="s">
        <v>3308</v>
      </c>
      <c r="C472" s="32" t="s">
        <v>3512</v>
      </c>
      <c r="D472" s="39" t="s">
        <v>3535</v>
      </c>
      <c r="E472" s="33" t="s">
        <v>733</v>
      </c>
      <c r="F472" s="33" t="s">
        <v>61</v>
      </c>
      <c r="G472" s="33" t="s">
        <v>3312</v>
      </c>
      <c r="H472" s="63" t="s">
        <v>2947</v>
      </c>
    </row>
    <row r="473" spans="1:8" ht="33" customHeight="1">
      <c r="A473" s="61">
        <v>468</v>
      </c>
      <c r="B473" s="62" t="s">
        <v>3308</v>
      </c>
      <c r="C473" s="32" t="s">
        <v>3512</v>
      </c>
      <c r="D473" s="39" t="s">
        <v>3536</v>
      </c>
      <c r="E473" s="33" t="s">
        <v>686</v>
      </c>
      <c r="F473" s="33" t="s">
        <v>61</v>
      </c>
      <c r="G473" s="33" t="s">
        <v>244</v>
      </c>
      <c r="H473" s="63" t="s">
        <v>2947</v>
      </c>
    </row>
    <row r="474" spans="1:8" ht="33" customHeight="1">
      <c r="A474" s="58">
        <v>469</v>
      </c>
      <c r="B474" s="59" t="s">
        <v>3308</v>
      </c>
      <c r="C474" s="22" t="s">
        <v>3512</v>
      </c>
      <c r="D474" s="16" t="s">
        <v>3537</v>
      </c>
      <c r="E474" s="2" t="s">
        <v>1491</v>
      </c>
      <c r="F474" s="2" t="s">
        <v>59</v>
      </c>
      <c r="G474" s="2" t="s">
        <v>243</v>
      </c>
      <c r="H474" s="60" t="s">
        <v>2978</v>
      </c>
    </row>
    <row r="475" spans="1:8" ht="33" customHeight="1">
      <c r="A475" s="58">
        <v>470</v>
      </c>
      <c r="B475" s="59" t="s">
        <v>3308</v>
      </c>
      <c r="C475" s="22" t="s">
        <v>3512</v>
      </c>
      <c r="D475" s="16" t="s">
        <v>3538</v>
      </c>
      <c r="E475" s="2" t="s">
        <v>361</v>
      </c>
      <c r="F475" s="2" t="s">
        <v>59</v>
      </c>
      <c r="G475" s="2" t="s">
        <v>3312</v>
      </c>
      <c r="H475" s="60" t="s">
        <v>2947</v>
      </c>
    </row>
    <row r="476" spans="1:8" ht="33" customHeight="1">
      <c r="A476" s="58">
        <v>471</v>
      </c>
      <c r="B476" s="59" t="s">
        <v>3308</v>
      </c>
      <c r="C476" s="22" t="s">
        <v>3512</v>
      </c>
      <c r="D476" s="16" t="s">
        <v>3539</v>
      </c>
      <c r="E476" s="2" t="s">
        <v>1073</v>
      </c>
      <c r="F476" s="2" t="s">
        <v>59</v>
      </c>
      <c r="G476" s="2" t="s">
        <v>3312</v>
      </c>
      <c r="H476" s="60" t="s">
        <v>2947</v>
      </c>
    </row>
    <row r="477" spans="1:8" ht="33" customHeight="1">
      <c r="A477" s="61">
        <v>472</v>
      </c>
      <c r="B477" s="62" t="s">
        <v>3308</v>
      </c>
      <c r="C477" s="32" t="s">
        <v>3512</v>
      </c>
      <c r="D477" s="39" t="s">
        <v>1531</v>
      </c>
      <c r="E477" s="33" t="s">
        <v>1520</v>
      </c>
      <c r="F477" s="33" t="s">
        <v>61</v>
      </c>
      <c r="G477" s="33" t="s">
        <v>3312</v>
      </c>
      <c r="H477" s="63" t="s">
        <v>2947</v>
      </c>
    </row>
    <row r="478" spans="1:8" ht="33" customHeight="1">
      <c r="A478" s="58">
        <v>473</v>
      </c>
      <c r="B478" s="59" t="s">
        <v>3308</v>
      </c>
      <c r="C478" s="22" t="s">
        <v>3512</v>
      </c>
      <c r="D478" s="16" t="s">
        <v>3540</v>
      </c>
      <c r="E478" s="2" t="s">
        <v>1304</v>
      </c>
      <c r="F478" s="2" t="s">
        <v>59</v>
      </c>
      <c r="G478" s="2" t="s">
        <v>3312</v>
      </c>
      <c r="H478" s="60" t="s">
        <v>2947</v>
      </c>
    </row>
    <row r="479" spans="1:8" ht="33" customHeight="1">
      <c r="A479" s="61">
        <v>474</v>
      </c>
      <c r="B479" s="62" t="s">
        <v>3308</v>
      </c>
      <c r="C479" s="32" t="s">
        <v>3512</v>
      </c>
      <c r="D479" s="39" t="s">
        <v>3541</v>
      </c>
      <c r="E479" s="33" t="s">
        <v>1644</v>
      </c>
      <c r="F479" s="33" t="s">
        <v>61</v>
      </c>
      <c r="G479" s="33" t="s">
        <v>3312</v>
      </c>
      <c r="H479" s="63" t="s">
        <v>2947</v>
      </c>
    </row>
    <row r="480" spans="1:8" ht="33" customHeight="1">
      <c r="A480" s="58">
        <v>475</v>
      </c>
      <c r="B480" s="59" t="s">
        <v>3308</v>
      </c>
      <c r="C480" s="22" t="s">
        <v>3512</v>
      </c>
      <c r="D480" s="16" t="s">
        <v>3542</v>
      </c>
      <c r="E480" s="2" t="s">
        <v>941</v>
      </c>
      <c r="F480" s="2" t="s">
        <v>59</v>
      </c>
      <c r="G480" s="2" t="s">
        <v>243</v>
      </c>
      <c r="H480" s="60" t="s">
        <v>2978</v>
      </c>
    </row>
    <row r="481" spans="1:8" ht="33" customHeight="1">
      <c r="A481" s="58">
        <v>476</v>
      </c>
      <c r="B481" s="59" t="s">
        <v>3308</v>
      </c>
      <c r="C481" s="22" t="s">
        <v>3512</v>
      </c>
      <c r="D481" s="16" t="s">
        <v>3543</v>
      </c>
      <c r="E481" s="2" t="s">
        <v>1359</v>
      </c>
      <c r="F481" s="2" t="s">
        <v>59</v>
      </c>
      <c r="G481" s="2" t="s">
        <v>3312</v>
      </c>
      <c r="H481" s="60" t="s">
        <v>2947</v>
      </c>
    </row>
    <row r="482" spans="1:8" ht="33" customHeight="1">
      <c r="A482" s="58">
        <v>477</v>
      </c>
      <c r="B482" s="59" t="s">
        <v>3308</v>
      </c>
      <c r="C482" s="22" t="s">
        <v>3512</v>
      </c>
      <c r="D482" s="16" t="s">
        <v>3544</v>
      </c>
      <c r="E482" s="2" t="s">
        <v>649</v>
      </c>
      <c r="F482" s="2" t="s">
        <v>59</v>
      </c>
      <c r="G482" s="2" t="s">
        <v>3312</v>
      </c>
      <c r="H482" s="60" t="s">
        <v>2947</v>
      </c>
    </row>
    <row r="483" spans="1:8" ht="47.55" customHeight="1">
      <c r="A483" s="61">
        <v>478</v>
      </c>
      <c r="B483" s="62" t="s">
        <v>3308</v>
      </c>
      <c r="C483" s="32" t="s">
        <v>3512</v>
      </c>
      <c r="D483" s="39" t="s">
        <v>3545</v>
      </c>
      <c r="E483" s="33" t="s">
        <v>1164</v>
      </c>
      <c r="F483" s="33" t="s">
        <v>61</v>
      </c>
      <c r="G483" s="33" t="s">
        <v>244</v>
      </c>
      <c r="H483" s="63" t="s">
        <v>2947</v>
      </c>
    </row>
    <row r="484" spans="1:8" ht="47.55" customHeight="1">
      <c r="A484" s="58">
        <v>479</v>
      </c>
      <c r="B484" s="59" t="s">
        <v>3308</v>
      </c>
      <c r="C484" s="22" t="s">
        <v>3512</v>
      </c>
      <c r="D484" s="16" t="s">
        <v>3546</v>
      </c>
      <c r="E484" s="2" t="s">
        <v>3547</v>
      </c>
      <c r="F484" s="2" t="s">
        <v>2983</v>
      </c>
      <c r="G484" s="2" t="s">
        <v>3312</v>
      </c>
      <c r="H484" s="60" t="s">
        <v>2947</v>
      </c>
    </row>
    <row r="485" spans="1:8" ht="33" customHeight="1">
      <c r="A485" s="58">
        <v>480</v>
      </c>
      <c r="B485" s="59" t="s">
        <v>3308</v>
      </c>
      <c r="C485" s="22" t="s">
        <v>3512</v>
      </c>
      <c r="D485" s="16" t="s">
        <v>3548</v>
      </c>
      <c r="E485" s="2" t="s">
        <v>3362</v>
      </c>
      <c r="F485" s="2" t="s">
        <v>59</v>
      </c>
      <c r="G485" s="2" t="s">
        <v>3312</v>
      </c>
      <c r="H485" s="60" t="s">
        <v>2947</v>
      </c>
    </row>
    <row r="486" spans="1:8" ht="33" customHeight="1">
      <c r="A486" s="58">
        <v>481</v>
      </c>
      <c r="B486" s="59" t="s">
        <v>3308</v>
      </c>
      <c r="C486" s="22" t="s">
        <v>3512</v>
      </c>
      <c r="D486" s="16" t="s">
        <v>3549</v>
      </c>
      <c r="E486" s="2" t="s">
        <v>1246</v>
      </c>
      <c r="F486" s="2" t="s">
        <v>59</v>
      </c>
      <c r="G486" s="2" t="s">
        <v>3312</v>
      </c>
      <c r="H486" s="60" t="s">
        <v>2947</v>
      </c>
    </row>
    <row r="487" spans="1:8" ht="33" customHeight="1">
      <c r="A487" s="58">
        <v>482</v>
      </c>
      <c r="B487" s="59" t="s">
        <v>3308</v>
      </c>
      <c r="C487" s="22" t="s">
        <v>3550</v>
      </c>
      <c r="D487" s="16" t="s">
        <v>3551</v>
      </c>
      <c r="E487" s="2" t="s">
        <v>400</v>
      </c>
      <c r="F487" s="2" t="s">
        <v>59</v>
      </c>
      <c r="G487" s="2" t="s">
        <v>3312</v>
      </c>
      <c r="H487" s="60" t="s">
        <v>2947</v>
      </c>
    </row>
    <row r="488" spans="1:8" ht="33" customHeight="1">
      <c r="A488" s="58">
        <v>483</v>
      </c>
      <c r="B488" s="59" t="s">
        <v>3308</v>
      </c>
      <c r="C488" s="22" t="s">
        <v>3552</v>
      </c>
      <c r="D488" s="16" t="s">
        <v>3553</v>
      </c>
      <c r="E488" s="2" t="s">
        <v>941</v>
      </c>
      <c r="F488" s="2" t="s">
        <v>59</v>
      </c>
      <c r="G488" s="2" t="s">
        <v>3312</v>
      </c>
      <c r="H488" s="60" t="s">
        <v>2947</v>
      </c>
    </row>
    <row r="489" spans="1:8" ht="33" customHeight="1">
      <c r="A489" s="58">
        <v>484</v>
      </c>
      <c r="B489" s="59" t="s">
        <v>3308</v>
      </c>
      <c r="C489" s="22" t="s">
        <v>3552</v>
      </c>
      <c r="D489" s="16" t="s">
        <v>3554</v>
      </c>
      <c r="E489" s="2" t="s">
        <v>1246</v>
      </c>
      <c r="F489" s="2" t="s">
        <v>59</v>
      </c>
      <c r="G489" s="2" t="s">
        <v>3312</v>
      </c>
      <c r="H489" s="60" t="s">
        <v>2947</v>
      </c>
    </row>
    <row r="490" spans="1:8" ht="33" customHeight="1">
      <c r="A490" s="61">
        <v>485</v>
      </c>
      <c r="B490" s="62" t="s">
        <v>3308</v>
      </c>
      <c r="C490" s="32" t="s">
        <v>3552</v>
      </c>
      <c r="D490" s="39" t="s">
        <v>3555</v>
      </c>
      <c r="E490" s="33" t="s">
        <v>1644</v>
      </c>
      <c r="F490" s="33" t="s">
        <v>61</v>
      </c>
      <c r="G490" s="33" t="s">
        <v>3312</v>
      </c>
      <c r="H490" s="63" t="s">
        <v>2947</v>
      </c>
    </row>
    <row r="491" spans="1:8" ht="33" customHeight="1">
      <c r="A491" s="61">
        <v>486</v>
      </c>
      <c r="B491" s="62" t="s">
        <v>2006</v>
      </c>
      <c r="C491" s="32" t="s">
        <v>3556</v>
      </c>
      <c r="D491" s="39" t="s">
        <v>3557</v>
      </c>
      <c r="E491" s="33" t="s">
        <v>686</v>
      </c>
      <c r="F491" s="33" t="s">
        <v>61</v>
      </c>
      <c r="G491" s="33" t="s">
        <v>244</v>
      </c>
      <c r="H491" s="63" t="s">
        <v>2947</v>
      </c>
    </row>
    <row r="492" spans="1:8" ht="33" customHeight="1">
      <c r="A492" s="61">
        <v>487</v>
      </c>
      <c r="B492" s="62" t="s">
        <v>2006</v>
      </c>
      <c r="C492" s="32" t="s">
        <v>3558</v>
      </c>
      <c r="D492" s="39" t="s">
        <v>2535</v>
      </c>
      <c r="E492" s="33" t="s">
        <v>686</v>
      </c>
      <c r="F492" s="33" t="s">
        <v>61</v>
      </c>
      <c r="G492" s="33" t="s">
        <v>244</v>
      </c>
      <c r="H492" s="63" t="s">
        <v>2947</v>
      </c>
    </row>
    <row r="493" spans="1:8" ht="33" customHeight="1">
      <c r="A493" s="58">
        <v>488</v>
      </c>
      <c r="B493" s="59" t="s">
        <v>2006</v>
      </c>
      <c r="C493" s="22" t="s">
        <v>3558</v>
      </c>
      <c r="D493" s="16" t="s">
        <v>1302</v>
      </c>
      <c r="E493" s="2" t="s">
        <v>1286</v>
      </c>
      <c r="F493" s="2" t="s">
        <v>59</v>
      </c>
      <c r="G493" s="2" t="s">
        <v>3312</v>
      </c>
      <c r="H493" s="60" t="s">
        <v>2947</v>
      </c>
    </row>
    <row r="494" spans="1:8" ht="18.45" customHeight="1">
      <c r="A494" s="58">
        <v>489</v>
      </c>
      <c r="B494" s="59" t="s">
        <v>2006</v>
      </c>
      <c r="C494" s="22" t="s">
        <v>3558</v>
      </c>
      <c r="D494" s="16" t="s">
        <v>851</v>
      </c>
      <c r="E494" s="2" t="s">
        <v>834</v>
      </c>
      <c r="F494" s="2" t="s">
        <v>59</v>
      </c>
      <c r="G494" s="2" t="s">
        <v>243</v>
      </c>
      <c r="H494" s="60" t="s">
        <v>2978</v>
      </c>
    </row>
    <row r="495" spans="1:8" ht="33" customHeight="1">
      <c r="A495" s="58">
        <v>490</v>
      </c>
      <c r="B495" s="59" t="s">
        <v>2006</v>
      </c>
      <c r="C495" s="22" t="s">
        <v>3558</v>
      </c>
      <c r="D495" s="16" t="s">
        <v>3559</v>
      </c>
      <c r="E495" s="2" t="s">
        <v>919</v>
      </c>
      <c r="F495" s="2" t="s">
        <v>59</v>
      </c>
      <c r="G495" s="2" t="s">
        <v>3312</v>
      </c>
      <c r="H495" s="60" t="s">
        <v>2947</v>
      </c>
    </row>
    <row r="496" spans="1:8" ht="18.45" customHeight="1">
      <c r="A496" s="58">
        <v>491</v>
      </c>
      <c r="B496" s="59" t="s">
        <v>2006</v>
      </c>
      <c r="C496" s="22" t="s">
        <v>3558</v>
      </c>
      <c r="D496" s="16" t="s">
        <v>1518</v>
      </c>
      <c r="E496" s="2" t="s">
        <v>1507</v>
      </c>
      <c r="F496" s="2" t="s">
        <v>59</v>
      </c>
      <c r="G496" s="2" t="s">
        <v>243</v>
      </c>
      <c r="H496" s="60" t="s">
        <v>2978</v>
      </c>
    </row>
    <row r="497" spans="1:8" ht="33" customHeight="1">
      <c r="A497" s="58">
        <v>492</v>
      </c>
      <c r="B497" s="59" t="s">
        <v>2006</v>
      </c>
      <c r="C497" s="22" t="s">
        <v>3558</v>
      </c>
      <c r="D497" s="16" t="s">
        <v>3560</v>
      </c>
      <c r="E497" s="2" t="s">
        <v>852</v>
      </c>
      <c r="F497" s="2" t="s">
        <v>59</v>
      </c>
      <c r="G497" s="2" t="s">
        <v>3312</v>
      </c>
      <c r="H497" s="60" t="s">
        <v>2947</v>
      </c>
    </row>
    <row r="498" spans="1:8" ht="33" customHeight="1">
      <c r="A498" s="58">
        <v>493</v>
      </c>
      <c r="B498" s="59" t="s">
        <v>2006</v>
      </c>
      <c r="C498" s="22" t="s">
        <v>3558</v>
      </c>
      <c r="D498" s="16" t="s">
        <v>3561</v>
      </c>
      <c r="E498" s="2" t="s">
        <v>400</v>
      </c>
      <c r="F498" s="2" t="s">
        <v>59</v>
      </c>
      <c r="G498" s="2" t="s">
        <v>3312</v>
      </c>
      <c r="H498" s="60" t="s">
        <v>2947</v>
      </c>
    </row>
    <row r="499" spans="1:8" ht="18.45" customHeight="1">
      <c r="A499" s="58">
        <v>494</v>
      </c>
      <c r="B499" s="59" t="s">
        <v>2006</v>
      </c>
      <c r="C499" s="22" t="s">
        <v>3558</v>
      </c>
      <c r="D499" s="16" t="s">
        <v>525</v>
      </c>
      <c r="E499" s="2" t="s">
        <v>505</v>
      </c>
      <c r="F499" s="2" t="s">
        <v>59</v>
      </c>
      <c r="G499" s="2" t="s">
        <v>243</v>
      </c>
      <c r="H499" s="60" t="s">
        <v>2978</v>
      </c>
    </row>
    <row r="500" spans="1:8" ht="33" customHeight="1">
      <c r="A500" s="58">
        <v>495</v>
      </c>
      <c r="B500" s="59" t="s">
        <v>2006</v>
      </c>
      <c r="C500" s="22" t="s">
        <v>3558</v>
      </c>
      <c r="D500" s="16" t="s">
        <v>3562</v>
      </c>
      <c r="E500" s="2" t="s">
        <v>1609</v>
      </c>
      <c r="F500" s="2" t="s">
        <v>59</v>
      </c>
      <c r="G500" s="2" t="s">
        <v>3312</v>
      </c>
      <c r="H500" s="60" t="s">
        <v>2947</v>
      </c>
    </row>
    <row r="501" spans="1:8" ht="33" customHeight="1">
      <c r="A501" s="61">
        <v>496</v>
      </c>
      <c r="B501" s="62" t="s">
        <v>2006</v>
      </c>
      <c r="C501" s="32" t="s">
        <v>3558</v>
      </c>
      <c r="D501" s="39" t="s">
        <v>3563</v>
      </c>
      <c r="E501" s="33" t="s">
        <v>1164</v>
      </c>
      <c r="F501" s="33" t="s">
        <v>61</v>
      </c>
      <c r="G501" s="33" t="s">
        <v>3312</v>
      </c>
      <c r="H501" s="63" t="s">
        <v>2947</v>
      </c>
    </row>
    <row r="502" spans="1:8" ht="33" customHeight="1">
      <c r="A502" s="61">
        <v>497</v>
      </c>
      <c r="B502" s="62" t="s">
        <v>2006</v>
      </c>
      <c r="C502" s="32" t="s">
        <v>3558</v>
      </c>
      <c r="D502" s="39" t="s">
        <v>3564</v>
      </c>
      <c r="E502" s="33" t="s">
        <v>1164</v>
      </c>
      <c r="F502" s="33" t="s">
        <v>61</v>
      </c>
      <c r="G502" s="33" t="s">
        <v>244</v>
      </c>
      <c r="H502" s="63" t="s">
        <v>2947</v>
      </c>
    </row>
    <row r="503" spans="1:8" ht="18.45" customHeight="1">
      <c r="A503" s="58">
        <v>498</v>
      </c>
      <c r="B503" s="59" t="s">
        <v>2006</v>
      </c>
      <c r="C503" s="22" t="s">
        <v>3558</v>
      </c>
      <c r="D503" s="16" t="s">
        <v>3565</v>
      </c>
      <c r="E503" s="2" t="s">
        <v>585</v>
      </c>
      <c r="F503" s="2" t="s">
        <v>59</v>
      </c>
      <c r="G503" s="2" t="s">
        <v>243</v>
      </c>
      <c r="H503" s="60" t="s">
        <v>2978</v>
      </c>
    </row>
    <row r="504" spans="1:8" ht="33" customHeight="1">
      <c r="A504" s="61">
        <v>499</v>
      </c>
      <c r="B504" s="62" t="s">
        <v>2006</v>
      </c>
      <c r="C504" s="32" t="s">
        <v>3558</v>
      </c>
      <c r="D504" s="39" t="s">
        <v>3566</v>
      </c>
      <c r="E504" s="33" t="s">
        <v>686</v>
      </c>
      <c r="F504" s="33" t="s">
        <v>61</v>
      </c>
      <c r="G504" s="33" t="s">
        <v>3312</v>
      </c>
      <c r="H504" s="63" t="s">
        <v>2947</v>
      </c>
    </row>
    <row r="505" spans="1:8" ht="18.45" customHeight="1">
      <c r="A505" s="58">
        <v>500</v>
      </c>
      <c r="B505" s="59" t="s">
        <v>2006</v>
      </c>
      <c r="C505" s="22" t="s">
        <v>3558</v>
      </c>
      <c r="D505" s="16" t="s">
        <v>3567</v>
      </c>
      <c r="E505" s="2" t="s">
        <v>666</v>
      </c>
      <c r="F505" s="2" t="s">
        <v>59</v>
      </c>
      <c r="G505" s="2" t="s">
        <v>243</v>
      </c>
      <c r="H505" s="60" t="s">
        <v>2978</v>
      </c>
    </row>
    <row r="506" spans="1:8" ht="33" customHeight="1">
      <c r="A506" s="58">
        <v>501</v>
      </c>
      <c r="B506" s="59" t="s">
        <v>2006</v>
      </c>
      <c r="C506" s="22" t="s">
        <v>3558</v>
      </c>
      <c r="D506" s="16" t="s">
        <v>3568</v>
      </c>
      <c r="E506" s="2" t="s">
        <v>1575</v>
      </c>
      <c r="F506" s="2" t="s">
        <v>59</v>
      </c>
      <c r="G506" s="2" t="s">
        <v>3312</v>
      </c>
      <c r="H506" s="60" t="s">
        <v>2947</v>
      </c>
    </row>
    <row r="507" spans="1:8" ht="33" customHeight="1">
      <c r="A507" s="58">
        <v>502</v>
      </c>
      <c r="B507" s="59" t="s">
        <v>2006</v>
      </c>
      <c r="C507" s="22" t="s">
        <v>3558</v>
      </c>
      <c r="D507" s="16" t="s">
        <v>3569</v>
      </c>
      <c r="E507" s="2" t="s">
        <v>649</v>
      </c>
      <c r="F507" s="2" t="s">
        <v>59</v>
      </c>
      <c r="G507" s="2" t="s">
        <v>3312</v>
      </c>
      <c r="H507" s="60" t="s">
        <v>2947</v>
      </c>
    </row>
    <row r="508" spans="1:8" ht="33" customHeight="1">
      <c r="A508" s="61">
        <v>503</v>
      </c>
      <c r="B508" s="62" t="s">
        <v>2006</v>
      </c>
      <c r="C508" s="32" t="s">
        <v>3558</v>
      </c>
      <c r="D508" s="39" t="s">
        <v>3570</v>
      </c>
      <c r="E508" s="33" t="s">
        <v>709</v>
      </c>
      <c r="F508" s="33" t="s">
        <v>61</v>
      </c>
      <c r="G508" s="33" t="s">
        <v>3312</v>
      </c>
      <c r="H508" s="63" t="s">
        <v>2947</v>
      </c>
    </row>
    <row r="509" spans="1:8" ht="33" customHeight="1">
      <c r="A509" s="61">
        <v>504</v>
      </c>
      <c r="B509" s="62" t="s">
        <v>2006</v>
      </c>
      <c r="C509" s="32" t="s">
        <v>3558</v>
      </c>
      <c r="D509" s="39" t="s">
        <v>1144</v>
      </c>
      <c r="E509" s="33" t="s">
        <v>1124</v>
      </c>
      <c r="F509" s="33" t="s">
        <v>61</v>
      </c>
      <c r="G509" s="33" t="s">
        <v>3312</v>
      </c>
      <c r="H509" s="63" t="s">
        <v>2947</v>
      </c>
    </row>
    <row r="510" spans="1:8" ht="33" customHeight="1">
      <c r="A510" s="61">
        <v>505</v>
      </c>
      <c r="B510" s="62" t="s">
        <v>2006</v>
      </c>
      <c r="C510" s="32" t="s">
        <v>3558</v>
      </c>
      <c r="D510" s="39" t="s">
        <v>3571</v>
      </c>
      <c r="E510" s="33" t="s">
        <v>964</v>
      </c>
      <c r="F510" s="33" t="s">
        <v>61</v>
      </c>
      <c r="G510" s="33" t="s">
        <v>3312</v>
      </c>
      <c r="H510" s="63" t="s">
        <v>2947</v>
      </c>
    </row>
    <row r="511" spans="1:8" ht="33" customHeight="1">
      <c r="A511" s="61">
        <v>506</v>
      </c>
      <c r="B511" s="62" t="s">
        <v>2006</v>
      </c>
      <c r="C511" s="32" t="s">
        <v>3558</v>
      </c>
      <c r="D511" s="39" t="s">
        <v>3572</v>
      </c>
      <c r="E511" s="33" t="s">
        <v>439</v>
      </c>
      <c r="F511" s="33" t="s">
        <v>61</v>
      </c>
      <c r="G511" s="33" t="s">
        <v>3312</v>
      </c>
      <c r="H511" s="63" t="s">
        <v>2947</v>
      </c>
    </row>
    <row r="512" spans="1:8" ht="33" customHeight="1">
      <c r="A512" s="61">
        <v>507</v>
      </c>
      <c r="B512" s="62" t="s">
        <v>2006</v>
      </c>
      <c r="C512" s="32" t="s">
        <v>3558</v>
      </c>
      <c r="D512" s="39" t="s">
        <v>3573</v>
      </c>
      <c r="E512" s="33" t="s">
        <v>1588</v>
      </c>
      <c r="F512" s="33" t="s">
        <v>61</v>
      </c>
      <c r="G512" s="33" t="s">
        <v>3312</v>
      </c>
      <c r="H512" s="63" t="s">
        <v>2947</v>
      </c>
    </row>
    <row r="513" spans="1:8" ht="33" customHeight="1">
      <c r="A513" s="61">
        <v>508</v>
      </c>
      <c r="B513" s="62" t="s">
        <v>2006</v>
      </c>
      <c r="C513" s="32" t="s">
        <v>3558</v>
      </c>
      <c r="D513" s="39" t="s">
        <v>3574</v>
      </c>
      <c r="E513" s="33" t="s">
        <v>339</v>
      </c>
      <c r="F513" s="33" t="s">
        <v>61</v>
      </c>
      <c r="G513" s="33" t="s">
        <v>3312</v>
      </c>
      <c r="H513" s="63" t="s">
        <v>2947</v>
      </c>
    </row>
    <row r="514" spans="1:8" ht="18.45" customHeight="1">
      <c r="A514" s="58">
        <v>509</v>
      </c>
      <c r="B514" s="59" t="s">
        <v>2006</v>
      </c>
      <c r="C514" s="22" t="s">
        <v>3558</v>
      </c>
      <c r="D514" s="16" t="s">
        <v>3575</v>
      </c>
      <c r="E514" s="2" t="s">
        <v>1575</v>
      </c>
      <c r="F514" s="2" t="s">
        <v>59</v>
      </c>
      <c r="G514" s="2" t="s">
        <v>244</v>
      </c>
      <c r="H514" s="60" t="s">
        <v>2947</v>
      </c>
    </row>
    <row r="515" spans="1:8" ht="33" customHeight="1">
      <c r="A515" s="58">
        <v>510</v>
      </c>
      <c r="B515" s="59" t="s">
        <v>2006</v>
      </c>
      <c r="C515" s="22" t="s">
        <v>3558</v>
      </c>
      <c r="D515" s="16" t="s">
        <v>3576</v>
      </c>
      <c r="E515" s="2" t="s">
        <v>1340</v>
      </c>
      <c r="F515" s="2" t="s">
        <v>59</v>
      </c>
      <c r="G515" s="2" t="s">
        <v>3312</v>
      </c>
      <c r="H515" s="60" t="s">
        <v>2947</v>
      </c>
    </row>
    <row r="516" spans="1:8" ht="18.45" customHeight="1">
      <c r="A516" s="58">
        <v>511</v>
      </c>
      <c r="B516" s="59" t="s">
        <v>2006</v>
      </c>
      <c r="C516" s="22" t="s">
        <v>3558</v>
      </c>
      <c r="D516" s="16" t="s">
        <v>3577</v>
      </c>
      <c r="E516" s="2" t="s">
        <v>796</v>
      </c>
      <c r="F516" s="2" t="s">
        <v>59</v>
      </c>
      <c r="G516" s="2" t="s">
        <v>243</v>
      </c>
      <c r="H516" s="60" t="s">
        <v>2978</v>
      </c>
    </row>
    <row r="517" spans="1:8" ht="18.45" customHeight="1">
      <c r="A517" s="58">
        <v>512</v>
      </c>
      <c r="B517" s="59" t="s">
        <v>2006</v>
      </c>
      <c r="C517" s="22" t="s">
        <v>3558</v>
      </c>
      <c r="D517" s="16" t="s">
        <v>584</v>
      </c>
      <c r="E517" s="2" t="s">
        <v>566</v>
      </c>
      <c r="F517" s="2" t="s">
        <v>59</v>
      </c>
      <c r="G517" s="2" t="s">
        <v>243</v>
      </c>
      <c r="H517" s="60" t="s">
        <v>2978</v>
      </c>
    </row>
    <row r="518" spans="1:8" ht="18.45" customHeight="1">
      <c r="A518" s="58">
        <v>513</v>
      </c>
      <c r="B518" s="59" t="s">
        <v>2006</v>
      </c>
      <c r="C518" s="22" t="s">
        <v>3558</v>
      </c>
      <c r="D518" s="16" t="s">
        <v>3578</v>
      </c>
      <c r="E518" s="2" t="s">
        <v>1002</v>
      </c>
      <c r="F518" s="2" t="s">
        <v>59</v>
      </c>
      <c r="G518" s="2" t="s">
        <v>243</v>
      </c>
      <c r="H518" s="60" t="s">
        <v>2978</v>
      </c>
    </row>
    <row r="519" spans="1:8" ht="18.45" customHeight="1">
      <c r="A519" s="58">
        <v>514</v>
      </c>
      <c r="B519" s="59" t="s">
        <v>2006</v>
      </c>
      <c r="C519" s="22" t="s">
        <v>3558</v>
      </c>
      <c r="D519" s="16" t="s">
        <v>3579</v>
      </c>
      <c r="E519" s="2" t="s">
        <v>1391</v>
      </c>
      <c r="F519" s="2" t="s">
        <v>59</v>
      </c>
      <c r="G519" s="2" t="s">
        <v>243</v>
      </c>
      <c r="H519" s="60" t="s">
        <v>2978</v>
      </c>
    </row>
    <row r="520" spans="1:8" ht="33" customHeight="1">
      <c r="A520" s="58">
        <v>515</v>
      </c>
      <c r="B520" s="59" t="s">
        <v>2006</v>
      </c>
      <c r="C520" s="22" t="s">
        <v>3558</v>
      </c>
      <c r="D520" s="16" t="s">
        <v>3580</v>
      </c>
      <c r="E520" s="2" t="s">
        <v>1020</v>
      </c>
      <c r="F520" s="2" t="s">
        <v>59</v>
      </c>
      <c r="G520" s="2" t="s">
        <v>3312</v>
      </c>
      <c r="H520" s="60" t="s">
        <v>2947</v>
      </c>
    </row>
    <row r="521" spans="1:8" ht="18.45" customHeight="1">
      <c r="A521" s="58">
        <v>516</v>
      </c>
      <c r="B521" s="59" t="s">
        <v>2006</v>
      </c>
      <c r="C521" s="22" t="s">
        <v>3558</v>
      </c>
      <c r="D521" s="16" t="s">
        <v>3581</v>
      </c>
      <c r="E521" s="2" t="s">
        <v>1073</v>
      </c>
      <c r="F521" s="2" t="s">
        <v>59</v>
      </c>
      <c r="G521" s="2" t="s">
        <v>243</v>
      </c>
      <c r="H521" s="60" t="s">
        <v>2978</v>
      </c>
    </row>
    <row r="522" spans="1:8" ht="33" customHeight="1">
      <c r="A522" s="58">
        <v>517</v>
      </c>
      <c r="B522" s="59" t="s">
        <v>2006</v>
      </c>
      <c r="C522" s="22" t="s">
        <v>3558</v>
      </c>
      <c r="D522" s="16" t="s">
        <v>3582</v>
      </c>
      <c r="E522" s="2" t="s">
        <v>1547</v>
      </c>
      <c r="F522" s="2" t="s">
        <v>59</v>
      </c>
      <c r="G522" s="2" t="s">
        <v>3312</v>
      </c>
      <c r="H522" s="60" t="s">
        <v>2947</v>
      </c>
    </row>
    <row r="523" spans="1:8" ht="18.45" customHeight="1">
      <c r="A523" s="58">
        <v>518</v>
      </c>
      <c r="B523" s="59" t="s">
        <v>2006</v>
      </c>
      <c r="C523" s="22" t="s">
        <v>3558</v>
      </c>
      <c r="D523" s="16" t="s">
        <v>3583</v>
      </c>
      <c r="E523" s="2" t="s">
        <v>482</v>
      </c>
      <c r="F523" s="2" t="s">
        <v>59</v>
      </c>
      <c r="G523" s="2" t="s">
        <v>243</v>
      </c>
      <c r="H523" s="60" t="s">
        <v>2978</v>
      </c>
    </row>
    <row r="524" spans="1:8" ht="33" customHeight="1">
      <c r="A524" s="58">
        <v>519</v>
      </c>
      <c r="B524" s="59" t="s">
        <v>2006</v>
      </c>
      <c r="C524" s="22" t="s">
        <v>3558</v>
      </c>
      <c r="D524" s="16" t="s">
        <v>3584</v>
      </c>
      <c r="E524" s="2" t="s">
        <v>1491</v>
      </c>
      <c r="F524" s="2" t="s">
        <v>59</v>
      </c>
      <c r="G524" s="2" t="s">
        <v>3312</v>
      </c>
      <c r="H524" s="60" t="s">
        <v>2947</v>
      </c>
    </row>
    <row r="525" spans="1:8" ht="18.45" customHeight="1">
      <c r="A525" s="58">
        <v>520</v>
      </c>
      <c r="B525" s="59" t="s">
        <v>2006</v>
      </c>
      <c r="C525" s="22" t="s">
        <v>3558</v>
      </c>
      <c r="D525" s="16" t="s">
        <v>292</v>
      </c>
      <c r="E525" s="2" t="s">
        <v>272</v>
      </c>
      <c r="F525" s="2" t="s">
        <v>59</v>
      </c>
      <c r="G525" s="2" t="s">
        <v>243</v>
      </c>
      <c r="H525" s="60" t="s">
        <v>2978</v>
      </c>
    </row>
    <row r="526" spans="1:8" ht="33" customHeight="1">
      <c r="A526" s="61">
        <v>521</v>
      </c>
      <c r="B526" s="62" t="s">
        <v>2006</v>
      </c>
      <c r="C526" s="32" t="s">
        <v>3558</v>
      </c>
      <c r="D526" s="39" t="s">
        <v>1642</v>
      </c>
      <c r="E526" s="33" t="s">
        <v>1627</v>
      </c>
      <c r="F526" s="33" t="s">
        <v>61</v>
      </c>
      <c r="G526" s="33" t="s">
        <v>3312</v>
      </c>
      <c r="H526" s="63" t="s">
        <v>2947</v>
      </c>
    </row>
    <row r="527" spans="1:8" ht="18.45" customHeight="1">
      <c r="A527" s="58">
        <v>522</v>
      </c>
      <c r="B527" s="59" t="s">
        <v>2006</v>
      </c>
      <c r="C527" s="22" t="s">
        <v>3558</v>
      </c>
      <c r="D527" s="16" t="s">
        <v>3585</v>
      </c>
      <c r="E527" s="2" t="s">
        <v>871</v>
      </c>
      <c r="F527" s="2" t="s">
        <v>59</v>
      </c>
      <c r="G527" s="2" t="s">
        <v>243</v>
      </c>
      <c r="H527" s="60" t="s">
        <v>2978</v>
      </c>
    </row>
    <row r="528" spans="1:8" ht="18.45" customHeight="1">
      <c r="A528" s="58">
        <v>523</v>
      </c>
      <c r="B528" s="59" t="s">
        <v>2006</v>
      </c>
      <c r="C528" s="22" t="s">
        <v>3558</v>
      </c>
      <c r="D528" s="16" t="s">
        <v>1573</v>
      </c>
      <c r="E528" s="2" t="s">
        <v>1562</v>
      </c>
      <c r="F528" s="2" t="s">
        <v>59</v>
      </c>
      <c r="G528" s="2" t="s">
        <v>243</v>
      </c>
      <c r="H528" s="60" t="s">
        <v>2978</v>
      </c>
    </row>
    <row r="529" spans="1:8" ht="18.45" customHeight="1">
      <c r="A529" s="58">
        <v>524</v>
      </c>
      <c r="B529" s="59" t="s">
        <v>2006</v>
      </c>
      <c r="C529" s="22" t="s">
        <v>3558</v>
      </c>
      <c r="D529" s="16" t="s">
        <v>3586</v>
      </c>
      <c r="E529" s="2" t="s">
        <v>1304</v>
      </c>
      <c r="F529" s="2" t="s">
        <v>59</v>
      </c>
      <c r="G529" s="2" t="s">
        <v>243</v>
      </c>
      <c r="H529" s="60" t="s">
        <v>2978</v>
      </c>
    </row>
    <row r="530" spans="1:8" ht="33" customHeight="1">
      <c r="A530" s="58">
        <v>525</v>
      </c>
      <c r="B530" s="59" t="s">
        <v>2006</v>
      </c>
      <c r="C530" s="22" t="s">
        <v>3558</v>
      </c>
      <c r="D530" s="16" t="s">
        <v>3587</v>
      </c>
      <c r="E530" s="2" t="s">
        <v>1059</v>
      </c>
      <c r="F530" s="2" t="s">
        <v>59</v>
      </c>
      <c r="G530" s="2" t="s">
        <v>3312</v>
      </c>
      <c r="H530" s="60" t="s">
        <v>2947</v>
      </c>
    </row>
    <row r="531" spans="1:8" ht="18.45" customHeight="1">
      <c r="A531" s="58">
        <v>526</v>
      </c>
      <c r="B531" s="59" t="s">
        <v>2006</v>
      </c>
      <c r="C531" s="22" t="s">
        <v>3558</v>
      </c>
      <c r="D531" s="16" t="s">
        <v>3588</v>
      </c>
      <c r="E531" s="2" t="s">
        <v>423</v>
      </c>
      <c r="F531" s="2" t="s">
        <v>59</v>
      </c>
      <c r="G531" s="2" t="s">
        <v>244</v>
      </c>
      <c r="H531" s="60" t="s">
        <v>2947</v>
      </c>
    </row>
    <row r="532" spans="1:8" ht="33" customHeight="1">
      <c r="A532" s="58">
        <v>527</v>
      </c>
      <c r="B532" s="59" t="s">
        <v>2006</v>
      </c>
      <c r="C532" s="22" t="s">
        <v>3558</v>
      </c>
      <c r="D532" s="16" t="s">
        <v>3589</v>
      </c>
      <c r="E532" s="2" t="s">
        <v>423</v>
      </c>
      <c r="F532" s="2" t="s">
        <v>59</v>
      </c>
      <c r="G532" s="2" t="s">
        <v>3312</v>
      </c>
      <c r="H532" s="60" t="s">
        <v>2947</v>
      </c>
    </row>
    <row r="533" spans="1:8" ht="33" customHeight="1">
      <c r="A533" s="58">
        <v>528</v>
      </c>
      <c r="B533" s="59" t="s">
        <v>2006</v>
      </c>
      <c r="C533" s="22" t="s">
        <v>3558</v>
      </c>
      <c r="D533" s="16" t="s">
        <v>3590</v>
      </c>
      <c r="E533" s="2" t="s">
        <v>378</v>
      </c>
      <c r="F533" s="2" t="s">
        <v>59</v>
      </c>
      <c r="G533" s="2" t="s">
        <v>3312</v>
      </c>
      <c r="H533" s="60" t="s">
        <v>2947</v>
      </c>
    </row>
    <row r="534" spans="1:8" ht="33" customHeight="1">
      <c r="A534" s="58">
        <v>529</v>
      </c>
      <c r="B534" s="59" t="s">
        <v>2006</v>
      </c>
      <c r="C534" s="22" t="s">
        <v>3558</v>
      </c>
      <c r="D534" s="16" t="s">
        <v>3591</v>
      </c>
      <c r="E534" s="2" t="s">
        <v>378</v>
      </c>
      <c r="F534" s="2" t="s">
        <v>59</v>
      </c>
      <c r="G534" s="2" t="s">
        <v>3312</v>
      </c>
      <c r="H534" s="60" t="s">
        <v>2947</v>
      </c>
    </row>
    <row r="535" spans="1:8" ht="33" customHeight="1">
      <c r="A535" s="58">
        <v>530</v>
      </c>
      <c r="B535" s="59" t="s">
        <v>2006</v>
      </c>
      <c r="C535" s="22" t="s">
        <v>3558</v>
      </c>
      <c r="D535" s="16" t="s">
        <v>3592</v>
      </c>
      <c r="E535" s="2" t="s">
        <v>1359</v>
      </c>
      <c r="F535" s="2" t="s">
        <v>59</v>
      </c>
      <c r="G535" s="2" t="s">
        <v>3312</v>
      </c>
      <c r="H535" s="60" t="s">
        <v>2947</v>
      </c>
    </row>
    <row r="536" spans="1:8" ht="33" customHeight="1">
      <c r="A536" s="58">
        <v>531</v>
      </c>
      <c r="B536" s="59" t="s">
        <v>2006</v>
      </c>
      <c r="C536" s="22" t="s">
        <v>3558</v>
      </c>
      <c r="D536" s="16" t="s">
        <v>3593</v>
      </c>
      <c r="E536" s="2" t="s">
        <v>627</v>
      </c>
      <c r="F536" s="2" t="s">
        <v>59</v>
      </c>
      <c r="G536" s="2" t="s">
        <v>3312</v>
      </c>
      <c r="H536" s="60" t="s">
        <v>2947</v>
      </c>
    </row>
    <row r="537" spans="1:8" ht="33" customHeight="1">
      <c r="A537" s="58">
        <v>532</v>
      </c>
      <c r="B537" s="59" t="s">
        <v>2006</v>
      </c>
      <c r="C537" s="22" t="s">
        <v>3558</v>
      </c>
      <c r="D537" s="16" t="s">
        <v>1421</v>
      </c>
      <c r="E537" s="2" t="s">
        <v>1409</v>
      </c>
      <c r="F537" s="2" t="s">
        <v>59</v>
      </c>
      <c r="G537" s="2" t="s">
        <v>3312</v>
      </c>
      <c r="H537" s="60" t="s">
        <v>2947</v>
      </c>
    </row>
    <row r="538" spans="1:8" ht="33" customHeight="1">
      <c r="A538" s="58">
        <v>533</v>
      </c>
      <c r="B538" s="59" t="s">
        <v>2006</v>
      </c>
      <c r="C538" s="22" t="s">
        <v>3558</v>
      </c>
      <c r="D538" s="16" t="s">
        <v>3594</v>
      </c>
      <c r="E538" s="2" t="s">
        <v>941</v>
      </c>
      <c r="F538" s="2" t="s">
        <v>59</v>
      </c>
      <c r="G538" s="2" t="s">
        <v>3312</v>
      </c>
      <c r="H538" s="60" t="s">
        <v>2947</v>
      </c>
    </row>
    <row r="539" spans="1:8" ht="33" customHeight="1">
      <c r="A539" s="58">
        <v>534</v>
      </c>
      <c r="B539" s="59" t="s">
        <v>2006</v>
      </c>
      <c r="C539" s="22" t="s">
        <v>3558</v>
      </c>
      <c r="D539" s="16" t="s">
        <v>3595</v>
      </c>
      <c r="E539" s="2" t="s">
        <v>3596</v>
      </c>
      <c r="F539" s="2" t="s">
        <v>59</v>
      </c>
      <c r="G539" s="2" t="s">
        <v>244</v>
      </c>
      <c r="H539" s="60" t="s">
        <v>2947</v>
      </c>
    </row>
    <row r="540" spans="1:8" ht="33" customHeight="1">
      <c r="A540" s="58">
        <v>535</v>
      </c>
      <c r="B540" s="59" t="s">
        <v>2006</v>
      </c>
      <c r="C540" s="22" t="s">
        <v>3558</v>
      </c>
      <c r="D540" s="16" t="s">
        <v>3597</v>
      </c>
      <c r="E540" s="2" t="s">
        <v>463</v>
      </c>
      <c r="F540" s="2" t="s">
        <v>59</v>
      </c>
      <c r="G540" s="2" t="s">
        <v>3312</v>
      </c>
      <c r="H540" s="60" t="s">
        <v>2947</v>
      </c>
    </row>
    <row r="541" spans="1:8" ht="33" customHeight="1">
      <c r="A541" s="58">
        <v>536</v>
      </c>
      <c r="B541" s="59" t="s">
        <v>2006</v>
      </c>
      <c r="C541" s="22" t="s">
        <v>3558</v>
      </c>
      <c r="D541" s="16" t="s">
        <v>3598</v>
      </c>
      <c r="E541" s="2" t="s">
        <v>1424</v>
      </c>
      <c r="F541" s="2" t="s">
        <v>59</v>
      </c>
      <c r="G541" s="2" t="s">
        <v>3312</v>
      </c>
      <c r="H541" s="60" t="s">
        <v>2947</v>
      </c>
    </row>
    <row r="542" spans="1:8" ht="33" customHeight="1">
      <c r="A542" s="61">
        <v>537</v>
      </c>
      <c r="B542" s="62" t="s">
        <v>2006</v>
      </c>
      <c r="C542" s="32" t="s">
        <v>3558</v>
      </c>
      <c r="D542" s="39" t="s">
        <v>3599</v>
      </c>
      <c r="E542" s="33" t="s">
        <v>686</v>
      </c>
      <c r="F542" s="33" t="s">
        <v>61</v>
      </c>
      <c r="G542" s="33" t="s">
        <v>244</v>
      </c>
      <c r="H542" s="63" t="s">
        <v>2947</v>
      </c>
    </row>
    <row r="543" spans="1:8" ht="33" customHeight="1">
      <c r="A543" s="61">
        <v>538</v>
      </c>
      <c r="B543" s="62" t="s">
        <v>2006</v>
      </c>
      <c r="C543" s="32" t="s">
        <v>3558</v>
      </c>
      <c r="D543" s="39" t="s">
        <v>3600</v>
      </c>
      <c r="E543" s="33" t="s">
        <v>1164</v>
      </c>
      <c r="F543" s="33" t="s">
        <v>61</v>
      </c>
      <c r="G543" s="33" t="s">
        <v>3312</v>
      </c>
      <c r="H543" s="63" t="s">
        <v>2947</v>
      </c>
    </row>
    <row r="544" spans="1:8" ht="33" customHeight="1">
      <c r="A544" s="58">
        <v>539</v>
      </c>
      <c r="B544" s="59" t="s">
        <v>2006</v>
      </c>
      <c r="C544" s="22" t="s">
        <v>3558</v>
      </c>
      <c r="D544" s="16" t="s">
        <v>3601</v>
      </c>
      <c r="E544" s="2" t="s">
        <v>1575</v>
      </c>
      <c r="F544" s="2" t="s">
        <v>59</v>
      </c>
      <c r="G544" s="2" t="s">
        <v>3312</v>
      </c>
      <c r="H544" s="60" t="s">
        <v>2947</v>
      </c>
    </row>
    <row r="545" spans="1:8" ht="33" customHeight="1">
      <c r="A545" s="58">
        <v>540</v>
      </c>
      <c r="B545" s="59" t="s">
        <v>2006</v>
      </c>
      <c r="C545" s="22" t="s">
        <v>3558</v>
      </c>
      <c r="D545" s="16" t="s">
        <v>3602</v>
      </c>
      <c r="E545" s="2" t="s">
        <v>400</v>
      </c>
      <c r="F545" s="2" t="s">
        <v>59</v>
      </c>
      <c r="G545" s="2" t="s">
        <v>3312</v>
      </c>
      <c r="H545" s="60" t="s">
        <v>2947</v>
      </c>
    </row>
    <row r="546" spans="1:8" ht="33" customHeight="1">
      <c r="A546" s="61">
        <v>541</v>
      </c>
      <c r="B546" s="62" t="s">
        <v>2006</v>
      </c>
      <c r="C546" s="32" t="s">
        <v>3558</v>
      </c>
      <c r="D546" s="39" t="s">
        <v>3603</v>
      </c>
      <c r="E546" s="33" t="s">
        <v>686</v>
      </c>
      <c r="F546" s="33" t="s">
        <v>61</v>
      </c>
      <c r="G546" s="33" t="s">
        <v>244</v>
      </c>
      <c r="H546" s="63" t="s">
        <v>2947</v>
      </c>
    </row>
    <row r="547" spans="1:8" ht="33" customHeight="1">
      <c r="A547" s="58">
        <v>542</v>
      </c>
      <c r="B547" s="59" t="s">
        <v>2006</v>
      </c>
      <c r="C547" s="22" t="s">
        <v>3558</v>
      </c>
      <c r="D547" s="16" t="s">
        <v>3604</v>
      </c>
      <c r="E547" s="2" t="s">
        <v>1375</v>
      </c>
      <c r="F547" s="2" t="s">
        <v>59</v>
      </c>
      <c r="G547" s="2" t="s">
        <v>3312</v>
      </c>
      <c r="H547" s="60" t="s">
        <v>2947</v>
      </c>
    </row>
    <row r="548" spans="1:8" ht="33" customHeight="1">
      <c r="A548" s="58">
        <v>543</v>
      </c>
      <c r="B548" s="59" t="s">
        <v>2006</v>
      </c>
      <c r="C548" s="22" t="s">
        <v>3558</v>
      </c>
      <c r="D548" s="16" t="s">
        <v>3605</v>
      </c>
      <c r="E548" s="2" t="s">
        <v>1246</v>
      </c>
      <c r="F548" s="2" t="s">
        <v>59</v>
      </c>
      <c r="G548" s="2" t="s">
        <v>3312</v>
      </c>
      <c r="H548" s="60" t="s">
        <v>2947</v>
      </c>
    </row>
    <row r="549" spans="1:8" ht="33" customHeight="1">
      <c r="A549" s="61">
        <v>544</v>
      </c>
      <c r="B549" s="62" t="s">
        <v>2006</v>
      </c>
      <c r="C549" s="32" t="s">
        <v>3558</v>
      </c>
      <c r="D549" s="39" t="s">
        <v>3606</v>
      </c>
      <c r="E549" s="33" t="s">
        <v>1164</v>
      </c>
      <c r="F549" s="33" t="s">
        <v>61</v>
      </c>
      <c r="G549" s="33" t="s">
        <v>243</v>
      </c>
      <c r="H549" s="63" t="s">
        <v>2978</v>
      </c>
    </row>
    <row r="550" spans="1:8" ht="33" customHeight="1">
      <c r="A550" s="61">
        <v>545</v>
      </c>
      <c r="B550" s="62" t="s">
        <v>2006</v>
      </c>
      <c r="C550" s="32" t="s">
        <v>3558</v>
      </c>
      <c r="D550" s="39" t="s">
        <v>3607</v>
      </c>
      <c r="E550" s="33" t="s">
        <v>686</v>
      </c>
      <c r="F550" s="33" t="s">
        <v>61</v>
      </c>
      <c r="G550" s="33" t="s">
        <v>3312</v>
      </c>
      <c r="H550" s="63" t="s">
        <v>2947</v>
      </c>
    </row>
    <row r="551" spans="1:8" ht="18.45" customHeight="1">
      <c r="A551" s="58">
        <v>546</v>
      </c>
      <c r="B551" s="59" t="s">
        <v>2006</v>
      </c>
      <c r="C551" s="22" t="s">
        <v>3225</v>
      </c>
      <c r="D551" s="16" t="s">
        <v>3608</v>
      </c>
      <c r="E551" s="2" t="s">
        <v>316</v>
      </c>
      <c r="F551" s="2" t="s">
        <v>59</v>
      </c>
      <c r="G551" s="2" t="s">
        <v>244</v>
      </c>
      <c r="H551" s="60" t="s">
        <v>2947</v>
      </c>
    </row>
    <row r="552" spans="1:8" ht="33" customHeight="1">
      <c r="A552" s="58">
        <v>547</v>
      </c>
      <c r="B552" s="59" t="s">
        <v>2006</v>
      </c>
      <c r="C552" s="22" t="s">
        <v>2962</v>
      </c>
      <c r="D552" s="16" t="s">
        <v>3609</v>
      </c>
      <c r="E552" s="2" t="s">
        <v>919</v>
      </c>
      <c r="F552" s="2" t="s">
        <v>59</v>
      </c>
      <c r="G552" s="2" t="s">
        <v>244</v>
      </c>
      <c r="H552" s="60" t="s">
        <v>2947</v>
      </c>
    </row>
    <row r="553" spans="1:8" ht="33" customHeight="1">
      <c r="A553" s="58">
        <v>548</v>
      </c>
      <c r="B553" s="59" t="s">
        <v>2006</v>
      </c>
      <c r="C553" s="22" t="s">
        <v>2962</v>
      </c>
      <c r="D553" s="16" t="s">
        <v>3610</v>
      </c>
      <c r="E553" s="2" t="s">
        <v>919</v>
      </c>
      <c r="F553" s="2" t="s">
        <v>59</v>
      </c>
      <c r="G553" s="2" t="s">
        <v>244</v>
      </c>
      <c r="H553" s="60" t="s">
        <v>2947</v>
      </c>
    </row>
    <row r="554" spans="1:8" ht="33" customHeight="1">
      <c r="A554" s="58">
        <v>549</v>
      </c>
      <c r="B554" s="59" t="s">
        <v>2006</v>
      </c>
      <c r="C554" s="22" t="s">
        <v>2962</v>
      </c>
      <c r="D554" s="16" t="s">
        <v>3611</v>
      </c>
      <c r="E554" s="2" t="s">
        <v>1038</v>
      </c>
      <c r="F554" s="2" t="s">
        <v>59</v>
      </c>
      <c r="G554" s="2" t="s">
        <v>244</v>
      </c>
      <c r="H554" s="60" t="s">
        <v>2947</v>
      </c>
    </row>
    <row r="555" spans="1:8" ht="33" customHeight="1">
      <c r="A555" s="61">
        <v>550</v>
      </c>
      <c r="B555" s="62" t="s">
        <v>2006</v>
      </c>
      <c r="C555" s="32" t="s">
        <v>3612</v>
      </c>
      <c r="D555" s="39" t="s">
        <v>3613</v>
      </c>
      <c r="E555" s="33" t="s">
        <v>686</v>
      </c>
      <c r="F555" s="33" t="s">
        <v>61</v>
      </c>
      <c r="G555" s="33" t="s">
        <v>3312</v>
      </c>
      <c r="H555" s="63" t="s">
        <v>2947</v>
      </c>
    </row>
    <row r="556" spans="1:8" ht="33" customHeight="1">
      <c r="A556" s="61">
        <v>551</v>
      </c>
      <c r="B556" s="62" t="s">
        <v>2006</v>
      </c>
      <c r="C556" s="32" t="s">
        <v>3612</v>
      </c>
      <c r="D556" s="39" t="s">
        <v>3614</v>
      </c>
      <c r="E556" s="33" t="s">
        <v>686</v>
      </c>
      <c r="F556" s="33" t="s">
        <v>61</v>
      </c>
      <c r="G556" s="33" t="s">
        <v>243</v>
      </c>
      <c r="H556" s="63" t="s">
        <v>2978</v>
      </c>
    </row>
    <row r="557" spans="1:8" ht="33" customHeight="1">
      <c r="A557" s="61">
        <v>552</v>
      </c>
      <c r="B557" s="62" t="s">
        <v>2006</v>
      </c>
      <c r="C557" s="32" t="s">
        <v>3612</v>
      </c>
      <c r="D557" s="39" t="s">
        <v>3615</v>
      </c>
      <c r="E557" s="33" t="s">
        <v>1644</v>
      </c>
      <c r="F557" s="33" t="s">
        <v>61</v>
      </c>
      <c r="G557" s="33" t="s">
        <v>243</v>
      </c>
      <c r="H557" s="63" t="s">
        <v>2978</v>
      </c>
    </row>
    <row r="558" spans="1:8" ht="33" customHeight="1">
      <c r="A558" s="58">
        <v>553</v>
      </c>
      <c r="B558" s="59" t="s">
        <v>2006</v>
      </c>
      <c r="C558" s="22" t="s">
        <v>3612</v>
      </c>
      <c r="D558" s="16" t="s">
        <v>3616</v>
      </c>
      <c r="E558" s="2" t="s">
        <v>1038</v>
      </c>
      <c r="F558" s="2" t="s">
        <v>59</v>
      </c>
      <c r="G558" s="2" t="s">
        <v>3312</v>
      </c>
      <c r="H558" s="60" t="s">
        <v>2947</v>
      </c>
    </row>
    <row r="559" spans="1:8" ht="33" customHeight="1">
      <c r="A559" s="58">
        <v>554</v>
      </c>
      <c r="B559" s="59" t="s">
        <v>2006</v>
      </c>
      <c r="C559" s="22" t="s">
        <v>3612</v>
      </c>
      <c r="D559" s="16" t="s">
        <v>3617</v>
      </c>
      <c r="E559" s="2" t="s">
        <v>919</v>
      </c>
      <c r="F559" s="2" t="s">
        <v>59</v>
      </c>
      <c r="G559" s="2" t="s">
        <v>3312</v>
      </c>
      <c r="H559" s="60" t="s">
        <v>2947</v>
      </c>
    </row>
    <row r="560" spans="1:8" ht="33" customHeight="1">
      <c r="A560" s="61">
        <v>555</v>
      </c>
      <c r="B560" s="62" t="s">
        <v>2006</v>
      </c>
      <c r="C560" s="32" t="s">
        <v>3612</v>
      </c>
      <c r="D560" s="39" t="s">
        <v>3618</v>
      </c>
      <c r="E560" s="33" t="s">
        <v>964</v>
      </c>
      <c r="F560" s="33" t="s">
        <v>61</v>
      </c>
      <c r="G560" s="33" t="s">
        <v>3312</v>
      </c>
      <c r="H560" s="63" t="s">
        <v>2947</v>
      </c>
    </row>
    <row r="561" spans="1:8" ht="33" customHeight="1">
      <c r="A561" s="61">
        <v>556</v>
      </c>
      <c r="B561" s="62" t="s">
        <v>2006</v>
      </c>
      <c r="C561" s="32" t="s">
        <v>3612</v>
      </c>
      <c r="D561" s="39" t="s">
        <v>3619</v>
      </c>
      <c r="E561" s="33" t="s">
        <v>1588</v>
      </c>
      <c r="F561" s="33" t="s">
        <v>61</v>
      </c>
      <c r="G561" s="33" t="s">
        <v>3312</v>
      </c>
      <c r="H561" s="63" t="s">
        <v>2947</v>
      </c>
    </row>
    <row r="562" spans="1:8" ht="33" customHeight="1">
      <c r="A562" s="61">
        <v>557</v>
      </c>
      <c r="B562" s="62" t="s">
        <v>2006</v>
      </c>
      <c r="C562" s="32" t="s">
        <v>3612</v>
      </c>
      <c r="D562" s="39" t="s">
        <v>3620</v>
      </c>
      <c r="E562" s="33" t="s">
        <v>439</v>
      </c>
      <c r="F562" s="33" t="s">
        <v>61</v>
      </c>
      <c r="G562" s="33" t="s">
        <v>3312</v>
      </c>
      <c r="H562" s="63" t="s">
        <v>2947</v>
      </c>
    </row>
    <row r="563" spans="1:8" ht="33" customHeight="1">
      <c r="A563" s="58">
        <v>558</v>
      </c>
      <c r="B563" s="59" t="s">
        <v>2006</v>
      </c>
      <c r="C563" s="22" t="s">
        <v>3612</v>
      </c>
      <c r="D563" s="16" t="s">
        <v>3621</v>
      </c>
      <c r="E563" s="2" t="s">
        <v>1059</v>
      </c>
      <c r="F563" s="2" t="s">
        <v>59</v>
      </c>
      <c r="G563" s="2" t="s">
        <v>3312</v>
      </c>
      <c r="H563" s="60" t="s">
        <v>2947</v>
      </c>
    </row>
    <row r="564" spans="1:8" ht="33" customHeight="1">
      <c r="A564" s="58">
        <v>559</v>
      </c>
      <c r="B564" s="59" t="s">
        <v>2006</v>
      </c>
      <c r="C564" s="22" t="s">
        <v>3612</v>
      </c>
      <c r="D564" s="16" t="s">
        <v>3622</v>
      </c>
      <c r="E564" s="2" t="s">
        <v>1442</v>
      </c>
      <c r="F564" s="2" t="s">
        <v>59</v>
      </c>
      <c r="G564" s="2" t="s">
        <v>3312</v>
      </c>
      <c r="H564" s="60" t="s">
        <v>2947</v>
      </c>
    </row>
    <row r="565" spans="1:8" ht="33" customHeight="1">
      <c r="A565" s="58">
        <v>560</v>
      </c>
      <c r="B565" s="59" t="s">
        <v>2006</v>
      </c>
      <c r="C565" s="22" t="s">
        <v>3612</v>
      </c>
      <c r="D565" s="16" t="s">
        <v>3623</v>
      </c>
      <c r="E565" s="2" t="s">
        <v>1340</v>
      </c>
      <c r="F565" s="2" t="s">
        <v>59</v>
      </c>
      <c r="G565" s="2" t="s">
        <v>244</v>
      </c>
      <c r="H565" s="60" t="s">
        <v>2947</v>
      </c>
    </row>
    <row r="566" spans="1:8" ht="33" customHeight="1">
      <c r="A566" s="58">
        <v>561</v>
      </c>
      <c r="B566" s="59" t="s">
        <v>2006</v>
      </c>
      <c r="C566" s="22" t="s">
        <v>3612</v>
      </c>
      <c r="D566" s="16" t="s">
        <v>3624</v>
      </c>
      <c r="E566" s="2" t="s">
        <v>1457</v>
      </c>
      <c r="F566" s="2" t="s">
        <v>59</v>
      </c>
      <c r="G566" s="2" t="s">
        <v>3312</v>
      </c>
      <c r="H566" s="60" t="s">
        <v>2947</v>
      </c>
    </row>
    <row r="567" spans="1:8" ht="33" customHeight="1">
      <c r="A567" s="61">
        <v>562</v>
      </c>
      <c r="B567" s="62" t="s">
        <v>2006</v>
      </c>
      <c r="C567" s="32" t="s">
        <v>3612</v>
      </c>
      <c r="D567" s="39" t="s">
        <v>3625</v>
      </c>
      <c r="E567" s="33" t="s">
        <v>1674</v>
      </c>
      <c r="F567" s="33" t="s">
        <v>61</v>
      </c>
      <c r="G567" s="33" t="s">
        <v>3312</v>
      </c>
      <c r="H567" s="63" t="s">
        <v>2947</v>
      </c>
    </row>
    <row r="568" spans="1:8" ht="33" customHeight="1">
      <c r="A568" s="58">
        <v>563</v>
      </c>
      <c r="B568" s="59" t="s">
        <v>2006</v>
      </c>
      <c r="C568" s="22" t="s">
        <v>3612</v>
      </c>
      <c r="D568" s="16" t="s">
        <v>3626</v>
      </c>
      <c r="E568" s="2" t="s">
        <v>606</v>
      </c>
      <c r="F568" s="2" t="s">
        <v>59</v>
      </c>
      <c r="G568" s="2" t="s">
        <v>3312</v>
      </c>
      <c r="H568" s="60" t="s">
        <v>2947</v>
      </c>
    </row>
    <row r="569" spans="1:8" ht="33" customHeight="1">
      <c r="A569" s="58">
        <v>564</v>
      </c>
      <c r="B569" s="59" t="s">
        <v>2006</v>
      </c>
      <c r="C569" s="22" t="s">
        <v>3612</v>
      </c>
      <c r="D569" s="16" t="s">
        <v>3627</v>
      </c>
      <c r="E569" s="2" t="s">
        <v>757</v>
      </c>
      <c r="F569" s="2" t="s">
        <v>59</v>
      </c>
      <c r="G569" s="2" t="s">
        <v>3312</v>
      </c>
      <c r="H569" s="60" t="s">
        <v>2947</v>
      </c>
    </row>
    <row r="570" spans="1:8" ht="33" customHeight="1">
      <c r="A570" s="61">
        <v>565</v>
      </c>
      <c r="B570" s="62" t="s">
        <v>2006</v>
      </c>
      <c r="C570" s="32" t="s">
        <v>3612</v>
      </c>
      <c r="D570" s="39" t="s">
        <v>3628</v>
      </c>
      <c r="E570" s="33" t="s">
        <v>339</v>
      </c>
      <c r="F570" s="33" t="s">
        <v>61</v>
      </c>
      <c r="G570" s="33" t="s">
        <v>3312</v>
      </c>
      <c r="H570" s="63" t="s">
        <v>2947</v>
      </c>
    </row>
    <row r="571" spans="1:8" ht="33" customHeight="1">
      <c r="A571" s="58">
        <v>566</v>
      </c>
      <c r="B571" s="59" t="s">
        <v>2006</v>
      </c>
      <c r="C571" s="22" t="s">
        <v>3612</v>
      </c>
      <c r="D571" s="16" t="s">
        <v>3629</v>
      </c>
      <c r="E571" s="2" t="s">
        <v>1375</v>
      </c>
      <c r="F571" s="2" t="s">
        <v>59</v>
      </c>
      <c r="G571" s="2" t="s">
        <v>3312</v>
      </c>
      <c r="H571" s="60" t="s">
        <v>2947</v>
      </c>
    </row>
    <row r="572" spans="1:8" ht="33" customHeight="1">
      <c r="A572" s="58">
        <v>567</v>
      </c>
      <c r="B572" s="59" t="s">
        <v>2006</v>
      </c>
      <c r="C572" s="22" t="s">
        <v>3612</v>
      </c>
      <c r="D572" s="16" t="s">
        <v>3630</v>
      </c>
      <c r="E572" s="2" t="s">
        <v>1424</v>
      </c>
      <c r="F572" s="2" t="s">
        <v>59</v>
      </c>
      <c r="G572" s="2" t="s">
        <v>244</v>
      </c>
      <c r="H572" s="60" t="s">
        <v>2947</v>
      </c>
    </row>
    <row r="573" spans="1:8" ht="33" customHeight="1">
      <c r="A573" s="61">
        <v>568</v>
      </c>
      <c r="B573" s="62" t="s">
        <v>2006</v>
      </c>
      <c r="C573" s="32" t="s">
        <v>3631</v>
      </c>
      <c r="D573" s="39" t="s">
        <v>3632</v>
      </c>
      <c r="E573" s="33" t="s">
        <v>1164</v>
      </c>
      <c r="F573" s="33" t="s">
        <v>61</v>
      </c>
      <c r="G573" s="33" t="s">
        <v>3312</v>
      </c>
      <c r="H573" s="63" t="s">
        <v>2947</v>
      </c>
    </row>
    <row r="574" spans="1:8" ht="33" customHeight="1">
      <c r="A574" s="61">
        <v>569</v>
      </c>
      <c r="B574" s="62" t="s">
        <v>2006</v>
      </c>
      <c r="C574" s="32" t="s">
        <v>3631</v>
      </c>
      <c r="D574" s="39" t="s">
        <v>3633</v>
      </c>
      <c r="E574" s="33" t="s">
        <v>686</v>
      </c>
      <c r="F574" s="33" t="s">
        <v>61</v>
      </c>
      <c r="G574" s="33" t="s">
        <v>3312</v>
      </c>
      <c r="H574" s="63" t="s">
        <v>2947</v>
      </c>
    </row>
    <row r="575" spans="1:8" ht="33" customHeight="1">
      <c r="A575" s="61">
        <v>570</v>
      </c>
      <c r="B575" s="62" t="s">
        <v>2006</v>
      </c>
      <c r="C575" s="32" t="s">
        <v>3390</v>
      </c>
      <c r="D575" s="39" t="s">
        <v>3634</v>
      </c>
      <c r="E575" s="33" t="s">
        <v>295</v>
      </c>
      <c r="F575" s="33" t="s">
        <v>61</v>
      </c>
      <c r="G575" s="33" t="s">
        <v>244</v>
      </c>
      <c r="H575" s="63" t="s">
        <v>2947</v>
      </c>
    </row>
    <row r="576" spans="1:8" ht="61.95" customHeight="1">
      <c r="A576" s="58">
        <v>571</v>
      </c>
      <c r="B576" s="59" t="s">
        <v>2006</v>
      </c>
      <c r="C576" s="22" t="s">
        <v>3390</v>
      </c>
      <c r="D576" s="16" t="s">
        <v>2114</v>
      </c>
      <c r="E576" s="2" t="s">
        <v>3635</v>
      </c>
      <c r="F576" s="2" t="s">
        <v>2983</v>
      </c>
      <c r="G576" s="2" t="s">
        <v>244</v>
      </c>
      <c r="H576" s="60" t="s">
        <v>2947</v>
      </c>
    </row>
    <row r="577" spans="1:8" ht="33" customHeight="1">
      <c r="A577" s="58">
        <v>572</v>
      </c>
      <c r="B577" s="59" t="s">
        <v>2006</v>
      </c>
      <c r="C577" s="22" t="s">
        <v>3390</v>
      </c>
      <c r="D577" s="16" t="s">
        <v>3636</v>
      </c>
      <c r="E577" s="2" t="s">
        <v>757</v>
      </c>
      <c r="F577" s="2" t="s">
        <v>59</v>
      </c>
      <c r="G577" s="2" t="s">
        <v>244</v>
      </c>
      <c r="H577" s="60" t="s">
        <v>2947</v>
      </c>
    </row>
    <row r="578" spans="1:8" ht="33" customHeight="1">
      <c r="A578" s="61">
        <v>573</v>
      </c>
      <c r="B578" s="62" t="s">
        <v>2006</v>
      </c>
      <c r="C578" s="32" t="s">
        <v>3390</v>
      </c>
      <c r="D578" s="39" t="s">
        <v>3637</v>
      </c>
      <c r="E578" s="33" t="s">
        <v>1660</v>
      </c>
      <c r="F578" s="33" t="s">
        <v>61</v>
      </c>
      <c r="G578" s="33" t="s">
        <v>244</v>
      </c>
      <c r="H578" s="63" t="s">
        <v>2947</v>
      </c>
    </row>
    <row r="579" spans="1:8" ht="33" customHeight="1">
      <c r="A579" s="58">
        <v>574</v>
      </c>
      <c r="B579" s="59" t="s">
        <v>2006</v>
      </c>
      <c r="C579" s="22" t="s">
        <v>3390</v>
      </c>
      <c r="D579" s="16" t="s">
        <v>3638</v>
      </c>
      <c r="E579" s="2" t="s">
        <v>907</v>
      </c>
      <c r="F579" s="2" t="s">
        <v>59</v>
      </c>
      <c r="G579" s="2" t="s">
        <v>244</v>
      </c>
      <c r="H579" s="60" t="s">
        <v>2947</v>
      </c>
    </row>
    <row r="580" spans="1:8" ht="33" customHeight="1">
      <c r="A580" s="61">
        <v>575</v>
      </c>
      <c r="B580" s="62" t="s">
        <v>2006</v>
      </c>
      <c r="C580" s="32" t="s">
        <v>3639</v>
      </c>
      <c r="D580" s="39" t="s">
        <v>3640</v>
      </c>
      <c r="E580" s="33" t="s">
        <v>709</v>
      </c>
      <c r="F580" s="33" t="s">
        <v>61</v>
      </c>
      <c r="G580" s="33" t="s">
        <v>244</v>
      </c>
      <c r="H580" s="63" t="s">
        <v>2947</v>
      </c>
    </row>
    <row r="581" spans="1:8" ht="33" customHeight="1">
      <c r="A581" s="61">
        <v>576</v>
      </c>
      <c r="B581" s="62" t="s">
        <v>2006</v>
      </c>
      <c r="C581" s="32" t="s">
        <v>3641</v>
      </c>
      <c r="D581" s="39" t="s">
        <v>3642</v>
      </c>
      <c r="E581" s="33" t="s">
        <v>733</v>
      </c>
      <c r="F581" s="33" t="s">
        <v>61</v>
      </c>
      <c r="G581" s="33" t="s">
        <v>244</v>
      </c>
      <c r="H581" s="63" t="s">
        <v>2947</v>
      </c>
    </row>
    <row r="582" spans="1:8" ht="18.45" customHeight="1">
      <c r="A582" s="58">
        <v>577</v>
      </c>
      <c r="B582" s="59" t="s">
        <v>2006</v>
      </c>
      <c r="C582" s="22" t="s">
        <v>3641</v>
      </c>
      <c r="D582" s="16" t="s">
        <v>3643</v>
      </c>
      <c r="E582" s="2" t="s">
        <v>1375</v>
      </c>
      <c r="F582" s="2" t="s">
        <v>59</v>
      </c>
      <c r="G582" s="2" t="s">
        <v>244</v>
      </c>
      <c r="H582" s="60" t="s">
        <v>2947</v>
      </c>
    </row>
    <row r="583" spans="1:8" ht="47.55" customHeight="1">
      <c r="A583" s="61">
        <v>578</v>
      </c>
      <c r="B583" s="62" t="s">
        <v>2006</v>
      </c>
      <c r="C583" s="32" t="s">
        <v>3259</v>
      </c>
      <c r="D583" s="39" t="s">
        <v>3644</v>
      </c>
      <c r="E583" s="33" t="s">
        <v>686</v>
      </c>
      <c r="F583" s="33" t="s">
        <v>61</v>
      </c>
      <c r="G583" s="33" t="s">
        <v>244</v>
      </c>
      <c r="H583" s="63" t="s">
        <v>2947</v>
      </c>
    </row>
    <row r="584" spans="1:8" ht="47.55" customHeight="1">
      <c r="A584" s="61">
        <v>579</v>
      </c>
      <c r="B584" s="62" t="s">
        <v>2006</v>
      </c>
      <c r="C584" s="32" t="s">
        <v>3259</v>
      </c>
      <c r="D584" s="39" t="s">
        <v>3645</v>
      </c>
      <c r="E584" s="33" t="s">
        <v>686</v>
      </c>
      <c r="F584" s="33" t="s">
        <v>61</v>
      </c>
      <c r="G584" s="33" t="s">
        <v>244</v>
      </c>
      <c r="H584" s="63" t="s">
        <v>2947</v>
      </c>
    </row>
    <row r="585" spans="1:8" ht="33" customHeight="1">
      <c r="A585" s="61">
        <v>580</v>
      </c>
      <c r="B585" s="62" t="s">
        <v>2006</v>
      </c>
      <c r="C585" s="32" t="s">
        <v>3270</v>
      </c>
      <c r="D585" s="39" t="s">
        <v>3646</v>
      </c>
      <c r="E585" s="33" t="s">
        <v>733</v>
      </c>
      <c r="F585" s="33" t="s">
        <v>61</v>
      </c>
      <c r="G585" s="33" t="s">
        <v>244</v>
      </c>
      <c r="H585" s="63" t="s">
        <v>2947</v>
      </c>
    </row>
    <row r="586" spans="1:8" ht="33" customHeight="1">
      <c r="A586" s="61">
        <v>581</v>
      </c>
      <c r="B586" s="62" t="s">
        <v>2006</v>
      </c>
      <c r="C586" s="32" t="s">
        <v>3647</v>
      </c>
      <c r="D586" s="39" t="s">
        <v>3648</v>
      </c>
      <c r="E586" s="33" t="s">
        <v>686</v>
      </c>
      <c r="F586" s="33" t="s">
        <v>61</v>
      </c>
      <c r="G586" s="33" t="s">
        <v>244</v>
      </c>
      <c r="H586" s="63" t="s">
        <v>2947</v>
      </c>
    </row>
    <row r="587" spans="1:8" ht="33" customHeight="1">
      <c r="A587" s="58">
        <v>582</v>
      </c>
      <c r="B587" s="59" t="s">
        <v>2006</v>
      </c>
      <c r="C587" s="22" t="s">
        <v>3647</v>
      </c>
      <c r="D587" s="16" t="s">
        <v>3649</v>
      </c>
      <c r="E587" s="2" t="s">
        <v>757</v>
      </c>
      <c r="F587" s="2" t="s">
        <v>59</v>
      </c>
      <c r="G587" s="2" t="s">
        <v>244</v>
      </c>
      <c r="H587" s="60" t="s">
        <v>2947</v>
      </c>
    </row>
    <row r="588" spans="1:8" ht="33" customHeight="1">
      <c r="A588" s="58">
        <v>583</v>
      </c>
      <c r="B588" s="59" t="s">
        <v>2006</v>
      </c>
      <c r="C588" s="22" t="s">
        <v>3647</v>
      </c>
      <c r="D588" s="16" t="s">
        <v>3650</v>
      </c>
      <c r="E588" s="2" t="s">
        <v>1609</v>
      </c>
      <c r="F588" s="2" t="s">
        <v>59</v>
      </c>
      <c r="G588" s="2" t="s">
        <v>244</v>
      </c>
      <c r="H588" s="60" t="s">
        <v>2947</v>
      </c>
    </row>
    <row r="589" spans="1:8" ht="33" customHeight="1">
      <c r="A589" s="58">
        <v>584</v>
      </c>
      <c r="B589" s="59" t="s">
        <v>2006</v>
      </c>
      <c r="C589" s="22" t="s">
        <v>3647</v>
      </c>
      <c r="D589" s="16" t="s">
        <v>3651</v>
      </c>
      <c r="E589" s="2" t="s">
        <v>1424</v>
      </c>
      <c r="F589" s="2" t="s">
        <v>59</v>
      </c>
      <c r="G589" s="2" t="s">
        <v>244</v>
      </c>
      <c r="H589" s="60" t="s">
        <v>2947</v>
      </c>
    </row>
    <row r="590" spans="1:8" ht="33" customHeight="1">
      <c r="A590" s="58">
        <v>585</v>
      </c>
      <c r="B590" s="59" t="s">
        <v>2006</v>
      </c>
      <c r="C590" s="22" t="s">
        <v>3647</v>
      </c>
      <c r="D590" s="16" t="s">
        <v>3652</v>
      </c>
      <c r="E590" s="2" t="s">
        <v>1442</v>
      </c>
      <c r="F590" s="2" t="s">
        <v>59</v>
      </c>
      <c r="G590" s="2" t="s">
        <v>244</v>
      </c>
      <c r="H590" s="60" t="s">
        <v>2947</v>
      </c>
    </row>
    <row r="591" spans="1:8" ht="33" customHeight="1">
      <c r="A591" s="58">
        <v>586</v>
      </c>
      <c r="B591" s="59" t="s">
        <v>2006</v>
      </c>
      <c r="C591" s="22" t="s">
        <v>3647</v>
      </c>
      <c r="D591" s="16" t="s">
        <v>3653</v>
      </c>
      <c r="E591" s="2" t="s">
        <v>815</v>
      </c>
      <c r="F591" s="2" t="s">
        <v>59</v>
      </c>
      <c r="G591" s="2" t="s">
        <v>244</v>
      </c>
      <c r="H591" s="60" t="s">
        <v>2947</v>
      </c>
    </row>
    <row r="592" spans="1:8" ht="33" customHeight="1">
      <c r="A592" s="58">
        <v>587</v>
      </c>
      <c r="B592" s="59" t="s">
        <v>2006</v>
      </c>
      <c r="C592" s="22" t="s">
        <v>3647</v>
      </c>
      <c r="D592" s="16" t="s">
        <v>3654</v>
      </c>
      <c r="E592" s="2" t="s">
        <v>1471</v>
      </c>
      <c r="F592" s="2" t="s">
        <v>59</v>
      </c>
      <c r="G592" s="2" t="s">
        <v>244</v>
      </c>
      <c r="H592" s="60" t="s">
        <v>2947</v>
      </c>
    </row>
    <row r="593" spans="1:8" ht="33" customHeight="1">
      <c r="A593" s="61">
        <v>588</v>
      </c>
      <c r="B593" s="62" t="s">
        <v>2006</v>
      </c>
      <c r="C593" s="32" t="s">
        <v>3647</v>
      </c>
      <c r="D593" s="39" t="s">
        <v>3655</v>
      </c>
      <c r="E593" s="33" t="s">
        <v>1674</v>
      </c>
      <c r="F593" s="33" t="s">
        <v>61</v>
      </c>
      <c r="G593" s="33" t="s">
        <v>244</v>
      </c>
      <c r="H593" s="63" t="s">
        <v>2947</v>
      </c>
    </row>
    <row r="594" spans="1:8" ht="33" customHeight="1">
      <c r="A594" s="61">
        <v>589</v>
      </c>
      <c r="B594" s="62" t="s">
        <v>2006</v>
      </c>
      <c r="C594" s="32" t="s">
        <v>3647</v>
      </c>
      <c r="D594" s="39" t="s">
        <v>3656</v>
      </c>
      <c r="E594" s="33" t="s">
        <v>339</v>
      </c>
      <c r="F594" s="33" t="s">
        <v>61</v>
      </c>
      <c r="G594" s="33" t="s">
        <v>244</v>
      </c>
      <c r="H594" s="63" t="s">
        <v>2947</v>
      </c>
    </row>
    <row r="595" spans="1:8" ht="33" customHeight="1">
      <c r="A595" s="58">
        <v>590</v>
      </c>
      <c r="B595" s="59" t="s">
        <v>2006</v>
      </c>
      <c r="C595" s="22" t="s">
        <v>3647</v>
      </c>
      <c r="D595" s="16" t="s">
        <v>3657</v>
      </c>
      <c r="E595" s="2" t="s">
        <v>1375</v>
      </c>
      <c r="F595" s="2" t="s">
        <v>59</v>
      </c>
      <c r="G595" s="2" t="s">
        <v>244</v>
      </c>
      <c r="H595" s="60" t="s">
        <v>2947</v>
      </c>
    </row>
    <row r="596" spans="1:8" ht="33" customHeight="1">
      <c r="A596" s="58">
        <v>591</v>
      </c>
      <c r="B596" s="59" t="s">
        <v>2006</v>
      </c>
      <c r="C596" s="22" t="s">
        <v>3647</v>
      </c>
      <c r="D596" s="16" t="s">
        <v>3658</v>
      </c>
      <c r="E596" s="2" t="s">
        <v>606</v>
      </c>
      <c r="F596" s="2" t="s">
        <v>59</v>
      </c>
      <c r="G596" s="2" t="s">
        <v>244</v>
      </c>
      <c r="H596" s="60" t="s">
        <v>2947</v>
      </c>
    </row>
    <row r="597" spans="1:8" ht="33" customHeight="1">
      <c r="A597" s="61">
        <v>592</v>
      </c>
      <c r="B597" s="62" t="s">
        <v>2006</v>
      </c>
      <c r="C597" s="32" t="s">
        <v>3647</v>
      </c>
      <c r="D597" s="33" t="s">
        <v>3659</v>
      </c>
      <c r="E597" s="33" t="s">
        <v>709</v>
      </c>
      <c r="F597" s="33" t="s">
        <v>61</v>
      </c>
      <c r="G597" s="33" t="s">
        <v>244</v>
      </c>
      <c r="H597" s="63" t="s">
        <v>2947</v>
      </c>
    </row>
    <row r="598" spans="1:8" ht="33" customHeight="1">
      <c r="A598" s="58">
        <v>593</v>
      </c>
      <c r="B598" s="59" t="s">
        <v>2006</v>
      </c>
      <c r="C598" s="22" t="s">
        <v>3660</v>
      </c>
      <c r="D598" s="16" t="s">
        <v>3661</v>
      </c>
      <c r="E598" s="2" t="s">
        <v>378</v>
      </c>
      <c r="F598" s="2" t="s">
        <v>59</v>
      </c>
      <c r="G598" s="2" t="s">
        <v>2951</v>
      </c>
      <c r="H598" s="60" t="s">
        <v>2947</v>
      </c>
    </row>
    <row r="599" spans="1:8" ht="33" customHeight="1">
      <c r="A599" s="58">
        <v>594</v>
      </c>
      <c r="B599" s="59" t="s">
        <v>2006</v>
      </c>
      <c r="C599" s="22" t="s">
        <v>3660</v>
      </c>
      <c r="D599" s="16" t="s">
        <v>3662</v>
      </c>
      <c r="E599" s="2" t="s">
        <v>852</v>
      </c>
      <c r="F599" s="2" t="s">
        <v>59</v>
      </c>
      <c r="G599" s="2" t="s">
        <v>2951</v>
      </c>
      <c r="H599" s="60" t="s">
        <v>2947</v>
      </c>
    </row>
    <row r="600" spans="1:8" ht="33" customHeight="1">
      <c r="A600" s="61">
        <v>595</v>
      </c>
      <c r="B600" s="62" t="s">
        <v>2006</v>
      </c>
      <c r="C600" s="32" t="s">
        <v>3660</v>
      </c>
      <c r="D600" s="39" t="s">
        <v>3663</v>
      </c>
      <c r="E600" s="33" t="s">
        <v>1660</v>
      </c>
      <c r="F600" s="33" t="s">
        <v>61</v>
      </c>
      <c r="G600" s="33" t="s">
        <v>2951</v>
      </c>
      <c r="H600" s="63" t="s">
        <v>2947</v>
      </c>
    </row>
    <row r="601" spans="1:8" ht="18.45" customHeight="1">
      <c r="A601" s="58">
        <v>596</v>
      </c>
      <c r="B601" s="59" t="s">
        <v>2006</v>
      </c>
      <c r="C601" s="22" t="s">
        <v>3660</v>
      </c>
      <c r="D601" s="16" t="s">
        <v>3664</v>
      </c>
      <c r="E601" s="2" t="s">
        <v>1246</v>
      </c>
      <c r="F601" s="2" t="s">
        <v>59</v>
      </c>
      <c r="G601" s="2" t="s">
        <v>244</v>
      </c>
      <c r="H601" s="60" t="s">
        <v>2947</v>
      </c>
    </row>
    <row r="602" spans="1:8" ht="33" customHeight="1">
      <c r="A602" s="58">
        <v>597</v>
      </c>
      <c r="B602" s="59" t="s">
        <v>2006</v>
      </c>
      <c r="C602" s="22" t="s">
        <v>3660</v>
      </c>
      <c r="D602" s="16" t="s">
        <v>3665</v>
      </c>
      <c r="E602" s="2" t="s">
        <v>852</v>
      </c>
      <c r="F602" s="2" t="s">
        <v>59</v>
      </c>
      <c r="G602" s="2" t="s">
        <v>2951</v>
      </c>
      <c r="H602" s="60" t="s">
        <v>2947</v>
      </c>
    </row>
    <row r="603" spans="1:8" ht="33" customHeight="1">
      <c r="A603" s="58">
        <v>598</v>
      </c>
      <c r="B603" s="59" t="s">
        <v>2006</v>
      </c>
      <c r="C603" s="22" t="s">
        <v>3660</v>
      </c>
      <c r="D603" s="16" t="s">
        <v>3666</v>
      </c>
      <c r="E603" s="2" t="s">
        <v>378</v>
      </c>
      <c r="F603" s="2" t="s">
        <v>59</v>
      </c>
      <c r="G603" s="2" t="s">
        <v>2951</v>
      </c>
      <c r="H603" s="60" t="s">
        <v>2947</v>
      </c>
    </row>
    <row r="604" spans="1:8" ht="33" customHeight="1">
      <c r="A604" s="61">
        <v>599</v>
      </c>
      <c r="B604" s="62" t="s">
        <v>2006</v>
      </c>
      <c r="C604" s="32" t="s">
        <v>3660</v>
      </c>
      <c r="D604" s="39" t="s">
        <v>3667</v>
      </c>
      <c r="E604" s="33" t="s">
        <v>1644</v>
      </c>
      <c r="F604" s="33" t="s">
        <v>61</v>
      </c>
      <c r="G604" s="33" t="s">
        <v>3312</v>
      </c>
      <c r="H604" s="63" t="s">
        <v>2947</v>
      </c>
    </row>
    <row r="605" spans="1:8" ht="33" customHeight="1">
      <c r="A605" s="61">
        <v>600</v>
      </c>
      <c r="B605" s="62" t="s">
        <v>2006</v>
      </c>
      <c r="C605" s="32" t="s">
        <v>3660</v>
      </c>
      <c r="D605" s="39" t="s">
        <v>3668</v>
      </c>
      <c r="E605" s="33" t="s">
        <v>1644</v>
      </c>
      <c r="F605" s="33" t="s">
        <v>61</v>
      </c>
      <c r="G605" s="33" t="s">
        <v>3312</v>
      </c>
      <c r="H605" s="63" t="s">
        <v>2947</v>
      </c>
    </row>
    <row r="606" spans="1:8" ht="33" customHeight="1">
      <c r="A606" s="58">
        <v>601</v>
      </c>
      <c r="B606" s="59" t="s">
        <v>2006</v>
      </c>
      <c r="C606" s="22" t="s">
        <v>3660</v>
      </c>
      <c r="D606" s="16" t="s">
        <v>3669</v>
      </c>
      <c r="E606" s="2" t="s">
        <v>1038</v>
      </c>
      <c r="F606" s="2" t="s">
        <v>59</v>
      </c>
      <c r="G606" s="2" t="s">
        <v>3312</v>
      </c>
      <c r="H606" s="60" t="s">
        <v>2947</v>
      </c>
    </row>
    <row r="607" spans="1:8" ht="33" customHeight="1">
      <c r="A607" s="58">
        <v>602</v>
      </c>
      <c r="B607" s="59" t="s">
        <v>2006</v>
      </c>
      <c r="C607" s="22" t="s">
        <v>3670</v>
      </c>
      <c r="D607" s="16" t="s">
        <v>3671</v>
      </c>
      <c r="E607" s="2" t="s">
        <v>400</v>
      </c>
      <c r="F607" s="2" t="s">
        <v>59</v>
      </c>
      <c r="G607" s="2" t="s">
        <v>244</v>
      </c>
      <c r="H607" s="60" t="s">
        <v>2947</v>
      </c>
    </row>
    <row r="608" spans="1:8" ht="33" customHeight="1">
      <c r="A608" s="58">
        <v>603</v>
      </c>
      <c r="B608" s="59" t="s">
        <v>2006</v>
      </c>
      <c r="C608" s="22" t="s">
        <v>3672</v>
      </c>
      <c r="D608" s="16" t="s">
        <v>3673</v>
      </c>
      <c r="E608" s="2" t="s">
        <v>3209</v>
      </c>
      <c r="F608" s="2" t="s">
        <v>59</v>
      </c>
      <c r="G608" s="2" t="s">
        <v>3312</v>
      </c>
      <c r="H608" s="60" t="s">
        <v>2947</v>
      </c>
    </row>
    <row r="609" spans="1:8" ht="33" customHeight="1">
      <c r="A609" s="58">
        <v>604</v>
      </c>
      <c r="B609" s="59" t="s">
        <v>2006</v>
      </c>
      <c r="C609" s="22" t="s">
        <v>3165</v>
      </c>
      <c r="D609" s="16" t="s">
        <v>3674</v>
      </c>
      <c r="E609" s="2" t="s">
        <v>3167</v>
      </c>
      <c r="F609" s="2" t="s">
        <v>59</v>
      </c>
      <c r="G609" s="2" t="s">
        <v>244</v>
      </c>
      <c r="H609" s="60" t="s">
        <v>2947</v>
      </c>
    </row>
    <row r="610" spans="1:8" ht="18.45" customHeight="1">
      <c r="A610" s="58">
        <v>605</v>
      </c>
      <c r="B610" s="59" t="s">
        <v>2006</v>
      </c>
      <c r="C610" s="22" t="s">
        <v>3300</v>
      </c>
      <c r="D610" s="16" t="s">
        <v>3675</v>
      </c>
      <c r="E610" s="2" t="s">
        <v>941</v>
      </c>
      <c r="F610" s="2" t="s">
        <v>59</v>
      </c>
      <c r="G610" s="2" t="s">
        <v>244</v>
      </c>
      <c r="H610" s="60" t="s">
        <v>2947</v>
      </c>
    </row>
    <row r="611" spans="1:8" ht="33" customHeight="1">
      <c r="A611" s="61">
        <v>606</v>
      </c>
      <c r="B611" s="62" t="s">
        <v>2006</v>
      </c>
      <c r="C611" s="32" t="s">
        <v>3487</v>
      </c>
      <c r="D611" s="39" t="s">
        <v>3676</v>
      </c>
      <c r="E611" s="33" t="s">
        <v>1164</v>
      </c>
      <c r="F611" s="33" t="s">
        <v>61</v>
      </c>
      <c r="G611" s="33" t="s">
        <v>244</v>
      </c>
      <c r="H611" s="63" t="s">
        <v>2947</v>
      </c>
    </row>
  </sheetData>
  <autoFilter ref="A5:H611" xr:uid="{00000000-0009-0000-0000-00000E000000}"/>
  <mergeCells count="3">
    <mergeCell ref="A3:H3"/>
    <mergeCell ref="A2:H2"/>
    <mergeCell ref="A1:H1"/>
  </mergeCells>
  <phoneticPr fontId="25" type="noConversion"/>
  <hyperlinks>
    <hyperlink ref="D6" r:id="rId1" xr:uid="{00000000-0004-0000-0E00-000000000000}"/>
    <hyperlink ref="D7" r:id="rId2" xr:uid="{00000000-0004-0000-0E00-000001000000}"/>
    <hyperlink ref="D8" r:id="rId3" xr:uid="{00000000-0004-0000-0E00-000002000000}"/>
    <hyperlink ref="D9" r:id="rId4" xr:uid="{00000000-0004-0000-0E00-000003000000}"/>
    <hyperlink ref="D10" r:id="rId5" xr:uid="{00000000-0004-0000-0E00-000004000000}"/>
    <hyperlink ref="D11" r:id="rId6" xr:uid="{00000000-0004-0000-0E00-000005000000}"/>
    <hyperlink ref="D12" r:id="rId7" xr:uid="{00000000-0004-0000-0E00-000006000000}"/>
    <hyperlink ref="D13" r:id="rId8" xr:uid="{00000000-0004-0000-0E00-000007000000}"/>
    <hyperlink ref="D14" r:id="rId9" xr:uid="{00000000-0004-0000-0E00-000008000000}"/>
    <hyperlink ref="D15" r:id="rId10" xr:uid="{00000000-0004-0000-0E00-000009000000}"/>
    <hyperlink ref="D16" r:id="rId11" xr:uid="{00000000-0004-0000-0E00-00000A000000}"/>
    <hyperlink ref="D17" r:id="rId12" xr:uid="{00000000-0004-0000-0E00-00000B000000}"/>
    <hyperlink ref="D18" r:id="rId13" xr:uid="{00000000-0004-0000-0E00-00000C000000}"/>
    <hyperlink ref="D19" r:id="rId14" xr:uid="{00000000-0004-0000-0E00-00000D000000}"/>
    <hyperlink ref="D20" r:id="rId15" xr:uid="{00000000-0004-0000-0E00-00000E000000}"/>
    <hyperlink ref="D21" r:id="rId16" xr:uid="{00000000-0004-0000-0E00-00000F000000}"/>
    <hyperlink ref="D22" r:id="rId17" xr:uid="{00000000-0004-0000-0E00-000010000000}"/>
    <hyperlink ref="D23" r:id="rId18" xr:uid="{00000000-0004-0000-0E00-000011000000}"/>
    <hyperlink ref="D24" r:id="rId19" xr:uid="{00000000-0004-0000-0E00-000012000000}"/>
    <hyperlink ref="D25" r:id="rId20" xr:uid="{00000000-0004-0000-0E00-000013000000}"/>
    <hyperlink ref="D26" r:id="rId21" xr:uid="{00000000-0004-0000-0E00-000014000000}"/>
    <hyperlink ref="D27" r:id="rId22" xr:uid="{00000000-0004-0000-0E00-000015000000}"/>
    <hyperlink ref="D28" r:id="rId23" xr:uid="{00000000-0004-0000-0E00-000016000000}"/>
    <hyperlink ref="D29" r:id="rId24" xr:uid="{00000000-0004-0000-0E00-000017000000}"/>
    <hyperlink ref="D30" r:id="rId25" xr:uid="{00000000-0004-0000-0E00-000018000000}"/>
    <hyperlink ref="D31" r:id="rId26" xr:uid="{00000000-0004-0000-0E00-000019000000}"/>
    <hyperlink ref="D32" r:id="rId27" xr:uid="{00000000-0004-0000-0E00-00001A000000}"/>
    <hyperlink ref="D33" r:id="rId28" xr:uid="{00000000-0004-0000-0E00-00001B000000}"/>
    <hyperlink ref="D34" r:id="rId29" xr:uid="{00000000-0004-0000-0E00-00001C000000}"/>
    <hyperlink ref="D35" r:id="rId30" xr:uid="{00000000-0004-0000-0E00-00001D000000}"/>
    <hyperlink ref="D36" r:id="rId31" xr:uid="{00000000-0004-0000-0E00-00001E000000}"/>
    <hyperlink ref="D37" r:id="rId32" xr:uid="{00000000-0004-0000-0E00-00001F000000}"/>
    <hyperlink ref="D38" r:id="rId33" xr:uid="{00000000-0004-0000-0E00-000020000000}"/>
    <hyperlink ref="D39" r:id="rId34" xr:uid="{00000000-0004-0000-0E00-000021000000}"/>
    <hyperlink ref="D40" r:id="rId35" xr:uid="{00000000-0004-0000-0E00-000022000000}"/>
    <hyperlink ref="D41" r:id="rId36" xr:uid="{00000000-0004-0000-0E00-000023000000}"/>
    <hyperlink ref="D42" r:id="rId37" xr:uid="{00000000-0004-0000-0E00-000024000000}"/>
    <hyperlink ref="D43" r:id="rId38" xr:uid="{00000000-0004-0000-0E00-000025000000}"/>
    <hyperlink ref="D44" r:id="rId39" xr:uid="{00000000-0004-0000-0E00-000026000000}"/>
    <hyperlink ref="D45" r:id="rId40" xr:uid="{00000000-0004-0000-0E00-000027000000}"/>
    <hyperlink ref="D46" r:id="rId41" xr:uid="{00000000-0004-0000-0E00-000028000000}"/>
    <hyperlink ref="D47" r:id="rId42" xr:uid="{00000000-0004-0000-0E00-000029000000}"/>
    <hyperlink ref="D48" r:id="rId43" xr:uid="{00000000-0004-0000-0E00-00002A000000}"/>
    <hyperlink ref="D49" r:id="rId44" xr:uid="{00000000-0004-0000-0E00-00002B000000}"/>
    <hyperlink ref="D50" r:id="rId45" xr:uid="{00000000-0004-0000-0E00-00002C000000}"/>
    <hyperlink ref="D51" r:id="rId46" xr:uid="{00000000-0004-0000-0E00-00002D000000}"/>
    <hyperlink ref="D52" r:id="rId47" xr:uid="{00000000-0004-0000-0E00-00002E000000}"/>
    <hyperlink ref="D53" r:id="rId48" xr:uid="{00000000-0004-0000-0E00-00002F000000}"/>
    <hyperlink ref="D54" r:id="rId49" xr:uid="{00000000-0004-0000-0E00-000030000000}"/>
    <hyperlink ref="D55" r:id="rId50" xr:uid="{00000000-0004-0000-0E00-000031000000}"/>
    <hyperlink ref="D56" r:id="rId51" xr:uid="{00000000-0004-0000-0E00-000032000000}"/>
    <hyperlink ref="D57" r:id="rId52" xr:uid="{00000000-0004-0000-0E00-000033000000}"/>
    <hyperlink ref="D58" r:id="rId53" xr:uid="{00000000-0004-0000-0E00-000034000000}"/>
    <hyperlink ref="D59" r:id="rId54" xr:uid="{00000000-0004-0000-0E00-000035000000}"/>
    <hyperlink ref="D60" r:id="rId55" xr:uid="{00000000-0004-0000-0E00-000036000000}"/>
    <hyperlink ref="D61" r:id="rId56" xr:uid="{00000000-0004-0000-0E00-000037000000}"/>
    <hyperlink ref="D62" r:id="rId57" xr:uid="{00000000-0004-0000-0E00-000038000000}"/>
    <hyperlink ref="D63" r:id="rId58" xr:uid="{00000000-0004-0000-0E00-000039000000}"/>
    <hyperlink ref="D64" r:id="rId59" xr:uid="{00000000-0004-0000-0E00-00003A000000}"/>
    <hyperlink ref="D65" r:id="rId60" xr:uid="{00000000-0004-0000-0E00-00003B000000}"/>
    <hyperlink ref="D66" r:id="rId61" xr:uid="{00000000-0004-0000-0E00-00003C000000}"/>
    <hyperlink ref="D67" r:id="rId62" xr:uid="{00000000-0004-0000-0E00-00003D000000}"/>
    <hyperlink ref="D68" r:id="rId63" xr:uid="{00000000-0004-0000-0E00-00003E000000}"/>
    <hyperlink ref="D69" r:id="rId64" xr:uid="{00000000-0004-0000-0E00-00003F000000}"/>
    <hyperlink ref="D70" r:id="rId65" xr:uid="{00000000-0004-0000-0E00-000040000000}"/>
    <hyperlink ref="D71" r:id="rId66" xr:uid="{00000000-0004-0000-0E00-000041000000}"/>
    <hyperlink ref="D72" r:id="rId67" xr:uid="{00000000-0004-0000-0E00-000042000000}"/>
    <hyperlink ref="D73" r:id="rId68" xr:uid="{00000000-0004-0000-0E00-000043000000}"/>
    <hyperlink ref="D74" r:id="rId69" xr:uid="{00000000-0004-0000-0E00-000044000000}"/>
    <hyperlink ref="D75" r:id="rId70" xr:uid="{00000000-0004-0000-0E00-000045000000}"/>
    <hyperlink ref="D76" r:id="rId71" xr:uid="{00000000-0004-0000-0E00-000046000000}"/>
    <hyperlink ref="D77" r:id="rId72" xr:uid="{00000000-0004-0000-0E00-000047000000}"/>
    <hyperlink ref="D78" r:id="rId73" xr:uid="{00000000-0004-0000-0E00-000048000000}"/>
    <hyperlink ref="D79" r:id="rId74" xr:uid="{00000000-0004-0000-0E00-000049000000}"/>
    <hyperlink ref="D80" r:id="rId75" xr:uid="{00000000-0004-0000-0E00-00004A000000}"/>
    <hyperlink ref="D81" r:id="rId76" xr:uid="{00000000-0004-0000-0E00-00004B000000}"/>
    <hyperlink ref="D82" r:id="rId77" xr:uid="{00000000-0004-0000-0E00-00004C000000}"/>
    <hyperlink ref="D83" r:id="rId78" xr:uid="{00000000-0004-0000-0E00-00004D000000}"/>
    <hyperlink ref="D84" r:id="rId79" xr:uid="{00000000-0004-0000-0E00-00004E000000}"/>
    <hyperlink ref="D85" r:id="rId80" xr:uid="{00000000-0004-0000-0E00-00004F000000}"/>
    <hyperlink ref="D86" r:id="rId81" xr:uid="{00000000-0004-0000-0E00-000050000000}"/>
    <hyperlink ref="D87" r:id="rId82" xr:uid="{00000000-0004-0000-0E00-000051000000}"/>
    <hyperlink ref="D88" r:id="rId83" xr:uid="{00000000-0004-0000-0E00-000052000000}"/>
    <hyperlink ref="D89" r:id="rId84" xr:uid="{00000000-0004-0000-0E00-000053000000}"/>
    <hyperlink ref="D90" r:id="rId85" xr:uid="{00000000-0004-0000-0E00-000054000000}"/>
    <hyperlink ref="D91" r:id="rId86" xr:uid="{00000000-0004-0000-0E00-000055000000}"/>
    <hyperlink ref="D92" r:id="rId87" xr:uid="{00000000-0004-0000-0E00-000056000000}"/>
    <hyperlink ref="D93" r:id="rId88" xr:uid="{00000000-0004-0000-0E00-000057000000}"/>
    <hyperlink ref="D94" r:id="rId89" xr:uid="{00000000-0004-0000-0E00-000058000000}"/>
    <hyperlink ref="D95" r:id="rId90" xr:uid="{00000000-0004-0000-0E00-000059000000}"/>
    <hyperlink ref="D96" r:id="rId91" xr:uid="{00000000-0004-0000-0E00-00005A000000}"/>
    <hyperlink ref="D97" r:id="rId92" xr:uid="{00000000-0004-0000-0E00-00005B000000}"/>
    <hyperlink ref="D98" r:id="rId93" xr:uid="{00000000-0004-0000-0E00-00005C000000}"/>
    <hyperlink ref="D99" r:id="rId94" xr:uid="{00000000-0004-0000-0E00-00005D000000}"/>
    <hyperlink ref="D100" r:id="rId95" xr:uid="{00000000-0004-0000-0E00-00005E000000}"/>
    <hyperlink ref="D101" r:id="rId96" xr:uid="{00000000-0004-0000-0E00-00005F000000}"/>
    <hyperlink ref="D102" r:id="rId97" xr:uid="{00000000-0004-0000-0E00-000060000000}"/>
    <hyperlink ref="D103" r:id="rId98" xr:uid="{00000000-0004-0000-0E00-000061000000}"/>
    <hyperlink ref="D104" r:id="rId99" xr:uid="{00000000-0004-0000-0E00-000062000000}"/>
    <hyperlink ref="D105" r:id="rId100" xr:uid="{00000000-0004-0000-0E00-000063000000}"/>
    <hyperlink ref="D106" r:id="rId101" xr:uid="{00000000-0004-0000-0E00-000064000000}"/>
    <hyperlink ref="D107" r:id="rId102" xr:uid="{00000000-0004-0000-0E00-000065000000}"/>
    <hyperlink ref="D108" r:id="rId103" xr:uid="{00000000-0004-0000-0E00-000066000000}"/>
    <hyperlink ref="D109" r:id="rId104" xr:uid="{00000000-0004-0000-0E00-000067000000}"/>
    <hyperlink ref="D110" r:id="rId105" xr:uid="{00000000-0004-0000-0E00-000068000000}"/>
    <hyperlink ref="D111" r:id="rId106" xr:uid="{00000000-0004-0000-0E00-000069000000}"/>
    <hyperlink ref="D112" r:id="rId107" xr:uid="{00000000-0004-0000-0E00-00006A000000}"/>
    <hyperlink ref="D113" r:id="rId108" xr:uid="{00000000-0004-0000-0E00-00006B000000}"/>
    <hyperlink ref="D114" r:id="rId109" xr:uid="{00000000-0004-0000-0E00-00006C000000}"/>
    <hyperlink ref="D115" r:id="rId110" xr:uid="{00000000-0004-0000-0E00-00006D000000}"/>
    <hyperlink ref="D116" r:id="rId111" xr:uid="{00000000-0004-0000-0E00-00006E000000}"/>
    <hyperlink ref="D117" r:id="rId112" xr:uid="{00000000-0004-0000-0E00-00006F000000}"/>
    <hyperlink ref="D118" r:id="rId113" xr:uid="{00000000-0004-0000-0E00-000070000000}"/>
    <hyperlink ref="D119" r:id="rId114" xr:uid="{00000000-0004-0000-0E00-000071000000}"/>
    <hyperlink ref="D120" r:id="rId115" xr:uid="{00000000-0004-0000-0E00-000072000000}"/>
    <hyperlink ref="D121" r:id="rId116" xr:uid="{00000000-0004-0000-0E00-000073000000}"/>
    <hyperlink ref="D122" r:id="rId117" xr:uid="{00000000-0004-0000-0E00-000074000000}"/>
    <hyperlink ref="D123" r:id="rId118" xr:uid="{00000000-0004-0000-0E00-000075000000}"/>
    <hyperlink ref="D124" r:id="rId119" xr:uid="{00000000-0004-0000-0E00-000076000000}"/>
    <hyperlink ref="D125" r:id="rId120" xr:uid="{00000000-0004-0000-0E00-000077000000}"/>
    <hyperlink ref="D126" r:id="rId121" xr:uid="{00000000-0004-0000-0E00-000078000000}"/>
    <hyperlink ref="D127" r:id="rId122" xr:uid="{00000000-0004-0000-0E00-000079000000}"/>
    <hyperlink ref="D128" r:id="rId123" xr:uid="{00000000-0004-0000-0E00-00007A000000}"/>
    <hyperlink ref="D129" r:id="rId124" xr:uid="{00000000-0004-0000-0E00-00007B000000}"/>
    <hyperlink ref="D130" r:id="rId125" xr:uid="{00000000-0004-0000-0E00-00007C000000}"/>
    <hyperlink ref="D131" r:id="rId126" xr:uid="{00000000-0004-0000-0E00-00007D000000}"/>
    <hyperlink ref="D132" r:id="rId127" xr:uid="{00000000-0004-0000-0E00-00007E000000}"/>
    <hyperlink ref="D133" r:id="rId128" xr:uid="{00000000-0004-0000-0E00-00007F000000}"/>
    <hyperlink ref="D134" r:id="rId129" xr:uid="{00000000-0004-0000-0E00-000080000000}"/>
    <hyperlink ref="D135" r:id="rId130" xr:uid="{00000000-0004-0000-0E00-000081000000}"/>
    <hyperlink ref="D136" r:id="rId131" xr:uid="{00000000-0004-0000-0E00-000082000000}"/>
    <hyperlink ref="D137" r:id="rId132" xr:uid="{00000000-0004-0000-0E00-000083000000}"/>
    <hyperlink ref="D138" r:id="rId133" xr:uid="{00000000-0004-0000-0E00-000084000000}"/>
    <hyperlink ref="D139" r:id="rId134" xr:uid="{00000000-0004-0000-0E00-000085000000}"/>
    <hyperlink ref="D140" r:id="rId135" xr:uid="{00000000-0004-0000-0E00-000086000000}"/>
    <hyperlink ref="D141" r:id="rId136" xr:uid="{00000000-0004-0000-0E00-000087000000}"/>
    <hyperlink ref="D142" r:id="rId137" xr:uid="{00000000-0004-0000-0E00-000088000000}"/>
    <hyperlink ref="D143" r:id="rId138" xr:uid="{00000000-0004-0000-0E00-000089000000}"/>
    <hyperlink ref="D144" r:id="rId139" xr:uid="{00000000-0004-0000-0E00-00008A000000}"/>
    <hyperlink ref="D145" r:id="rId140" xr:uid="{00000000-0004-0000-0E00-00008B000000}"/>
    <hyperlink ref="D146" r:id="rId141" xr:uid="{00000000-0004-0000-0E00-00008C000000}"/>
    <hyperlink ref="D147" r:id="rId142" xr:uid="{00000000-0004-0000-0E00-00008D000000}"/>
    <hyperlink ref="D148" r:id="rId143" xr:uid="{00000000-0004-0000-0E00-00008E000000}"/>
    <hyperlink ref="D149" r:id="rId144" xr:uid="{00000000-0004-0000-0E00-00008F000000}"/>
    <hyperlink ref="D150" r:id="rId145" xr:uid="{00000000-0004-0000-0E00-000090000000}"/>
    <hyperlink ref="D151" r:id="rId146" xr:uid="{00000000-0004-0000-0E00-000091000000}"/>
    <hyperlink ref="D152" r:id="rId147" xr:uid="{00000000-0004-0000-0E00-000092000000}"/>
    <hyperlink ref="D153" r:id="rId148" xr:uid="{00000000-0004-0000-0E00-000093000000}"/>
    <hyperlink ref="D154" r:id="rId149" xr:uid="{00000000-0004-0000-0E00-000094000000}"/>
    <hyperlink ref="D155" r:id="rId150" xr:uid="{00000000-0004-0000-0E00-000095000000}"/>
    <hyperlink ref="D156" r:id="rId151" xr:uid="{00000000-0004-0000-0E00-000096000000}"/>
    <hyperlink ref="D157" r:id="rId152" xr:uid="{00000000-0004-0000-0E00-000097000000}"/>
    <hyperlink ref="D158" r:id="rId153" xr:uid="{00000000-0004-0000-0E00-000098000000}"/>
    <hyperlink ref="D159" r:id="rId154" xr:uid="{00000000-0004-0000-0E00-000099000000}"/>
    <hyperlink ref="D160" r:id="rId155" xr:uid="{00000000-0004-0000-0E00-00009A000000}"/>
    <hyperlink ref="D161" r:id="rId156" xr:uid="{00000000-0004-0000-0E00-00009B000000}"/>
    <hyperlink ref="D162" r:id="rId157" xr:uid="{00000000-0004-0000-0E00-00009C000000}"/>
    <hyperlink ref="D163" r:id="rId158" xr:uid="{00000000-0004-0000-0E00-00009D000000}"/>
    <hyperlink ref="D164" r:id="rId159" xr:uid="{00000000-0004-0000-0E00-00009E000000}"/>
    <hyperlink ref="D165" r:id="rId160" xr:uid="{00000000-0004-0000-0E00-00009F000000}"/>
    <hyperlink ref="D166" r:id="rId161" xr:uid="{00000000-0004-0000-0E00-0000A0000000}"/>
    <hyperlink ref="D167" r:id="rId162" xr:uid="{00000000-0004-0000-0E00-0000A1000000}"/>
    <hyperlink ref="D168" r:id="rId163" xr:uid="{00000000-0004-0000-0E00-0000A2000000}"/>
    <hyperlink ref="D169" r:id="rId164" xr:uid="{00000000-0004-0000-0E00-0000A3000000}"/>
    <hyperlink ref="D170" r:id="rId165" xr:uid="{00000000-0004-0000-0E00-0000A4000000}"/>
    <hyperlink ref="D171" r:id="rId166" xr:uid="{00000000-0004-0000-0E00-0000A5000000}"/>
    <hyperlink ref="D172" r:id="rId167" xr:uid="{00000000-0004-0000-0E00-0000A6000000}"/>
    <hyperlink ref="D173" r:id="rId168" xr:uid="{00000000-0004-0000-0E00-0000A7000000}"/>
    <hyperlink ref="D174" r:id="rId169" xr:uid="{00000000-0004-0000-0E00-0000A8000000}"/>
    <hyperlink ref="D175" r:id="rId170" xr:uid="{00000000-0004-0000-0E00-0000A9000000}"/>
    <hyperlink ref="D176" r:id="rId171" xr:uid="{00000000-0004-0000-0E00-0000AA000000}"/>
    <hyperlink ref="D177" r:id="rId172" xr:uid="{00000000-0004-0000-0E00-0000AB000000}"/>
    <hyperlink ref="D178" r:id="rId173" xr:uid="{00000000-0004-0000-0E00-0000AC000000}"/>
    <hyperlink ref="D179" r:id="rId174" xr:uid="{00000000-0004-0000-0E00-0000AD000000}"/>
    <hyperlink ref="D180" r:id="rId175" xr:uid="{00000000-0004-0000-0E00-0000AE000000}"/>
    <hyperlink ref="D181" r:id="rId176" xr:uid="{00000000-0004-0000-0E00-0000AF000000}"/>
    <hyperlink ref="D182" r:id="rId177" xr:uid="{00000000-0004-0000-0E00-0000B0000000}"/>
    <hyperlink ref="D183" r:id="rId178" xr:uid="{00000000-0004-0000-0E00-0000B1000000}"/>
    <hyperlink ref="D184" r:id="rId179" xr:uid="{00000000-0004-0000-0E00-0000B2000000}"/>
    <hyperlink ref="D185" r:id="rId180" xr:uid="{00000000-0004-0000-0E00-0000B3000000}"/>
    <hyperlink ref="D186" r:id="rId181" xr:uid="{00000000-0004-0000-0E00-0000B4000000}"/>
    <hyperlink ref="D187" r:id="rId182" xr:uid="{00000000-0004-0000-0E00-0000B5000000}"/>
    <hyperlink ref="D188" r:id="rId183" xr:uid="{00000000-0004-0000-0E00-0000B6000000}"/>
    <hyperlink ref="D189" r:id="rId184" xr:uid="{00000000-0004-0000-0E00-0000B7000000}"/>
    <hyperlink ref="D190" r:id="rId185" xr:uid="{00000000-0004-0000-0E00-0000B8000000}"/>
    <hyperlink ref="D191" r:id="rId186" xr:uid="{00000000-0004-0000-0E00-0000B9000000}"/>
    <hyperlink ref="D192" r:id="rId187" xr:uid="{00000000-0004-0000-0E00-0000BA000000}"/>
    <hyperlink ref="D193" r:id="rId188" xr:uid="{00000000-0004-0000-0E00-0000BB000000}"/>
    <hyperlink ref="D194" r:id="rId189" xr:uid="{00000000-0004-0000-0E00-0000BC000000}"/>
    <hyperlink ref="D195" r:id="rId190" xr:uid="{00000000-0004-0000-0E00-0000BD000000}"/>
    <hyperlink ref="D196" r:id="rId191" xr:uid="{00000000-0004-0000-0E00-0000BE000000}"/>
    <hyperlink ref="D197" r:id="rId192" xr:uid="{00000000-0004-0000-0E00-0000BF000000}"/>
    <hyperlink ref="D198" r:id="rId193" xr:uid="{00000000-0004-0000-0E00-0000C0000000}"/>
    <hyperlink ref="D199" r:id="rId194" xr:uid="{00000000-0004-0000-0E00-0000C1000000}"/>
    <hyperlink ref="D200" r:id="rId195" xr:uid="{00000000-0004-0000-0E00-0000C2000000}"/>
    <hyperlink ref="D201" r:id="rId196" xr:uid="{00000000-0004-0000-0E00-0000C3000000}"/>
    <hyperlink ref="D202" r:id="rId197" xr:uid="{00000000-0004-0000-0E00-0000C4000000}"/>
    <hyperlink ref="D203" r:id="rId198" xr:uid="{00000000-0004-0000-0E00-0000C5000000}"/>
    <hyperlink ref="D204" r:id="rId199" xr:uid="{00000000-0004-0000-0E00-0000C6000000}"/>
    <hyperlink ref="D205" r:id="rId200" xr:uid="{00000000-0004-0000-0E00-0000C7000000}"/>
    <hyperlink ref="D206" r:id="rId201" xr:uid="{00000000-0004-0000-0E00-0000C8000000}"/>
    <hyperlink ref="D207" r:id="rId202" xr:uid="{00000000-0004-0000-0E00-0000C9000000}"/>
    <hyperlink ref="D208" r:id="rId203" xr:uid="{00000000-0004-0000-0E00-0000CA000000}"/>
    <hyperlink ref="D209" r:id="rId204" xr:uid="{00000000-0004-0000-0E00-0000CB000000}"/>
    <hyperlink ref="D210" r:id="rId205" xr:uid="{00000000-0004-0000-0E00-0000CC000000}"/>
    <hyperlink ref="D211" r:id="rId206" xr:uid="{00000000-0004-0000-0E00-0000CD000000}"/>
    <hyperlink ref="D212" r:id="rId207" xr:uid="{00000000-0004-0000-0E00-0000CE000000}"/>
    <hyperlink ref="D213" r:id="rId208" xr:uid="{00000000-0004-0000-0E00-0000CF000000}"/>
    <hyperlink ref="D214" r:id="rId209" xr:uid="{00000000-0004-0000-0E00-0000D0000000}"/>
    <hyperlink ref="D215" r:id="rId210" xr:uid="{00000000-0004-0000-0E00-0000D1000000}"/>
    <hyperlink ref="D216" r:id="rId211" xr:uid="{00000000-0004-0000-0E00-0000D2000000}"/>
    <hyperlink ref="D217" r:id="rId212" xr:uid="{00000000-0004-0000-0E00-0000D3000000}"/>
    <hyperlink ref="D218" r:id="rId213" xr:uid="{00000000-0004-0000-0E00-0000D4000000}"/>
    <hyperlink ref="D219" r:id="rId214" xr:uid="{00000000-0004-0000-0E00-0000D5000000}"/>
    <hyperlink ref="D220" r:id="rId215" xr:uid="{00000000-0004-0000-0E00-0000D6000000}"/>
    <hyperlink ref="D221" r:id="rId216" xr:uid="{00000000-0004-0000-0E00-0000D7000000}"/>
    <hyperlink ref="D222" r:id="rId217" xr:uid="{00000000-0004-0000-0E00-0000D8000000}"/>
    <hyperlink ref="D223" r:id="rId218" xr:uid="{00000000-0004-0000-0E00-0000D9000000}"/>
    <hyperlink ref="D224" r:id="rId219" xr:uid="{00000000-0004-0000-0E00-0000DA000000}"/>
    <hyperlink ref="D225" r:id="rId220" xr:uid="{00000000-0004-0000-0E00-0000DB000000}"/>
    <hyperlink ref="D226" r:id="rId221" xr:uid="{00000000-0004-0000-0E00-0000DC000000}"/>
    <hyperlink ref="D227" r:id="rId222" xr:uid="{00000000-0004-0000-0E00-0000DD000000}"/>
    <hyperlink ref="D228" r:id="rId223" xr:uid="{00000000-0004-0000-0E00-0000DE000000}"/>
    <hyperlink ref="D229" r:id="rId224" xr:uid="{00000000-0004-0000-0E00-0000DF000000}"/>
    <hyperlink ref="D230" r:id="rId225" xr:uid="{00000000-0004-0000-0E00-0000E0000000}"/>
    <hyperlink ref="D231" r:id="rId226" xr:uid="{00000000-0004-0000-0E00-0000E1000000}"/>
    <hyperlink ref="D232" r:id="rId227" xr:uid="{00000000-0004-0000-0E00-0000E2000000}"/>
    <hyperlink ref="D233" r:id="rId228" xr:uid="{00000000-0004-0000-0E00-0000E3000000}"/>
    <hyperlink ref="D234" r:id="rId229" xr:uid="{00000000-0004-0000-0E00-0000E4000000}"/>
    <hyperlink ref="D235" r:id="rId230" xr:uid="{00000000-0004-0000-0E00-0000E5000000}"/>
    <hyperlink ref="D236" r:id="rId231" xr:uid="{00000000-0004-0000-0E00-0000E6000000}"/>
    <hyperlink ref="D237" r:id="rId232" xr:uid="{00000000-0004-0000-0E00-0000E7000000}"/>
    <hyperlink ref="D238" r:id="rId233" xr:uid="{00000000-0004-0000-0E00-0000E8000000}"/>
    <hyperlink ref="D239" r:id="rId234" xr:uid="{00000000-0004-0000-0E00-0000E9000000}"/>
    <hyperlink ref="D240" r:id="rId235" xr:uid="{00000000-0004-0000-0E00-0000EA000000}"/>
    <hyperlink ref="D241" r:id="rId236" xr:uid="{00000000-0004-0000-0E00-0000EB000000}"/>
    <hyperlink ref="D242" r:id="rId237" xr:uid="{00000000-0004-0000-0E00-0000EC000000}"/>
    <hyperlink ref="D243" r:id="rId238" xr:uid="{00000000-0004-0000-0E00-0000ED000000}"/>
    <hyperlink ref="D244" r:id="rId239" xr:uid="{00000000-0004-0000-0E00-0000EE000000}"/>
    <hyperlink ref="D245" r:id="rId240" xr:uid="{00000000-0004-0000-0E00-0000EF000000}"/>
    <hyperlink ref="D246" r:id="rId241" xr:uid="{00000000-0004-0000-0E00-0000F0000000}"/>
    <hyperlink ref="D247" r:id="rId242" xr:uid="{00000000-0004-0000-0E00-0000F1000000}"/>
    <hyperlink ref="D248" r:id="rId243" xr:uid="{00000000-0004-0000-0E00-0000F2000000}"/>
    <hyperlink ref="D249" r:id="rId244" xr:uid="{00000000-0004-0000-0E00-0000F3000000}"/>
    <hyperlink ref="D250" r:id="rId245" xr:uid="{00000000-0004-0000-0E00-0000F4000000}"/>
    <hyperlink ref="D251" r:id="rId246" xr:uid="{00000000-0004-0000-0E00-0000F5000000}"/>
    <hyperlink ref="D252" r:id="rId247" xr:uid="{00000000-0004-0000-0E00-0000F6000000}"/>
    <hyperlink ref="D253" r:id="rId248" xr:uid="{00000000-0004-0000-0E00-0000F7000000}"/>
    <hyperlink ref="D254" r:id="rId249" xr:uid="{00000000-0004-0000-0E00-0000F8000000}"/>
    <hyperlink ref="D255" r:id="rId250" xr:uid="{00000000-0004-0000-0E00-0000F9000000}"/>
    <hyperlink ref="D256" r:id="rId251" xr:uid="{00000000-0004-0000-0E00-0000FA000000}"/>
    <hyperlink ref="D257" r:id="rId252" xr:uid="{00000000-0004-0000-0E00-0000FB000000}"/>
    <hyperlink ref="D258" r:id="rId253" xr:uid="{00000000-0004-0000-0E00-0000FC000000}"/>
    <hyperlink ref="D259" r:id="rId254" xr:uid="{00000000-0004-0000-0E00-0000FD000000}"/>
    <hyperlink ref="D260" r:id="rId255" xr:uid="{00000000-0004-0000-0E00-0000FE000000}"/>
    <hyperlink ref="D261" r:id="rId256" xr:uid="{00000000-0004-0000-0E00-0000FF000000}"/>
    <hyperlink ref="D262" r:id="rId257" xr:uid="{00000000-0004-0000-0E00-000000010000}"/>
    <hyperlink ref="D263" r:id="rId258" xr:uid="{00000000-0004-0000-0E00-000001010000}"/>
    <hyperlink ref="D264" r:id="rId259" xr:uid="{00000000-0004-0000-0E00-000002010000}"/>
    <hyperlink ref="D265" r:id="rId260" xr:uid="{00000000-0004-0000-0E00-000003010000}"/>
    <hyperlink ref="D266" r:id="rId261" xr:uid="{00000000-0004-0000-0E00-000004010000}"/>
    <hyperlink ref="D267" r:id="rId262" xr:uid="{00000000-0004-0000-0E00-000005010000}"/>
    <hyperlink ref="D268" r:id="rId263" xr:uid="{00000000-0004-0000-0E00-000006010000}"/>
    <hyperlink ref="D269" r:id="rId264" xr:uid="{00000000-0004-0000-0E00-000007010000}"/>
    <hyperlink ref="D270" r:id="rId265" xr:uid="{00000000-0004-0000-0E00-000008010000}"/>
    <hyperlink ref="D271" r:id="rId266" xr:uid="{00000000-0004-0000-0E00-000009010000}"/>
    <hyperlink ref="D272" r:id="rId267" xr:uid="{00000000-0004-0000-0E00-00000A010000}"/>
    <hyperlink ref="D273" r:id="rId268" xr:uid="{00000000-0004-0000-0E00-00000B010000}"/>
    <hyperlink ref="D274" r:id="rId269" xr:uid="{00000000-0004-0000-0E00-00000C010000}"/>
    <hyperlink ref="D275" r:id="rId270" xr:uid="{00000000-0004-0000-0E00-00000D010000}"/>
    <hyperlink ref="D276" r:id="rId271" xr:uid="{00000000-0004-0000-0E00-00000E010000}"/>
    <hyperlink ref="D277" r:id="rId272" xr:uid="{00000000-0004-0000-0E00-00000F010000}"/>
    <hyperlink ref="D278" r:id="rId273" xr:uid="{00000000-0004-0000-0E00-000010010000}"/>
    <hyperlink ref="D279" r:id="rId274" xr:uid="{00000000-0004-0000-0E00-000011010000}"/>
    <hyperlink ref="D280" r:id="rId275" xr:uid="{00000000-0004-0000-0E00-000012010000}"/>
    <hyperlink ref="D281" r:id="rId276" xr:uid="{00000000-0004-0000-0E00-000013010000}"/>
    <hyperlink ref="D282" r:id="rId277" xr:uid="{00000000-0004-0000-0E00-000014010000}"/>
    <hyperlink ref="D283" r:id="rId278" xr:uid="{00000000-0004-0000-0E00-000015010000}"/>
    <hyperlink ref="D284" r:id="rId279" xr:uid="{00000000-0004-0000-0E00-000016010000}"/>
    <hyperlink ref="D285" r:id="rId280" xr:uid="{00000000-0004-0000-0E00-000017010000}"/>
    <hyperlink ref="D286" r:id="rId281" xr:uid="{00000000-0004-0000-0E00-000018010000}"/>
    <hyperlink ref="D287" r:id="rId282" xr:uid="{00000000-0004-0000-0E00-000019010000}"/>
    <hyperlink ref="D288" r:id="rId283" xr:uid="{00000000-0004-0000-0E00-00001A010000}"/>
    <hyperlink ref="D289" r:id="rId284" xr:uid="{00000000-0004-0000-0E00-00001B010000}"/>
    <hyperlink ref="D290" r:id="rId285" xr:uid="{00000000-0004-0000-0E00-00001C010000}"/>
    <hyperlink ref="D291" r:id="rId286" xr:uid="{00000000-0004-0000-0E00-00001D010000}"/>
    <hyperlink ref="D292" r:id="rId287" xr:uid="{00000000-0004-0000-0E00-00001E010000}"/>
    <hyperlink ref="D293" r:id="rId288" xr:uid="{00000000-0004-0000-0E00-00001F010000}"/>
    <hyperlink ref="D294" r:id="rId289" xr:uid="{00000000-0004-0000-0E00-000020010000}"/>
    <hyperlink ref="D295" r:id="rId290" xr:uid="{00000000-0004-0000-0E00-000021010000}"/>
    <hyperlink ref="D296" r:id="rId291" xr:uid="{00000000-0004-0000-0E00-000022010000}"/>
    <hyperlink ref="D297" r:id="rId292" xr:uid="{00000000-0004-0000-0E00-000023010000}"/>
    <hyperlink ref="D298" r:id="rId293" xr:uid="{00000000-0004-0000-0E00-000024010000}"/>
    <hyperlink ref="D299" r:id="rId294" xr:uid="{00000000-0004-0000-0E00-000025010000}"/>
    <hyperlink ref="D300" r:id="rId295" xr:uid="{00000000-0004-0000-0E00-000026010000}"/>
    <hyperlink ref="D301" r:id="rId296" xr:uid="{00000000-0004-0000-0E00-000027010000}"/>
    <hyperlink ref="D302" r:id="rId297" xr:uid="{00000000-0004-0000-0E00-000028010000}"/>
    <hyperlink ref="D303" r:id="rId298" xr:uid="{00000000-0004-0000-0E00-000029010000}"/>
    <hyperlink ref="D304" r:id="rId299" xr:uid="{00000000-0004-0000-0E00-00002A010000}"/>
    <hyperlink ref="D305" r:id="rId300" xr:uid="{00000000-0004-0000-0E00-00002B010000}"/>
    <hyperlink ref="D306" r:id="rId301" xr:uid="{00000000-0004-0000-0E00-00002C010000}"/>
    <hyperlink ref="D307" r:id="rId302" xr:uid="{00000000-0004-0000-0E00-00002D010000}"/>
    <hyperlink ref="D308" r:id="rId303" xr:uid="{00000000-0004-0000-0E00-00002E010000}"/>
    <hyperlink ref="D309" r:id="rId304" xr:uid="{00000000-0004-0000-0E00-00002F010000}"/>
    <hyperlink ref="D310" r:id="rId305" xr:uid="{00000000-0004-0000-0E00-000030010000}"/>
    <hyperlink ref="D311" r:id="rId306" xr:uid="{00000000-0004-0000-0E00-000031010000}"/>
    <hyperlink ref="D312" r:id="rId307" xr:uid="{00000000-0004-0000-0E00-000032010000}"/>
    <hyperlink ref="D313" r:id="rId308" xr:uid="{00000000-0004-0000-0E00-000033010000}"/>
    <hyperlink ref="D314" r:id="rId309" xr:uid="{00000000-0004-0000-0E00-000034010000}"/>
    <hyperlink ref="D315" r:id="rId310" xr:uid="{00000000-0004-0000-0E00-000035010000}"/>
    <hyperlink ref="D316" r:id="rId311" xr:uid="{00000000-0004-0000-0E00-000036010000}"/>
    <hyperlink ref="D317" r:id="rId312" xr:uid="{00000000-0004-0000-0E00-000037010000}"/>
    <hyperlink ref="D318" r:id="rId313" xr:uid="{00000000-0004-0000-0E00-000038010000}"/>
    <hyperlink ref="D319" r:id="rId314" xr:uid="{00000000-0004-0000-0E00-000039010000}"/>
    <hyperlink ref="D320" r:id="rId315" xr:uid="{00000000-0004-0000-0E00-00003A010000}"/>
    <hyperlink ref="D321" r:id="rId316" xr:uid="{00000000-0004-0000-0E00-00003B010000}"/>
    <hyperlink ref="D322" r:id="rId317" xr:uid="{00000000-0004-0000-0E00-00003C010000}"/>
    <hyperlink ref="D323" r:id="rId318" xr:uid="{00000000-0004-0000-0E00-00003D010000}"/>
    <hyperlink ref="D324" r:id="rId319" xr:uid="{00000000-0004-0000-0E00-00003E010000}"/>
    <hyperlink ref="D325" r:id="rId320" xr:uid="{00000000-0004-0000-0E00-00003F010000}"/>
    <hyperlink ref="D326" r:id="rId321" xr:uid="{00000000-0004-0000-0E00-000040010000}"/>
    <hyperlink ref="D327" r:id="rId322" xr:uid="{00000000-0004-0000-0E00-000041010000}"/>
    <hyperlink ref="D328" r:id="rId323" xr:uid="{00000000-0004-0000-0E00-000042010000}"/>
    <hyperlink ref="D329" r:id="rId324" xr:uid="{00000000-0004-0000-0E00-000043010000}"/>
    <hyperlink ref="D330" r:id="rId325" xr:uid="{00000000-0004-0000-0E00-000044010000}"/>
    <hyperlink ref="D331" r:id="rId326" xr:uid="{00000000-0004-0000-0E00-000045010000}"/>
    <hyperlink ref="D332" r:id="rId327" xr:uid="{00000000-0004-0000-0E00-000046010000}"/>
    <hyperlink ref="D333" r:id="rId328" xr:uid="{00000000-0004-0000-0E00-000047010000}"/>
    <hyperlink ref="D334" r:id="rId329" xr:uid="{00000000-0004-0000-0E00-000048010000}"/>
    <hyperlink ref="D335" r:id="rId330" xr:uid="{00000000-0004-0000-0E00-000049010000}"/>
    <hyperlink ref="D336" r:id="rId331" xr:uid="{00000000-0004-0000-0E00-00004A010000}"/>
    <hyperlink ref="D337" r:id="rId332" xr:uid="{00000000-0004-0000-0E00-00004B010000}"/>
    <hyperlink ref="D338" r:id="rId333" xr:uid="{00000000-0004-0000-0E00-00004C010000}"/>
    <hyperlink ref="D339" r:id="rId334" xr:uid="{00000000-0004-0000-0E00-00004D010000}"/>
    <hyperlink ref="D340" r:id="rId335" xr:uid="{00000000-0004-0000-0E00-00004E010000}"/>
    <hyperlink ref="D341" r:id="rId336" xr:uid="{00000000-0004-0000-0E00-00004F010000}"/>
    <hyperlink ref="D342" r:id="rId337" xr:uid="{00000000-0004-0000-0E00-000050010000}"/>
    <hyperlink ref="D343" r:id="rId338" xr:uid="{00000000-0004-0000-0E00-000051010000}"/>
    <hyperlink ref="D344" r:id="rId339" xr:uid="{00000000-0004-0000-0E00-000052010000}"/>
    <hyperlink ref="D345" r:id="rId340" xr:uid="{00000000-0004-0000-0E00-000053010000}"/>
    <hyperlink ref="D346" r:id="rId341" xr:uid="{00000000-0004-0000-0E00-000054010000}"/>
    <hyperlink ref="D347" r:id="rId342" xr:uid="{00000000-0004-0000-0E00-000055010000}"/>
    <hyperlink ref="D348" r:id="rId343" xr:uid="{00000000-0004-0000-0E00-000056010000}"/>
    <hyperlink ref="D349" r:id="rId344" xr:uid="{00000000-0004-0000-0E00-000057010000}"/>
    <hyperlink ref="D350" r:id="rId345" xr:uid="{00000000-0004-0000-0E00-000058010000}"/>
    <hyperlink ref="D351" r:id="rId346" xr:uid="{00000000-0004-0000-0E00-000059010000}"/>
    <hyperlink ref="D352" r:id="rId347" xr:uid="{00000000-0004-0000-0E00-00005A010000}"/>
    <hyperlink ref="D353" r:id="rId348" xr:uid="{00000000-0004-0000-0E00-00005B010000}"/>
    <hyperlink ref="D354" r:id="rId349" xr:uid="{00000000-0004-0000-0E00-00005C010000}"/>
    <hyperlink ref="D355" r:id="rId350" xr:uid="{00000000-0004-0000-0E00-00005D010000}"/>
    <hyperlink ref="D356" r:id="rId351" xr:uid="{00000000-0004-0000-0E00-00005E010000}"/>
    <hyperlink ref="D357" r:id="rId352" xr:uid="{00000000-0004-0000-0E00-00005F010000}"/>
    <hyperlink ref="D358" r:id="rId353" xr:uid="{00000000-0004-0000-0E00-000060010000}"/>
    <hyperlink ref="D359" r:id="rId354" xr:uid="{00000000-0004-0000-0E00-000061010000}"/>
    <hyperlink ref="D360" r:id="rId355" xr:uid="{00000000-0004-0000-0E00-000062010000}"/>
    <hyperlink ref="D361" r:id="rId356" xr:uid="{00000000-0004-0000-0E00-000063010000}"/>
    <hyperlink ref="D362" r:id="rId357" xr:uid="{00000000-0004-0000-0E00-000064010000}"/>
    <hyperlink ref="D363" r:id="rId358" xr:uid="{00000000-0004-0000-0E00-000065010000}"/>
    <hyperlink ref="D364" r:id="rId359" xr:uid="{00000000-0004-0000-0E00-000066010000}"/>
    <hyperlink ref="D365" r:id="rId360" xr:uid="{00000000-0004-0000-0E00-000067010000}"/>
    <hyperlink ref="D366" r:id="rId361" xr:uid="{00000000-0004-0000-0E00-000068010000}"/>
    <hyperlink ref="D367" r:id="rId362" xr:uid="{00000000-0004-0000-0E00-000069010000}"/>
    <hyperlink ref="D368" r:id="rId363" xr:uid="{00000000-0004-0000-0E00-00006A010000}"/>
    <hyperlink ref="D369" r:id="rId364" xr:uid="{00000000-0004-0000-0E00-00006B010000}"/>
    <hyperlink ref="D370" r:id="rId365" xr:uid="{00000000-0004-0000-0E00-00006C010000}"/>
    <hyperlink ref="D371" r:id="rId366" xr:uid="{00000000-0004-0000-0E00-00006D010000}"/>
    <hyperlink ref="D372" r:id="rId367" xr:uid="{00000000-0004-0000-0E00-00006E010000}"/>
    <hyperlink ref="D373" r:id="rId368" xr:uid="{00000000-0004-0000-0E00-00006F010000}"/>
    <hyperlink ref="D374" r:id="rId369" xr:uid="{00000000-0004-0000-0E00-000070010000}"/>
    <hyperlink ref="D375" r:id="rId370" xr:uid="{00000000-0004-0000-0E00-000071010000}"/>
    <hyperlink ref="D376" r:id="rId371" xr:uid="{00000000-0004-0000-0E00-000072010000}"/>
    <hyperlink ref="D377" r:id="rId372" xr:uid="{00000000-0004-0000-0E00-000073010000}"/>
    <hyperlink ref="D378" r:id="rId373" xr:uid="{00000000-0004-0000-0E00-000074010000}"/>
    <hyperlink ref="D379" r:id="rId374" xr:uid="{00000000-0004-0000-0E00-000075010000}"/>
    <hyperlink ref="D380" r:id="rId375" xr:uid="{00000000-0004-0000-0E00-000076010000}"/>
    <hyperlink ref="D381" r:id="rId376" xr:uid="{00000000-0004-0000-0E00-000077010000}"/>
    <hyperlink ref="D382" r:id="rId377" xr:uid="{00000000-0004-0000-0E00-000078010000}"/>
    <hyperlink ref="D383" r:id="rId378" xr:uid="{00000000-0004-0000-0E00-000079010000}"/>
    <hyperlink ref="D384" r:id="rId379" xr:uid="{00000000-0004-0000-0E00-00007A010000}"/>
    <hyperlink ref="D385" r:id="rId380" xr:uid="{00000000-0004-0000-0E00-00007B010000}"/>
    <hyperlink ref="D386" r:id="rId381" xr:uid="{00000000-0004-0000-0E00-00007C010000}"/>
    <hyperlink ref="D387" r:id="rId382" xr:uid="{00000000-0004-0000-0E00-00007D010000}"/>
    <hyperlink ref="D388" r:id="rId383" xr:uid="{00000000-0004-0000-0E00-00007E010000}"/>
    <hyperlink ref="D389" r:id="rId384" xr:uid="{00000000-0004-0000-0E00-00007F010000}"/>
    <hyperlink ref="D390" r:id="rId385" xr:uid="{00000000-0004-0000-0E00-000080010000}"/>
    <hyperlink ref="D391" r:id="rId386" xr:uid="{00000000-0004-0000-0E00-000081010000}"/>
    <hyperlink ref="D392" r:id="rId387" xr:uid="{00000000-0004-0000-0E00-000082010000}"/>
    <hyperlink ref="D393" r:id="rId388" xr:uid="{00000000-0004-0000-0E00-000083010000}"/>
    <hyperlink ref="D394" r:id="rId389" xr:uid="{00000000-0004-0000-0E00-000084010000}"/>
    <hyperlink ref="D395" r:id="rId390" xr:uid="{00000000-0004-0000-0E00-000085010000}"/>
    <hyperlink ref="D396" r:id="rId391" xr:uid="{00000000-0004-0000-0E00-000086010000}"/>
    <hyperlink ref="D397" r:id="rId392" xr:uid="{00000000-0004-0000-0E00-000087010000}"/>
    <hyperlink ref="D398" r:id="rId393" xr:uid="{00000000-0004-0000-0E00-000088010000}"/>
    <hyperlink ref="D399" r:id="rId394" xr:uid="{00000000-0004-0000-0E00-000089010000}"/>
    <hyperlink ref="D400" r:id="rId395" xr:uid="{00000000-0004-0000-0E00-00008A010000}"/>
    <hyperlink ref="D401" r:id="rId396" xr:uid="{00000000-0004-0000-0E00-00008B010000}"/>
    <hyperlink ref="D402" r:id="rId397" xr:uid="{00000000-0004-0000-0E00-00008C010000}"/>
    <hyperlink ref="D403" r:id="rId398" xr:uid="{00000000-0004-0000-0E00-00008D010000}"/>
    <hyperlink ref="D404" r:id="rId399" xr:uid="{00000000-0004-0000-0E00-00008E010000}"/>
    <hyperlink ref="D405" r:id="rId400" xr:uid="{00000000-0004-0000-0E00-00008F010000}"/>
    <hyperlink ref="D406" r:id="rId401" xr:uid="{00000000-0004-0000-0E00-000090010000}"/>
    <hyperlink ref="D407" r:id="rId402" xr:uid="{00000000-0004-0000-0E00-000091010000}"/>
    <hyperlink ref="D408" r:id="rId403" xr:uid="{00000000-0004-0000-0E00-000092010000}"/>
    <hyperlink ref="D409" r:id="rId404" xr:uid="{00000000-0004-0000-0E00-000093010000}"/>
    <hyperlink ref="D410" r:id="rId405" xr:uid="{00000000-0004-0000-0E00-000094010000}"/>
    <hyperlink ref="D411" r:id="rId406" xr:uid="{00000000-0004-0000-0E00-000095010000}"/>
    <hyperlink ref="D412" r:id="rId407" xr:uid="{00000000-0004-0000-0E00-000096010000}"/>
    <hyperlink ref="D413" r:id="rId408" xr:uid="{00000000-0004-0000-0E00-000097010000}"/>
    <hyperlink ref="D414" r:id="rId409" xr:uid="{00000000-0004-0000-0E00-000098010000}"/>
    <hyperlink ref="D415" r:id="rId410" xr:uid="{00000000-0004-0000-0E00-000099010000}"/>
    <hyperlink ref="D416" r:id="rId411" xr:uid="{00000000-0004-0000-0E00-00009A010000}"/>
    <hyperlink ref="D417" r:id="rId412" xr:uid="{00000000-0004-0000-0E00-00009B010000}"/>
    <hyperlink ref="D418" r:id="rId413" xr:uid="{00000000-0004-0000-0E00-00009C010000}"/>
    <hyperlink ref="D419" r:id="rId414" xr:uid="{00000000-0004-0000-0E00-00009D010000}"/>
    <hyperlink ref="D420" r:id="rId415" xr:uid="{00000000-0004-0000-0E00-00009E010000}"/>
    <hyperlink ref="D421" r:id="rId416" xr:uid="{00000000-0004-0000-0E00-00009F010000}"/>
    <hyperlink ref="D422" r:id="rId417" xr:uid="{00000000-0004-0000-0E00-0000A0010000}"/>
    <hyperlink ref="D423" r:id="rId418" xr:uid="{00000000-0004-0000-0E00-0000A1010000}"/>
    <hyperlink ref="D424" r:id="rId419" xr:uid="{00000000-0004-0000-0E00-0000A2010000}"/>
    <hyperlink ref="D425" r:id="rId420" xr:uid="{00000000-0004-0000-0E00-0000A3010000}"/>
    <hyperlink ref="D426" r:id="rId421" xr:uid="{00000000-0004-0000-0E00-0000A4010000}"/>
    <hyperlink ref="D427" r:id="rId422" xr:uid="{00000000-0004-0000-0E00-0000A5010000}"/>
    <hyperlink ref="D428" r:id="rId423" xr:uid="{00000000-0004-0000-0E00-0000A6010000}"/>
    <hyperlink ref="D429" r:id="rId424" xr:uid="{00000000-0004-0000-0E00-0000A7010000}"/>
    <hyperlink ref="D430" r:id="rId425" xr:uid="{00000000-0004-0000-0E00-0000A8010000}"/>
    <hyperlink ref="D431" r:id="rId426" xr:uid="{00000000-0004-0000-0E00-0000A9010000}"/>
    <hyperlink ref="D432" r:id="rId427" xr:uid="{00000000-0004-0000-0E00-0000AA010000}"/>
    <hyperlink ref="D433" r:id="rId428" xr:uid="{00000000-0004-0000-0E00-0000AB010000}"/>
    <hyperlink ref="D434" r:id="rId429" xr:uid="{00000000-0004-0000-0E00-0000AC010000}"/>
    <hyperlink ref="D435" r:id="rId430" xr:uid="{00000000-0004-0000-0E00-0000AD010000}"/>
    <hyperlink ref="D436" r:id="rId431" xr:uid="{00000000-0004-0000-0E00-0000AE010000}"/>
    <hyperlink ref="D437" r:id="rId432" xr:uid="{00000000-0004-0000-0E00-0000AF010000}"/>
    <hyperlink ref="D438" r:id="rId433" xr:uid="{00000000-0004-0000-0E00-0000B0010000}"/>
    <hyperlink ref="D439" r:id="rId434" xr:uid="{00000000-0004-0000-0E00-0000B1010000}"/>
    <hyperlink ref="D440" r:id="rId435" xr:uid="{00000000-0004-0000-0E00-0000B2010000}"/>
    <hyperlink ref="D441" r:id="rId436" xr:uid="{00000000-0004-0000-0E00-0000B3010000}"/>
    <hyperlink ref="D442" r:id="rId437" xr:uid="{00000000-0004-0000-0E00-0000B4010000}"/>
    <hyperlink ref="D443" r:id="rId438" xr:uid="{00000000-0004-0000-0E00-0000B5010000}"/>
    <hyperlink ref="D444" r:id="rId439" xr:uid="{00000000-0004-0000-0E00-0000B6010000}"/>
    <hyperlink ref="D445" r:id="rId440" xr:uid="{00000000-0004-0000-0E00-0000B7010000}"/>
    <hyperlink ref="D446" r:id="rId441" xr:uid="{00000000-0004-0000-0E00-0000B8010000}"/>
    <hyperlink ref="D447" r:id="rId442" xr:uid="{00000000-0004-0000-0E00-0000B9010000}"/>
    <hyperlink ref="D448" r:id="rId443" xr:uid="{00000000-0004-0000-0E00-0000BA010000}"/>
    <hyperlink ref="D449" r:id="rId444" xr:uid="{00000000-0004-0000-0E00-0000BB010000}"/>
    <hyperlink ref="D450" r:id="rId445" xr:uid="{00000000-0004-0000-0E00-0000BC010000}"/>
    <hyperlink ref="D451" r:id="rId446" xr:uid="{00000000-0004-0000-0E00-0000BD010000}"/>
    <hyperlink ref="D452" r:id="rId447" xr:uid="{00000000-0004-0000-0E00-0000BE010000}"/>
    <hyperlink ref="D453" r:id="rId448" xr:uid="{00000000-0004-0000-0E00-0000BF010000}"/>
    <hyperlink ref="D454" r:id="rId449" xr:uid="{00000000-0004-0000-0E00-0000C0010000}"/>
    <hyperlink ref="D455" r:id="rId450" xr:uid="{00000000-0004-0000-0E00-0000C1010000}"/>
    <hyperlink ref="D456" r:id="rId451" xr:uid="{00000000-0004-0000-0E00-0000C2010000}"/>
    <hyperlink ref="D457" r:id="rId452" xr:uid="{00000000-0004-0000-0E00-0000C3010000}"/>
    <hyperlink ref="D458" r:id="rId453" xr:uid="{00000000-0004-0000-0E00-0000C4010000}"/>
    <hyperlink ref="D459" r:id="rId454" xr:uid="{00000000-0004-0000-0E00-0000C5010000}"/>
    <hyperlink ref="D460" r:id="rId455" xr:uid="{00000000-0004-0000-0E00-0000C6010000}"/>
    <hyperlink ref="D461" r:id="rId456" xr:uid="{00000000-0004-0000-0E00-0000C7010000}"/>
    <hyperlink ref="D462" r:id="rId457" xr:uid="{00000000-0004-0000-0E00-0000C8010000}"/>
    <hyperlink ref="D463" r:id="rId458" xr:uid="{00000000-0004-0000-0E00-0000C9010000}"/>
    <hyperlink ref="D464" r:id="rId459" xr:uid="{00000000-0004-0000-0E00-0000CA010000}"/>
    <hyperlink ref="D465" r:id="rId460" xr:uid="{00000000-0004-0000-0E00-0000CB010000}"/>
    <hyperlink ref="D466" r:id="rId461" xr:uid="{00000000-0004-0000-0E00-0000CC010000}"/>
    <hyperlink ref="D467" r:id="rId462" xr:uid="{00000000-0004-0000-0E00-0000CD010000}"/>
    <hyperlink ref="D468" r:id="rId463" xr:uid="{00000000-0004-0000-0E00-0000CE010000}"/>
    <hyperlink ref="D469" r:id="rId464" xr:uid="{00000000-0004-0000-0E00-0000CF010000}"/>
    <hyperlink ref="D470" r:id="rId465" xr:uid="{00000000-0004-0000-0E00-0000D0010000}"/>
    <hyperlink ref="D471" r:id="rId466" xr:uid="{00000000-0004-0000-0E00-0000D1010000}"/>
    <hyperlink ref="D472" r:id="rId467" xr:uid="{00000000-0004-0000-0E00-0000D2010000}"/>
    <hyperlink ref="D473" r:id="rId468" xr:uid="{00000000-0004-0000-0E00-0000D3010000}"/>
    <hyperlink ref="D474" r:id="rId469" xr:uid="{00000000-0004-0000-0E00-0000D4010000}"/>
    <hyperlink ref="D475" r:id="rId470" xr:uid="{00000000-0004-0000-0E00-0000D5010000}"/>
    <hyperlink ref="D476" r:id="rId471" xr:uid="{00000000-0004-0000-0E00-0000D6010000}"/>
    <hyperlink ref="D477" r:id="rId472" xr:uid="{00000000-0004-0000-0E00-0000D7010000}"/>
    <hyperlink ref="D478" r:id="rId473" xr:uid="{00000000-0004-0000-0E00-0000D8010000}"/>
    <hyperlink ref="D479" r:id="rId474" xr:uid="{00000000-0004-0000-0E00-0000D9010000}"/>
    <hyperlink ref="D480" r:id="rId475" xr:uid="{00000000-0004-0000-0E00-0000DA010000}"/>
    <hyperlink ref="D481" r:id="rId476" xr:uid="{00000000-0004-0000-0E00-0000DB010000}"/>
    <hyperlink ref="D482" r:id="rId477" xr:uid="{00000000-0004-0000-0E00-0000DC010000}"/>
    <hyperlink ref="D483" r:id="rId478" xr:uid="{00000000-0004-0000-0E00-0000DD010000}"/>
    <hyperlink ref="D484" r:id="rId479" xr:uid="{00000000-0004-0000-0E00-0000DE010000}"/>
    <hyperlink ref="D485" r:id="rId480" xr:uid="{00000000-0004-0000-0E00-0000DF010000}"/>
    <hyperlink ref="D486" r:id="rId481" xr:uid="{00000000-0004-0000-0E00-0000E0010000}"/>
    <hyperlink ref="D487" r:id="rId482" xr:uid="{00000000-0004-0000-0E00-0000E1010000}"/>
    <hyperlink ref="D488" r:id="rId483" xr:uid="{00000000-0004-0000-0E00-0000E2010000}"/>
    <hyperlink ref="D489" r:id="rId484" xr:uid="{00000000-0004-0000-0E00-0000E3010000}"/>
    <hyperlink ref="D490" r:id="rId485" xr:uid="{00000000-0004-0000-0E00-0000E4010000}"/>
    <hyperlink ref="D491" r:id="rId486" xr:uid="{00000000-0004-0000-0E00-0000E5010000}"/>
    <hyperlink ref="D492" r:id="rId487" xr:uid="{00000000-0004-0000-0E00-0000E6010000}"/>
    <hyperlink ref="D493" r:id="rId488" xr:uid="{00000000-0004-0000-0E00-0000E7010000}"/>
    <hyperlink ref="D494" r:id="rId489" xr:uid="{00000000-0004-0000-0E00-0000E8010000}"/>
    <hyperlink ref="D495" r:id="rId490" xr:uid="{00000000-0004-0000-0E00-0000E9010000}"/>
    <hyperlink ref="D496" r:id="rId491" xr:uid="{00000000-0004-0000-0E00-0000EA010000}"/>
    <hyperlink ref="D497" r:id="rId492" xr:uid="{00000000-0004-0000-0E00-0000EB010000}"/>
    <hyperlink ref="D498" r:id="rId493" xr:uid="{00000000-0004-0000-0E00-0000EC010000}"/>
    <hyperlink ref="D499" r:id="rId494" xr:uid="{00000000-0004-0000-0E00-0000ED010000}"/>
    <hyperlink ref="D500" r:id="rId495" xr:uid="{00000000-0004-0000-0E00-0000EE010000}"/>
    <hyperlink ref="D501" r:id="rId496" xr:uid="{00000000-0004-0000-0E00-0000EF010000}"/>
    <hyperlink ref="D502" r:id="rId497" xr:uid="{00000000-0004-0000-0E00-0000F0010000}"/>
    <hyperlink ref="D503" r:id="rId498" xr:uid="{00000000-0004-0000-0E00-0000F1010000}"/>
    <hyperlink ref="D504" r:id="rId499" xr:uid="{00000000-0004-0000-0E00-0000F2010000}"/>
    <hyperlink ref="D505" r:id="rId500" xr:uid="{00000000-0004-0000-0E00-0000F3010000}"/>
    <hyperlink ref="D506" r:id="rId501" xr:uid="{00000000-0004-0000-0E00-0000F4010000}"/>
    <hyperlink ref="D507" r:id="rId502" xr:uid="{00000000-0004-0000-0E00-0000F5010000}"/>
    <hyperlink ref="D508" r:id="rId503" xr:uid="{00000000-0004-0000-0E00-0000F6010000}"/>
    <hyperlink ref="D509" r:id="rId504" xr:uid="{00000000-0004-0000-0E00-0000F7010000}"/>
    <hyperlink ref="D510" r:id="rId505" xr:uid="{00000000-0004-0000-0E00-0000F8010000}"/>
    <hyperlink ref="D511" r:id="rId506" xr:uid="{00000000-0004-0000-0E00-0000F9010000}"/>
    <hyperlink ref="D512" r:id="rId507" xr:uid="{00000000-0004-0000-0E00-0000FA010000}"/>
    <hyperlink ref="D513" r:id="rId508" xr:uid="{00000000-0004-0000-0E00-0000FB010000}"/>
    <hyperlink ref="D514" r:id="rId509" xr:uid="{00000000-0004-0000-0E00-0000FC010000}"/>
    <hyperlink ref="D515" r:id="rId510" xr:uid="{00000000-0004-0000-0E00-0000FD010000}"/>
    <hyperlink ref="D516" r:id="rId511" xr:uid="{00000000-0004-0000-0E00-0000FE010000}"/>
    <hyperlink ref="D517" r:id="rId512" xr:uid="{00000000-0004-0000-0E00-0000FF010000}"/>
    <hyperlink ref="D518" r:id="rId513" xr:uid="{00000000-0004-0000-0E00-000000020000}"/>
    <hyperlink ref="D519" r:id="rId514" xr:uid="{00000000-0004-0000-0E00-000001020000}"/>
    <hyperlink ref="D520" r:id="rId515" xr:uid="{00000000-0004-0000-0E00-000002020000}"/>
    <hyperlink ref="D521" r:id="rId516" xr:uid="{00000000-0004-0000-0E00-000003020000}"/>
    <hyperlink ref="D522" r:id="rId517" xr:uid="{00000000-0004-0000-0E00-000004020000}"/>
    <hyperlink ref="D523" r:id="rId518" xr:uid="{00000000-0004-0000-0E00-000005020000}"/>
    <hyperlink ref="D524" r:id="rId519" xr:uid="{00000000-0004-0000-0E00-000006020000}"/>
    <hyperlink ref="D525" r:id="rId520" xr:uid="{00000000-0004-0000-0E00-000007020000}"/>
    <hyperlink ref="D526" r:id="rId521" xr:uid="{00000000-0004-0000-0E00-000008020000}"/>
    <hyperlink ref="D527" r:id="rId522" xr:uid="{00000000-0004-0000-0E00-000009020000}"/>
    <hyperlink ref="D528" r:id="rId523" xr:uid="{00000000-0004-0000-0E00-00000A020000}"/>
    <hyperlink ref="D529" r:id="rId524" xr:uid="{00000000-0004-0000-0E00-00000B020000}"/>
    <hyperlink ref="D530" r:id="rId525" xr:uid="{00000000-0004-0000-0E00-00000C020000}"/>
    <hyperlink ref="D531" r:id="rId526" xr:uid="{00000000-0004-0000-0E00-00000D020000}"/>
    <hyperlink ref="D532" r:id="rId527" xr:uid="{00000000-0004-0000-0E00-00000E020000}"/>
    <hyperlink ref="D533" r:id="rId528" xr:uid="{00000000-0004-0000-0E00-00000F020000}"/>
    <hyperlink ref="D534" r:id="rId529" xr:uid="{00000000-0004-0000-0E00-000010020000}"/>
    <hyperlink ref="D535" r:id="rId530" xr:uid="{00000000-0004-0000-0E00-000011020000}"/>
    <hyperlink ref="D536" r:id="rId531" xr:uid="{00000000-0004-0000-0E00-000012020000}"/>
    <hyperlink ref="D537" r:id="rId532" xr:uid="{00000000-0004-0000-0E00-000013020000}"/>
    <hyperlink ref="D538" r:id="rId533" xr:uid="{00000000-0004-0000-0E00-000014020000}"/>
    <hyperlink ref="D539" r:id="rId534" xr:uid="{00000000-0004-0000-0E00-000015020000}"/>
    <hyperlink ref="D540" r:id="rId535" xr:uid="{00000000-0004-0000-0E00-000016020000}"/>
    <hyperlink ref="D541" r:id="rId536" xr:uid="{00000000-0004-0000-0E00-000017020000}"/>
    <hyperlink ref="D542" r:id="rId537" xr:uid="{00000000-0004-0000-0E00-000018020000}"/>
    <hyperlink ref="D543" r:id="rId538" xr:uid="{00000000-0004-0000-0E00-000019020000}"/>
    <hyperlink ref="D544" r:id="rId539" xr:uid="{00000000-0004-0000-0E00-00001A020000}"/>
    <hyperlink ref="D545" r:id="rId540" xr:uid="{00000000-0004-0000-0E00-00001B020000}"/>
    <hyperlink ref="D546" r:id="rId541" xr:uid="{00000000-0004-0000-0E00-00001C020000}"/>
    <hyperlink ref="D547" r:id="rId542" xr:uid="{00000000-0004-0000-0E00-00001D020000}"/>
    <hyperlink ref="D548" r:id="rId543" xr:uid="{00000000-0004-0000-0E00-00001E020000}"/>
    <hyperlink ref="D549" r:id="rId544" xr:uid="{00000000-0004-0000-0E00-00001F020000}"/>
    <hyperlink ref="D550" r:id="rId545" xr:uid="{00000000-0004-0000-0E00-000020020000}"/>
    <hyperlink ref="D551" r:id="rId546" xr:uid="{00000000-0004-0000-0E00-000021020000}"/>
    <hyperlink ref="D552" r:id="rId547" xr:uid="{00000000-0004-0000-0E00-000022020000}"/>
    <hyperlink ref="D553" r:id="rId548" xr:uid="{00000000-0004-0000-0E00-000023020000}"/>
    <hyperlink ref="D554" r:id="rId549" xr:uid="{00000000-0004-0000-0E00-000024020000}"/>
    <hyperlink ref="D555" r:id="rId550" xr:uid="{00000000-0004-0000-0E00-000025020000}"/>
    <hyperlink ref="D556" r:id="rId551" xr:uid="{00000000-0004-0000-0E00-000026020000}"/>
    <hyperlink ref="D557" r:id="rId552" xr:uid="{00000000-0004-0000-0E00-000027020000}"/>
    <hyperlink ref="D558" r:id="rId553" xr:uid="{00000000-0004-0000-0E00-000028020000}"/>
    <hyperlink ref="D559" r:id="rId554" xr:uid="{00000000-0004-0000-0E00-000029020000}"/>
    <hyperlink ref="D560" r:id="rId555" xr:uid="{00000000-0004-0000-0E00-00002A020000}"/>
    <hyperlink ref="D561" r:id="rId556" xr:uid="{00000000-0004-0000-0E00-00002B020000}"/>
    <hyperlink ref="D562" r:id="rId557" xr:uid="{00000000-0004-0000-0E00-00002C020000}"/>
    <hyperlink ref="D563" r:id="rId558" xr:uid="{00000000-0004-0000-0E00-00002D020000}"/>
    <hyperlink ref="D564" r:id="rId559" xr:uid="{00000000-0004-0000-0E00-00002E020000}"/>
    <hyperlink ref="D565" r:id="rId560" xr:uid="{00000000-0004-0000-0E00-00002F020000}"/>
    <hyperlink ref="D566" r:id="rId561" xr:uid="{00000000-0004-0000-0E00-000030020000}"/>
    <hyperlink ref="D567" r:id="rId562" xr:uid="{00000000-0004-0000-0E00-000031020000}"/>
    <hyperlink ref="D568" r:id="rId563" xr:uid="{00000000-0004-0000-0E00-000032020000}"/>
    <hyperlink ref="D569" r:id="rId564" xr:uid="{00000000-0004-0000-0E00-000033020000}"/>
    <hyperlink ref="D570" r:id="rId565" xr:uid="{00000000-0004-0000-0E00-000034020000}"/>
    <hyperlink ref="D571" r:id="rId566" xr:uid="{00000000-0004-0000-0E00-000035020000}"/>
    <hyperlink ref="D572" r:id="rId567" xr:uid="{00000000-0004-0000-0E00-000036020000}"/>
    <hyperlink ref="D573" r:id="rId568" xr:uid="{00000000-0004-0000-0E00-000037020000}"/>
    <hyperlink ref="D574" r:id="rId569" xr:uid="{00000000-0004-0000-0E00-000038020000}"/>
    <hyperlink ref="D575" r:id="rId570" xr:uid="{00000000-0004-0000-0E00-000039020000}"/>
    <hyperlink ref="D576" r:id="rId571" xr:uid="{00000000-0004-0000-0E00-00003A020000}"/>
    <hyperlink ref="D577" r:id="rId572" xr:uid="{00000000-0004-0000-0E00-00003B020000}"/>
    <hyperlink ref="D578" r:id="rId573" xr:uid="{00000000-0004-0000-0E00-00003C020000}"/>
    <hyperlink ref="D579" r:id="rId574" xr:uid="{00000000-0004-0000-0E00-00003D020000}"/>
    <hyperlink ref="D580" r:id="rId575" xr:uid="{00000000-0004-0000-0E00-00003E020000}"/>
    <hyperlink ref="D581" r:id="rId576" xr:uid="{00000000-0004-0000-0E00-00003F020000}"/>
    <hyperlink ref="D582" r:id="rId577" xr:uid="{00000000-0004-0000-0E00-000040020000}"/>
    <hyperlink ref="D583" r:id="rId578" xr:uid="{00000000-0004-0000-0E00-000041020000}"/>
    <hyperlink ref="D584" r:id="rId579" xr:uid="{00000000-0004-0000-0E00-000042020000}"/>
    <hyperlink ref="D585" r:id="rId580" xr:uid="{00000000-0004-0000-0E00-000043020000}"/>
    <hyperlink ref="D586" r:id="rId581" xr:uid="{00000000-0004-0000-0E00-000044020000}"/>
    <hyperlink ref="D587" r:id="rId582" xr:uid="{00000000-0004-0000-0E00-000045020000}"/>
    <hyperlink ref="D588" r:id="rId583" xr:uid="{00000000-0004-0000-0E00-000046020000}"/>
    <hyperlink ref="D589" r:id="rId584" xr:uid="{00000000-0004-0000-0E00-000047020000}"/>
    <hyperlink ref="D590" r:id="rId585" xr:uid="{00000000-0004-0000-0E00-000048020000}"/>
    <hyperlink ref="D591" r:id="rId586" xr:uid="{00000000-0004-0000-0E00-000049020000}"/>
    <hyperlink ref="D592" r:id="rId587" xr:uid="{00000000-0004-0000-0E00-00004A020000}"/>
    <hyperlink ref="D593" r:id="rId588" xr:uid="{00000000-0004-0000-0E00-00004B020000}"/>
    <hyperlink ref="D594" r:id="rId589" xr:uid="{00000000-0004-0000-0E00-00004C020000}"/>
    <hyperlink ref="D595" r:id="rId590" xr:uid="{00000000-0004-0000-0E00-00004D020000}"/>
    <hyperlink ref="D596" r:id="rId591" xr:uid="{00000000-0004-0000-0E00-00004E020000}"/>
    <hyperlink ref="D598" r:id="rId592" xr:uid="{00000000-0004-0000-0E00-00004F020000}"/>
    <hyperlink ref="D599" r:id="rId593" xr:uid="{00000000-0004-0000-0E00-000050020000}"/>
    <hyperlink ref="D600" r:id="rId594" xr:uid="{00000000-0004-0000-0E00-000051020000}"/>
    <hyperlink ref="D601" r:id="rId595" xr:uid="{00000000-0004-0000-0E00-000052020000}"/>
    <hyperlink ref="D602" r:id="rId596" xr:uid="{00000000-0004-0000-0E00-000053020000}"/>
    <hyperlink ref="D603" r:id="rId597" xr:uid="{00000000-0004-0000-0E00-000054020000}"/>
    <hyperlink ref="D604" r:id="rId598" xr:uid="{00000000-0004-0000-0E00-000055020000}"/>
    <hyperlink ref="D605" r:id="rId599" xr:uid="{00000000-0004-0000-0E00-000056020000}"/>
    <hyperlink ref="D606" r:id="rId600" xr:uid="{00000000-0004-0000-0E00-000057020000}"/>
    <hyperlink ref="D607" r:id="rId601" xr:uid="{00000000-0004-0000-0E00-000058020000}"/>
    <hyperlink ref="D608" r:id="rId602" xr:uid="{00000000-0004-0000-0E00-000059020000}"/>
    <hyperlink ref="D609" r:id="rId603" xr:uid="{00000000-0004-0000-0E00-00005A020000}"/>
    <hyperlink ref="D610" r:id="rId604" xr:uid="{00000000-0004-0000-0E00-00005B020000}"/>
    <hyperlink ref="D611" r:id="rId605" xr:uid="{00000000-0004-0000-0E00-00005C020000}"/>
  </hyperlinks>
  <printOptions horizontalCentered="1"/>
  <pageMargins left="0.4" right="0.4" top="0.5" bottom="0.6" header="0.5" footer="0.5"/>
  <pageSetup paperSize="9" fitToHeight="0" orientation="landscape"/>
  <headerFooter>
    <oddFooter>&amp;C第 &amp;P 頁，共 &amp;N 頁</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6A4C93"/>
    <pageSetUpPr fitToPage="1"/>
  </sheetPr>
  <dimension ref="A1:D493"/>
  <sheetViews>
    <sheetView workbookViewId="0">
      <pane ySplit="4" topLeftCell="A5" activePane="bottomLeft" state="frozen"/>
      <selection pane="bottomLeft"/>
    </sheetView>
  </sheetViews>
  <sheetFormatPr defaultRowHeight="13.8"/>
  <cols>
    <col min="1" max="1" width="18" customWidth="1"/>
    <col min="2" max="2" width="14" customWidth="1"/>
    <col min="3" max="3" width="10" customWidth="1"/>
    <col min="4" max="4" width="100" customWidth="1"/>
  </cols>
  <sheetData>
    <row r="1" spans="1:4" ht="27.15" customHeight="1">
      <c r="A1" s="73" t="s">
        <v>3677</v>
      </c>
      <c r="B1" s="71"/>
      <c r="C1" s="71"/>
      <c r="D1" s="71"/>
    </row>
    <row r="2" spans="1:4" ht="18.45" customHeight="1">
      <c r="A2" s="72" t="s">
        <v>3678</v>
      </c>
      <c r="B2" s="71"/>
      <c r="C2" s="71"/>
      <c r="D2" s="71"/>
    </row>
    <row r="4" spans="1:4" ht="24" customHeight="1">
      <c r="A4" s="57" t="s">
        <v>173</v>
      </c>
      <c r="B4" s="57" t="s">
        <v>3679</v>
      </c>
      <c r="C4" s="57" t="s">
        <v>3680</v>
      </c>
      <c r="D4" s="57" t="s">
        <v>3681</v>
      </c>
    </row>
    <row r="5" spans="1:4" ht="61.95" customHeight="1">
      <c r="A5" s="22" t="s">
        <v>3682</v>
      </c>
      <c r="B5" s="22" t="s">
        <v>648</v>
      </c>
      <c r="C5" s="22" t="s">
        <v>26</v>
      </c>
      <c r="D5" s="2" t="s">
        <v>3683</v>
      </c>
    </row>
    <row r="6" spans="1:4" ht="33" customHeight="1">
      <c r="A6" s="22" t="s">
        <v>3682</v>
      </c>
      <c r="B6" s="22" t="s">
        <v>648</v>
      </c>
      <c r="C6" s="22" t="s">
        <v>26</v>
      </c>
      <c r="D6" s="2" t="s">
        <v>3684</v>
      </c>
    </row>
    <row r="7" spans="1:4" ht="61.95" customHeight="1">
      <c r="A7" s="22" t="s">
        <v>3682</v>
      </c>
      <c r="B7" s="22" t="s">
        <v>648</v>
      </c>
      <c r="C7" s="22" t="s">
        <v>26</v>
      </c>
      <c r="D7" s="2" t="s">
        <v>3685</v>
      </c>
    </row>
    <row r="8" spans="1:4" ht="61.95" customHeight="1">
      <c r="A8" s="22" t="s">
        <v>3682</v>
      </c>
      <c r="B8" s="22" t="s">
        <v>648</v>
      </c>
      <c r="C8" s="22" t="s">
        <v>26</v>
      </c>
      <c r="D8" s="2" t="s">
        <v>3686</v>
      </c>
    </row>
    <row r="9" spans="1:4" ht="76.5" customHeight="1">
      <c r="A9" s="22" t="s">
        <v>3682</v>
      </c>
      <c r="B9" s="22" t="s">
        <v>648</v>
      </c>
      <c r="C9" s="22" t="s">
        <v>26</v>
      </c>
      <c r="D9" s="2" t="s">
        <v>3687</v>
      </c>
    </row>
    <row r="10" spans="1:4" ht="47.55" customHeight="1">
      <c r="A10" s="22" t="s">
        <v>3682</v>
      </c>
      <c r="B10" s="22" t="s">
        <v>648</v>
      </c>
      <c r="C10" s="22" t="s">
        <v>26</v>
      </c>
      <c r="D10" s="2" t="s">
        <v>3688</v>
      </c>
    </row>
    <row r="11" spans="1:4" ht="47.55" customHeight="1">
      <c r="A11" s="22" t="s">
        <v>3682</v>
      </c>
      <c r="B11" s="22" t="s">
        <v>648</v>
      </c>
      <c r="C11" s="22" t="s">
        <v>26</v>
      </c>
      <c r="D11" s="2" t="s">
        <v>3689</v>
      </c>
    </row>
    <row r="12" spans="1:4" ht="33" customHeight="1">
      <c r="A12" s="22" t="s">
        <v>3682</v>
      </c>
      <c r="B12" s="22" t="s">
        <v>648</v>
      </c>
      <c r="C12" s="22" t="s">
        <v>26</v>
      </c>
      <c r="D12" s="2" t="s">
        <v>3690</v>
      </c>
    </row>
    <row r="13" spans="1:4" ht="33" customHeight="1">
      <c r="A13" s="22" t="s">
        <v>3682</v>
      </c>
      <c r="B13" s="22" t="s">
        <v>648</v>
      </c>
      <c r="C13" s="22" t="s">
        <v>26</v>
      </c>
      <c r="D13" s="2" t="s">
        <v>3691</v>
      </c>
    </row>
    <row r="14" spans="1:4" ht="47.55" customHeight="1">
      <c r="A14" s="22" t="s">
        <v>3682</v>
      </c>
      <c r="B14" s="22" t="s">
        <v>648</v>
      </c>
      <c r="C14" s="22" t="s">
        <v>26</v>
      </c>
      <c r="D14" s="2" t="s">
        <v>3692</v>
      </c>
    </row>
    <row r="15" spans="1:4" ht="33" customHeight="1">
      <c r="A15" s="22" t="s">
        <v>3682</v>
      </c>
      <c r="B15" s="22" t="s">
        <v>648</v>
      </c>
      <c r="C15" s="22" t="s">
        <v>26</v>
      </c>
      <c r="D15" s="2" t="s">
        <v>3693</v>
      </c>
    </row>
    <row r="16" spans="1:4" ht="33" customHeight="1">
      <c r="A16" s="22" t="s">
        <v>3682</v>
      </c>
      <c r="B16" s="22" t="s">
        <v>648</v>
      </c>
      <c r="C16" s="64" t="s">
        <v>3694</v>
      </c>
      <c r="D16" s="2" t="s">
        <v>3695</v>
      </c>
    </row>
    <row r="17" spans="1:4" ht="33" customHeight="1">
      <c r="A17" s="22" t="s">
        <v>3682</v>
      </c>
      <c r="B17" s="22" t="s">
        <v>648</v>
      </c>
      <c r="C17" s="64" t="s">
        <v>3694</v>
      </c>
      <c r="D17" s="2" t="s">
        <v>3696</v>
      </c>
    </row>
    <row r="18" spans="1:4" ht="33" customHeight="1">
      <c r="A18" s="22" t="s">
        <v>3682</v>
      </c>
      <c r="B18" s="22" t="s">
        <v>648</v>
      </c>
      <c r="C18" s="64" t="s">
        <v>3694</v>
      </c>
      <c r="D18" s="2" t="s">
        <v>3697</v>
      </c>
    </row>
    <row r="19" spans="1:4" ht="33" customHeight="1">
      <c r="A19" s="22" t="s">
        <v>3682</v>
      </c>
      <c r="B19" s="22" t="s">
        <v>648</v>
      </c>
      <c r="C19" s="64" t="s">
        <v>3694</v>
      </c>
      <c r="D19" s="2" t="s">
        <v>3698</v>
      </c>
    </row>
    <row r="20" spans="1:4" ht="33" customHeight="1">
      <c r="A20" s="22" t="s">
        <v>3682</v>
      </c>
      <c r="B20" s="22" t="s">
        <v>648</v>
      </c>
      <c r="C20" s="64" t="s">
        <v>3694</v>
      </c>
      <c r="D20" s="2" t="s">
        <v>3699</v>
      </c>
    </row>
    <row r="21" spans="1:4" ht="47.55" customHeight="1">
      <c r="A21" s="22" t="s">
        <v>3682</v>
      </c>
      <c r="B21" s="22" t="s">
        <v>648</v>
      </c>
      <c r="C21" s="64" t="s">
        <v>3694</v>
      </c>
      <c r="D21" s="2" t="s">
        <v>3700</v>
      </c>
    </row>
    <row r="22" spans="1:4" ht="47.55" customHeight="1">
      <c r="A22" s="22" t="s">
        <v>3682</v>
      </c>
      <c r="B22" s="22" t="s">
        <v>648</v>
      </c>
      <c r="C22" s="64" t="s">
        <v>3694</v>
      </c>
      <c r="D22" s="2" t="s">
        <v>3701</v>
      </c>
    </row>
    <row r="23" spans="1:4" ht="33" customHeight="1">
      <c r="A23" s="22" t="s">
        <v>3682</v>
      </c>
      <c r="B23" s="22" t="s">
        <v>648</v>
      </c>
      <c r="C23" s="64" t="s">
        <v>3694</v>
      </c>
      <c r="D23" s="2" t="s">
        <v>3702</v>
      </c>
    </row>
    <row r="24" spans="1:4" ht="33" customHeight="1">
      <c r="A24" s="22" t="s">
        <v>3682</v>
      </c>
      <c r="B24" s="22" t="s">
        <v>648</v>
      </c>
      <c r="C24" s="64" t="s">
        <v>3694</v>
      </c>
      <c r="D24" s="2" t="s">
        <v>3703</v>
      </c>
    </row>
    <row r="25" spans="1:4" ht="61.95" customHeight="1">
      <c r="A25" s="22" t="s">
        <v>3682</v>
      </c>
      <c r="B25" s="22" t="s">
        <v>648</v>
      </c>
      <c r="C25" s="65" t="s">
        <v>3704</v>
      </c>
      <c r="D25" s="2" t="s">
        <v>3705</v>
      </c>
    </row>
    <row r="26" spans="1:4" ht="76.5" customHeight="1">
      <c r="A26" s="22" t="s">
        <v>3682</v>
      </c>
      <c r="B26" s="22" t="s">
        <v>648</v>
      </c>
      <c r="C26" s="65" t="s">
        <v>3704</v>
      </c>
      <c r="D26" s="2" t="s">
        <v>3706</v>
      </c>
    </row>
    <row r="27" spans="1:4" ht="134.55000000000001" customHeight="1">
      <c r="A27" s="22" t="s">
        <v>3682</v>
      </c>
      <c r="B27" s="22" t="s">
        <v>648</v>
      </c>
      <c r="C27" s="65" t="s">
        <v>3704</v>
      </c>
      <c r="D27" s="2" t="s">
        <v>3707</v>
      </c>
    </row>
    <row r="28" spans="1:4" ht="105.45" customHeight="1">
      <c r="A28" s="22" t="s">
        <v>3682</v>
      </c>
      <c r="B28" s="22" t="s">
        <v>648</v>
      </c>
      <c r="C28" s="65" t="s">
        <v>3704</v>
      </c>
      <c r="D28" s="2" t="s">
        <v>3708</v>
      </c>
    </row>
    <row r="29" spans="1:4" ht="61.95" customHeight="1">
      <c r="A29" s="22" t="s">
        <v>3682</v>
      </c>
      <c r="B29" s="22" t="s">
        <v>648</v>
      </c>
      <c r="C29" s="65" t="s">
        <v>3704</v>
      </c>
      <c r="D29" s="2" t="s">
        <v>3709</v>
      </c>
    </row>
    <row r="30" spans="1:4" ht="76.5" customHeight="1">
      <c r="A30" s="22" t="s">
        <v>3682</v>
      </c>
      <c r="B30" s="22" t="s">
        <v>648</v>
      </c>
      <c r="C30" s="65" t="s">
        <v>3704</v>
      </c>
      <c r="D30" s="2" t="s">
        <v>3710</v>
      </c>
    </row>
    <row r="31" spans="1:4" ht="33" customHeight="1">
      <c r="A31" s="22" t="s">
        <v>3682</v>
      </c>
      <c r="B31" s="22" t="s">
        <v>648</v>
      </c>
      <c r="C31" s="65" t="s">
        <v>3704</v>
      </c>
      <c r="D31" s="2" t="s">
        <v>3711</v>
      </c>
    </row>
    <row r="32" spans="1:4" ht="47.55" customHeight="1">
      <c r="A32" s="22" t="s">
        <v>3682</v>
      </c>
      <c r="B32" s="22" t="s">
        <v>3712</v>
      </c>
      <c r="C32" s="22" t="s">
        <v>26</v>
      </c>
      <c r="D32" s="2" t="s">
        <v>3713</v>
      </c>
    </row>
    <row r="33" spans="1:4" ht="76.5" customHeight="1">
      <c r="A33" s="22" t="s">
        <v>3682</v>
      </c>
      <c r="B33" s="22" t="s">
        <v>3712</v>
      </c>
      <c r="C33" s="22" t="s">
        <v>26</v>
      </c>
      <c r="D33" s="2" t="s">
        <v>3714</v>
      </c>
    </row>
    <row r="34" spans="1:4" ht="61.95" customHeight="1">
      <c r="A34" s="22" t="s">
        <v>3682</v>
      </c>
      <c r="B34" s="22" t="s">
        <v>3712</v>
      </c>
      <c r="C34" s="22" t="s">
        <v>26</v>
      </c>
      <c r="D34" s="2" t="s">
        <v>3715</v>
      </c>
    </row>
    <row r="35" spans="1:4" ht="47.55" customHeight="1">
      <c r="A35" s="22" t="s">
        <v>3682</v>
      </c>
      <c r="B35" s="22" t="s">
        <v>3712</v>
      </c>
      <c r="C35" s="22" t="s">
        <v>26</v>
      </c>
      <c r="D35" s="2" t="s">
        <v>3716</v>
      </c>
    </row>
    <row r="36" spans="1:4" ht="91.05" customHeight="1">
      <c r="A36" s="22" t="s">
        <v>3682</v>
      </c>
      <c r="B36" s="22" t="s">
        <v>3712</v>
      </c>
      <c r="C36" s="22" t="s">
        <v>26</v>
      </c>
      <c r="D36" s="2" t="s">
        <v>3717</v>
      </c>
    </row>
    <row r="37" spans="1:4" ht="120" customHeight="1">
      <c r="A37" s="22" t="s">
        <v>3682</v>
      </c>
      <c r="B37" s="22" t="s">
        <v>3712</v>
      </c>
      <c r="C37" s="22" t="s">
        <v>26</v>
      </c>
      <c r="D37" s="2" t="s">
        <v>3718</v>
      </c>
    </row>
    <row r="38" spans="1:4" ht="76.5" customHeight="1">
      <c r="A38" s="22" t="s">
        <v>3682</v>
      </c>
      <c r="B38" s="22" t="s">
        <v>3712</v>
      </c>
      <c r="C38" s="22" t="s">
        <v>26</v>
      </c>
      <c r="D38" s="2" t="s">
        <v>3719</v>
      </c>
    </row>
    <row r="39" spans="1:4" ht="61.95" customHeight="1">
      <c r="A39" s="22" t="s">
        <v>3682</v>
      </c>
      <c r="B39" s="22" t="s">
        <v>3712</v>
      </c>
      <c r="C39" s="22" t="s">
        <v>26</v>
      </c>
      <c r="D39" s="2" t="s">
        <v>3720</v>
      </c>
    </row>
    <row r="40" spans="1:4" ht="61.95" customHeight="1">
      <c r="A40" s="22" t="s">
        <v>3682</v>
      </c>
      <c r="B40" s="22" t="s">
        <v>3712</v>
      </c>
      <c r="C40" s="64" t="s">
        <v>3694</v>
      </c>
      <c r="D40" s="2" t="s">
        <v>3721</v>
      </c>
    </row>
    <row r="41" spans="1:4" ht="47.55" customHeight="1">
      <c r="A41" s="22" t="s">
        <v>3682</v>
      </c>
      <c r="B41" s="22" t="s">
        <v>3712</v>
      </c>
      <c r="C41" s="64" t="s">
        <v>3694</v>
      </c>
      <c r="D41" s="2" t="s">
        <v>3722</v>
      </c>
    </row>
    <row r="42" spans="1:4" ht="47.55" customHeight="1">
      <c r="A42" s="22" t="s">
        <v>3682</v>
      </c>
      <c r="B42" s="22" t="s">
        <v>3712</v>
      </c>
      <c r="C42" s="64" t="s">
        <v>3694</v>
      </c>
      <c r="D42" s="2" t="s">
        <v>3723</v>
      </c>
    </row>
    <row r="43" spans="1:4" ht="33" customHeight="1">
      <c r="A43" s="22" t="s">
        <v>3682</v>
      </c>
      <c r="B43" s="22" t="s">
        <v>3712</v>
      </c>
      <c r="C43" s="64" t="s">
        <v>3694</v>
      </c>
      <c r="D43" s="2" t="s">
        <v>3724</v>
      </c>
    </row>
    <row r="44" spans="1:4" ht="47.55" customHeight="1">
      <c r="A44" s="22" t="s">
        <v>3682</v>
      </c>
      <c r="B44" s="22" t="s">
        <v>3712</v>
      </c>
      <c r="C44" s="64" t="s">
        <v>3694</v>
      </c>
      <c r="D44" s="2" t="s">
        <v>3725</v>
      </c>
    </row>
    <row r="45" spans="1:4" ht="33" customHeight="1">
      <c r="A45" s="22" t="s">
        <v>3682</v>
      </c>
      <c r="B45" s="22" t="s">
        <v>3712</v>
      </c>
      <c r="C45" s="64" t="s">
        <v>3694</v>
      </c>
      <c r="D45" s="2" t="s">
        <v>3726</v>
      </c>
    </row>
    <row r="46" spans="1:4" ht="33" customHeight="1">
      <c r="A46" s="22" t="s">
        <v>3682</v>
      </c>
      <c r="B46" s="22" t="s">
        <v>3712</v>
      </c>
      <c r="C46" s="64" t="s">
        <v>3694</v>
      </c>
      <c r="D46" s="2" t="s">
        <v>3727</v>
      </c>
    </row>
    <row r="47" spans="1:4" ht="33" customHeight="1">
      <c r="A47" s="22" t="s">
        <v>3682</v>
      </c>
      <c r="B47" s="22" t="s">
        <v>3712</v>
      </c>
      <c r="C47" s="64" t="s">
        <v>3694</v>
      </c>
      <c r="D47" s="2" t="s">
        <v>3728</v>
      </c>
    </row>
    <row r="48" spans="1:4" ht="33" customHeight="1">
      <c r="A48" s="22" t="s">
        <v>3682</v>
      </c>
      <c r="B48" s="22" t="s">
        <v>3712</v>
      </c>
      <c r="C48" s="64" t="s">
        <v>3694</v>
      </c>
      <c r="D48" s="2" t="s">
        <v>3729</v>
      </c>
    </row>
    <row r="49" spans="1:4" ht="33" customHeight="1">
      <c r="A49" s="22" t="s">
        <v>3682</v>
      </c>
      <c r="B49" s="22" t="s">
        <v>3712</v>
      </c>
      <c r="C49" s="64" t="s">
        <v>3694</v>
      </c>
      <c r="D49" s="2" t="s">
        <v>3730</v>
      </c>
    </row>
    <row r="50" spans="1:4" ht="33" customHeight="1">
      <c r="A50" s="22" t="s">
        <v>3682</v>
      </c>
      <c r="B50" s="22" t="s">
        <v>3712</v>
      </c>
      <c r="C50" s="64" t="s">
        <v>3694</v>
      </c>
      <c r="D50" s="2" t="s">
        <v>3731</v>
      </c>
    </row>
    <row r="51" spans="1:4" ht="76.5" customHeight="1">
      <c r="A51" s="22" t="s">
        <v>3682</v>
      </c>
      <c r="B51" s="22" t="s">
        <v>3712</v>
      </c>
      <c r="C51" s="65" t="s">
        <v>3704</v>
      </c>
      <c r="D51" s="2" t="s">
        <v>3732</v>
      </c>
    </row>
    <row r="52" spans="1:4" ht="148.94999999999999" customHeight="1">
      <c r="A52" s="22" t="s">
        <v>3682</v>
      </c>
      <c r="B52" s="22" t="s">
        <v>3712</v>
      </c>
      <c r="C52" s="65" t="s">
        <v>3704</v>
      </c>
      <c r="D52" s="2" t="s">
        <v>3733</v>
      </c>
    </row>
    <row r="53" spans="1:4" ht="76.5" customHeight="1">
      <c r="A53" s="22" t="s">
        <v>3682</v>
      </c>
      <c r="B53" s="22" t="s">
        <v>3712</v>
      </c>
      <c r="C53" s="65" t="s">
        <v>3704</v>
      </c>
      <c r="D53" s="2" t="s">
        <v>3734</v>
      </c>
    </row>
    <row r="54" spans="1:4" ht="91.05" customHeight="1">
      <c r="A54" s="22" t="s">
        <v>3682</v>
      </c>
      <c r="B54" s="22" t="s">
        <v>3712</v>
      </c>
      <c r="C54" s="65" t="s">
        <v>3704</v>
      </c>
      <c r="D54" s="2" t="s">
        <v>3735</v>
      </c>
    </row>
    <row r="55" spans="1:4" ht="61.95" customHeight="1">
      <c r="A55" s="22" t="s">
        <v>3682</v>
      </c>
      <c r="B55" s="22" t="s">
        <v>3712</v>
      </c>
      <c r="C55" s="65" t="s">
        <v>3704</v>
      </c>
      <c r="D55" s="2" t="s">
        <v>3736</v>
      </c>
    </row>
    <row r="56" spans="1:4" ht="120" customHeight="1">
      <c r="A56" s="22" t="s">
        <v>3682</v>
      </c>
      <c r="B56" s="22" t="s">
        <v>3712</v>
      </c>
      <c r="C56" s="65" t="s">
        <v>3704</v>
      </c>
      <c r="D56" s="2" t="s">
        <v>3737</v>
      </c>
    </row>
    <row r="57" spans="1:4" ht="61.95" customHeight="1">
      <c r="A57" s="22" t="s">
        <v>3682</v>
      </c>
      <c r="B57" s="22" t="s">
        <v>3712</v>
      </c>
      <c r="C57" s="65" t="s">
        <v>3704</v>
      </c>
      <c r="D57" s="2" t="s">
        <v>3738</v>
      </c>
    </row>
    <row r="58" spans="1:4" ht="61.95" customHeight="1">
      <c r="A58" s="22" t="s">
        <v>3682</v>
      </c>
      <c r="B58" s="22" t="s">
        <v>3712</v>
      </c>
      <c r="C58" s="65" t="s">
        <v>3704</v>
      </c>
      <c r="D58" s="2" t="s">
        <v>3739</v>
      </c>
    </row>
    <row r="59" spans="1:4" ht="47.55" customHeight="1">
      <c r="A59" s="22" t="s">
        <v>3682</v>
      </c>
      <c r="B59" s="22" t="s">
        <v>3712</v>
      </c>
      <c r="C59" s="65" t="s">
        <v>3704</v>
      </c>
      <c r="D59" s="2" t="s">
        <v>3740</v>
      </c>
    </row>
    <row r="60" spans="1:4" ht="61.95" customHeight="1">
      <c r="A60" s="22" t="s">
        <v>3682</v>
      </c>
      <c r="B60" s="22" t="s">
        <v>3712</v>
      </c>
      <c r="C60" s="65" t="s">
        <v>3704</v>
      </c>
      <c r="D60" s="2" t="s">
        <v>3741</v>
      </c>
    </row>
    <row r="61" spans="1:4" ht="47.55" customHeight="1">
      <c r="A61" s="22" t="s">
        <v>3682</v>
      </c>
      <c r="B61" s="22" t="s">
        <v>3712</v>
      </c>
      <c r="C61" s="65" t="s">
        <v>3704</v>
      </c>
      <c r="D61" s="2" t="s">
        <v>3742</v>
      </c>
    </row>
    <row r="62" spans="1:4" ht="61.95" customHeight="1">
      <c r="A62" s="22" t="s">
        <v>3682</v>
      </c>
      <c r="B62" s="22" t="s">
        <v>377</v>
      </c>
      <c r="C62" s="22" t="s">
        <v>26</v>
      </c>
      <c r="D62" s="2" t="s">
        <v>3743</v>
      </c>
    </row>
    <row r="63" spans="1:4" ht="47.55" customHeight="1">
      <c r="A63" s="22" t="s">
        <v>3682</v>
      </c>
      <c r="B63" s="22" t="s">
        <v>377</v>
      </c>
      <c r="C63" s="22" t="s">
        <v>26</v>
      </c>
      <c r="D63" s="2" t="s">
        <v>3744</v>
      </c>
    </row>
    <row r="64" spans="1:4" ht="134.55000000000001" customHeight="1">
      <c r="A64" s="22" t="s">
        <v>3682</v>
      </c>
      <c r="B64" s="22" t="s">
        <v>377</v>
      </c>
      <c r="C64" s="22" t="s">
        <v>26</v>
      </c>
      <c r="D64" s="2" t="s">
        <v>3745</v>
      </c>
    </row>
    <row r="65" spans="1:4" ht="76.5" customHeight="1">
      <c r="A65" s="22" t="s">
        <v>3682</v>
      </c>
      <c r="B65" s="22" t="s">
        <v>377</v>
      </c>
      <c r="C65" s="22" t="s">
        <v>26</v>
      </c>
      <c r="D65" s="2" t="s">
        <v>3746</v>
      </c>
    </row>
    <row r="66" spans="1:4" ht="105.45" customHeight="1">
      <c r="A66" s="22" t="s">
        <v>3682</v>
      </c>
      <c r="B66" s="22" t="s">
        <v>377</v>
      </c>
      <c r="C66" s="22" t="s">
        <v>26</v>
      </c>
      <c r="D66" s="2" t="s">
        <v>3747</v>
      </c>
    </row>
    <row r="67" spans="1:4" ht="33" customHeight="1">
      <c r="A67" s="22" t="s">
        <v>3682</v>
      </c>
      <c r="B67" s="22" t="s">
        <v>377</v>
      </c>
      <c r="C67" s="22" t="s">
        <v>26</v>
      </c>
      <c r="D67" s="2" t="s">
        <v>3748</v>
      </c>
    </row>
    <row r="68" spans="1:4" ht="61.95" customHeight="1">
      <c r="A68" s="22" t="s">
        <v>3682</v>
      </c>
      <c r="B68" s="22" t="s">
        <v>377</v>
      </c>
      <c r="C68" s="22" t="s">
        <v>26</v>
      </c>
      <c r="D68" s="2" t="s">
        <v>3749</v>
      </c>
    </row>
    <row r="69" spans="1:4" ht="47.55" customHeight="1">
      <c r="A69" s="22" t="s">
        <v>3682</v>
      </c>
      <c r="B69" s="22" t="s">
        <v>377</v>
      </c>
      <c r="C69" s="64" t="s">
        <v>3694</v>
      </c>
      <c r="D69" s="2" t="s">
        <v>3750</v>
      </c>
    </row>
    <row r="70" spans="1:4" ht="47.55" customHeight="1">
      <c r="A70" s="22" t="s">
        <v>3682</v>
      </c>
      <c r="B70" s="22" t="s">
        <v>377</v>
      </c>
      <c r="C70" s="64" t="s">
        <v>3694</v>
      </c>
      <c r="D70" s="2" t="s">
        <v>3751</v>
      </c>
    </row>
    <row r="71" spans="1:4" ht="47.55" customHeight="1">
      <c r="A71" s="22" t="s">
        <v>3682</v>
      </c>
      <c r="B71" s="22" t="s">
        <v>377</v>
      </c>
      <c r="C71" s="64" t="s">
        <v>3694</v>
      </c>
      <c r="D71" s="2" t="s">
        <v>3752</v>
      </c>
    </row>
    <row r="72" spans="1:4" ht="47.55" customHeight="1">
      <c r="A72" s="22" t="s">
        <v>3682</v>
      </c>
      <c r="B72" s="22" t="s">
        <v>377</v>
      </c>
      <c r="C72" s="64" t="s">
        <v>3694</v>
      </c>
      <c r="D72" s="2" t="s">
        <v>3753</v>
      </c>
    </row>
    <row r="73" spans="1:4" ht="33" customHeight="1">
      <c r="A73" s="22" t="s">
        <v>3682</v>
      </c>
      <c r="B73" s="22" t="s">
        <v>377</v>
      </c>
      <c r="C73" s="64" t="s">
        <v>3694</v>
      </c>
      <c r="D73" s="2" t="s">
        <v>3754</v>
      </c>
    </row>
    <row r="74" spans="1:4" ht="33" customHeight="1">
      <c r="A74" s="22" t="s">
        <v>3682</v>
      </c>
      <c r="B74" s="22" t="s">
        <v>377</v>
      </c>
      <c r="C74" s="64" t="s">
        <v>3694</v>
      </c>
      <c r="D74" s="2" t="s">
        <v>3755</v>
      </c>
    </row>
    <row r="75" spans="1:4" ht="47.55" customHeight="1">
      <c r="A75" s="22" t="s">
        <v>3682</v>
      </c>
      <c r="B75" s="22" t="s">
        <v>377</v>
      </c>
      <c r="C75" s="64" t="s">
        <v>3694</v>
      </c>
      <c r="D75" s="2" t="s">
        <v>3756</v>
      </c>
    </row>
    <row r="76" spans="1:4" ht="33" customHeight="1">
      <c r="A76" s="22" t="s">
        <v>3682</v>
      </c>
      <c r="B76" s="22" t="s">
        <v>377</v>
      </c>
      <c r="C76" s="64" t="s">
        <v>3694</v>
      </c>
      <c r="D76" s="2" t="s">
        <v>3757</v>
      </c>
    </row>
    <row r="77" spans="1:4" ht="18.45" customHeight="1">
      <c r="A77" s="22" t="s">
        <v>3682</v>
      </c>
      <c r="B77" s="22" t="s">
        <v>377</v>
      </c>
      <c r="C77" s="64" t="s">
        <v>3694</v>
      </c>
      <c r="D77" s="2" t="s">
        <v>3758</v>
      </c>
    </row>
    <row r="78" spans="1:4" ht="33" customHeight="1">
      <c r="A78" s="22" t="s">
        <v>3682</v>
      </c>
      <c r="B78" s="22" t="s">
        <v>377</v>
      </c>
      <c r="C78" s="64" t="s">
        <v>3694</v>
      </c>
      <c r="D78" s="2" t="s">
        <v>3759</v>
      </c>
    </row>
    <row r="79" spans="1:4" ht="91.05" customHeight="1">
      <c r="A79" s="22" t="s">
        <v>3682</v>
      </c>
      <c r="B79" s="22" t="s">
        <v>377</v>
      </c>
      <c r="C79" s="65" t="s">
        <v>3704</v>
      </c>
      <c r="D79" s="2" t="s">
        <v>3760</v>
      </c>
    </row>
    <row r="80" spans="1:4" ht="76.5" customHeight="1">
      <c r="A80" s="22" t="s">
        <v>3682</v>
      </c>
      <c r="B80" s="22" t="s">
        <v>377</v>
      </c>
      <c r="C80" s="65" t="s">
        <v>3704</v>
      </c>
      <c r="D80" s="2" t="s">
        <v>3761</v>
      </c>
    </row>
    <row r="81" spans="1:4" ht="91.05" customHeight="1">
      <c r="A81" s="22" t="s">
        <v>3682</v>
      </c>
      <c r="B81" s="22" t="s">
        <v>377</v>
      </c>
      <c r="C81" s="65" t="s">
        <v>3704</v>
      </c>
      <c r="D81" s="2" t="s">
        <v>3762</v>
      </c>
    </row>
    <row r="82" spans="1:4" ht="160.05000000000001" customHeight="1">
      <c r="A82" s="22" t="s">
        <v>3682</v>
      </c>
      <c r="B82" s="22" t="s">
        <v>377</v>
      </c>
      <c r="C82" s="65" t="s">
        <v>3704</v>
      </c>
      <c r="D82" s="2" t="s">
        <v>3763</v>
      </c>
    </row>
    <row r="83" spans="1:4" ht="76.5" customHeight="1">
      <c r="A83" s="22" t="s">
        <v>3682</v>
      </c>
      <c r="B83" s="22" t="s">
        <v>377</v>
      </c>
      <c r="C83" s="65" t="s">
        <v>3704</v>
      </c>
      <c r="D83" s="2" t="s">
        <v>3764</v>
      </c>
    </row>
    <row r="84" spans="1:4" ht="76.5" customHeight="1">
      <c r="A84" s="22" t="s">
        <v>3682</v>
      </c>
      <c r="B84" s="22" t="s">
        <v>377</v>
      </c>
      <c r="C84" s="65" t="s">
        <v>3704</v>
      </c>
      <c r="D84" s="2" t="s">
        <v>3765</v>
      </c>
    </row>
    <row r="85" spans="1:4" ht="76.5" customHeight="1">
      <c r="A85" s="22" t="s">
        <v>3682</v>
      </c>
      <c r="B85" s="22" t="s">
        <v>377</v>
      </c>
      <c r="C85" s="65" t="s">
        <v>3704</v>
      </c>
      <c r="D85" s="2" t="s">
        <v>3766</v>
      </c>
    </row>
    <row r="86" spans="1:4" ht="47.55" customHeight="1">
      <c r="A86" s="66" t="s">
        <v>3767</v>
      </c>
      <c r="B86" s="66" t="s">
        <v>3768</v>
      </c>
      <c r="C86" s="66" t="s">
        <v>26</v>
      </c>
      <c r="D86" s="67" t="s">
        <v>3769</v>
      </c>
    </row>
    <row r="87" spans="1:4" ht="61.95" customHeight="1">
      <c r="A87" s="66" t="s">
        <v>3767</v>
      </c>
      <c r="B87" s="66" t="s">
        <v>3768</v>
      </c>
      <c r="C87" s="66" t="s">
        <v>26</v>
      </c>
      <c r="D87" s="67" t="s">
        <v>3770</v>
      </c>
    </row>
    <row r="88" spans="1:4" ht="47.55" customHeight="1">
      <c r="A88" s="66" t="s">
        <v>3767</v>
      </c>
      <c r="B88" s="66" t="s">
        <v>3768</v>
      </c>
      <c r="C88" s="66" t="s">
        <v>26</v>
      </c>
      <c r="D88" s="67" t="s">
        <v>3771</v>
      </c>
    </row>
    <row r="89" spans="1:4" ht="47.55" customHeight="1">
      <c r="A89" s="66" t="s">
        <v>3767</v>
      </c>
      <c r="B89" s="66" t="s">
        <v>3768</v>
      </c>
      <c r="C89" s="66" t="s">
        <v>26</v>
      </c>
      <c r="D89" s="67" t="s">
        <v>3772</v>
      </c>
    </row>
    <row r="90" spans="1:4" ht="18.45" customHeight="1">
      <c r="A90" s="66" t="s">
        <v>3767</v>
      </c>
      <c r="B90" s="66" t="s">
        <v>3768</v>
      </c>
      <c r="C90" s="66" t="s">
        <v>26</v>
      </c>
      <c r="D90" s="67" t="s">
        <v>3773</v>
      </c>
    </row>
    <row r="91" spans="1:4" ht="33" customHeight="1">
      <c r="A91" s="66" t="s">
        <v>3767</v>
      </c>
      <c r="B91" s="66" t="s">
        <v>3768</v>
      </c>
      <c r="C91" s="66" t="s">
        <v>26</v>
      </c>
      <c r="D91" s="67" t="s">
        <v>3774</v>
      </c>
    </row>
    <row r="92" spans="1:4" ht="33" customHeight="1">
      <c r="A92" s="66" t="s">
        <v>3767</v>
      </c>
      <c r="B92" s="66" t="s">
        <v>3768</v>
      </c>
      <c r="C92" s="66" t="s">
        <v>26</v>
      </c>
      <c r="D92" s="67" t="s">
        <v>3775</v>
      </c>
    </row>
    <row r="93" spans="1:4" ht="33" customHeight="1">
      <c r="A93" s="66" t="s">
        <v>3767</v>
      </c>
      <c r="B93" s="66" t="s">
        <v>3768</v>
      </c>
      <c r="C93" s="68" t="s">
        <v>3694</v>
      </c>
      <c r="D93" s="67" t="s">
        <v>3776</v>
      </c>
    </row>
    <row r="94" spans="1:4" ht="33" customHeight="1">
      <c r="A94" s="66" t="s">
        <v>3767</v>
      </c>
      <c r="B94" s="66" t="s">
        <v>3768</v>
      </c>
      <c r="C94" s="68" t="s">
        <v>3694</v>
      </c>
      <c r="D94" s="67" t="s">
        <v>3777</v>
      </c>
    </row>
    <row r="95" spans="1:4" ht="47.55" customHeight="1">
      <c r="A95" s="66" t="s">
        <v>3767</v>
      </c>
      <c r="B95" s="66" t="s">
        <v>3768</v>
      </c>
      <c r="C95" s="68" t="s">
        <v>3694</v>
      </c>
      <c r="D95" s="67" t="s">
        <v>3778</v>
      </c>
    </row>
    <row r="96" spans="1:4" ht="33" customHeight="1">
      <c r="A96" s="66" t="s">
        <v>3767</v>
      </c>
      <c r="B96" s="66" t="s">
        <v>3768</v>
      </c>
      <c r="C96" s="68" t="s">
        <v>3694</v>
      </c>
      <c r="D96" s="67" t="s">
        <v>3779</v>
      </c>
    </row>
    <row r="97" spans="1:4" ht="33" customHeight="1">
      <c r="A97" s="66" t="s">
        <v>3767</v>
      </c>
      <c r="B97" s="66" t="s">
        <v>3768</v>
      </c>
      <c r="C97" s="68" t="s">
        <v>3694</v>
      </c>
      <c r="D97" s="67" t="s">
        <v>3780</v>
      </c>
    </row>
    <row r="98" spans="1:4" ht="33" customHeight="1">
      <c r="A98" s="66" t="s">
        <v>3767</v>
      </c>
      <c r="B98" s="66" t="s">
        <v>3768</v>
      </c>
      <c r="C98" s="68" t="s">
        <v>3694</v>
      </c>
      <c r="D98" s="67" t="s">
        <v>3781</v>
      </c>
    </row>
    <row r="99" spans="1:4" ht="47.55" customHeight="1">
      <c r="A99" s="66" t="s">
        <v>3767</v>
      </c>
      <c r="B99" s="66" t="s">
        <v>3768</v>
      </c>
      <c r="C99" s="68" t="s">
        <v>3694</v>
      </c>
      <c r="D99" s="67" t="s">
        <v>3782</v>
      </c>
    </row>
    <row r="100" spans="1:4" ht="47.55" customHeight="1">
      <c r="A100" s="66" t="s">
        <v>3767</v>
      </c>
      <c r="B100" s="66" t="s">
        <v>3768</v>
      </c>
      <c r="C100" s="68" t="s">
        <v>3694</v>
      </c>
      <c r="D100" s="67" t="s">
        <v>3783</v>
      </c>
    </row>
    <row r="101" spans="1:4" ht="33" customHeight="1">
      <c r="A101" s="66" t="s">
        <v>3767</v>
      </c>
      <c r="B101" s="66" t="s">
        <v>3768</v>
      </c>
      <c r="C101" s="68" t="s">
        <v>3694</v>
      </c>
      <c r="D101" s="67" t="s">
        <v>3784</v>
      </c>
    </row>
    <row r="102" spans="1:4" ht="33" customHeight="1">
      <c r="A102" s="66" t="s">
        <v>3767</v>
      </c>
      <c r="B102" s="66" t="s">
        <v>3768</v>
      </c>
      <c r="C102" s="68" t="s">
        <v>3694</v>
      </c>
      <c r="D102" s="67" t="s">
        <v>3785</v>
      </c>
    </row>
    <row r="103" spans="1:4" ht="33" customHeight="1">
      <c r="A103" s="66" t="s">
        <v>3767</v>
      </c>
      <c r="B103" s="66" t="s">
        <v>3768</v>
      </c>
      <c r="C103" s="68" t="s">
        <v>3694</v>
      </c>
      <c r="D103" s="67" t="s">
        <v>3786</v>
      </c>
    </row>
    <row r="104" spans="1:4" ht="105.45" customHeight="1">
      <c r="A104" s="66" t="s">
        <v>3767</v>
      </c>
      <c r="B104" s="66" t="s">
        <v>3768</v>
      </c>
      <c r="C104" s="69" t="s">
        <v>3704</v>
      </c>
      <c r="D104" s="67" t="s">
        <v>3787</v>
      </c>
    </row>
    <row r="105" spans="1:4" ht="134.55000000000001" customHeight="1">
      <c r="A105" s="66" t="s">
        <v>3767</v>
      </c>
      <c r="B105" s="66" t="s">
        <v>3768</v>
      </c>
      <c r="C105" s="69" t="s">
        <v>3704</v>
      </c>
      <c r="D105" s="67" t="s">
        <v>3788</v>
      </c>
    </row>
    <row r="106" spans="1:4" ht="91.05" customHeight="1">
      <c r="A106" s="66" t="s">
        <v>3767</v>
      </c>
      <c r="B106" s="66" t="s">
        <v>3768</v>
      </c>
      <c r="C106" s="69" t="s">
        <v>3704</v>
      </c>
      <c r="D106" s="67" t="s">
        <v>3789</v>
      </c>
    </row>
    <row r="107" spans="1:4" ht="105.45" customHeight="1">
      <c r="A107" s="66" t="s">
        <v>3767</v>
      </c>
      <c r="B107" s="66" t="s">
        <v>3768</v>
      </c>
      <c r="C107" s="69" t="s">
        <v>3704</v>
      </c>
      <c r="D107" s="67" t="s">
        <v>3790</v>
      </c>
    </row>
    <row r="108" spans="1:4" ht="61.95" customHeight="1">
      <c r="A108" s="66" t="s">
        <v>3767</v>
      </c>
      <c r="B108" s="66" t="s">
        <v>3768</v>
      </c>
      <c r="C108" s="69" t="s">
        <v>3704</v>
      </c>
      <c r="D108" s="67" t="s">
        <v>3791</v>
      </c>
    </row>
    <row r="109" spans="1:4" ht="47.55" customHeight="1">
      <c r="A109" s="66" t="s">
        <v>3767</v>
      </c>
      <c r="B109" s="66" t="s">
        <v>3768</v>
      </c>
      <c r="C109" s="69" t="s">
        <v>3704</v>
      </c>
      <c r="D109" s="67" t="s">
        <v>3792</v>
      </c>
    </row>
    <row r="110" spans="1:4" ht="76.5" customHeight="1">
      <c r="A110" s="66" t="s">
        <v>3767</v>
      </c>
      <c r="B110" s="66" t="s">
        <v>918</v>
      </c>
      <c r="C110" s="66" t="s">
        <v>26</v>
      </c>
      <c r="D110" s="67" t="s">
        <v>3793</v>
      </c>
    </row>
    <row r="111" spans="1:4" ht="61.95" customHeight="1">
      <c r="A111" s="66" t="s">
        <v>3767</v>
      </c>
      <c r="B111" s="66" t="s">
        <v>918</v>
      </c>
      <c r="C111" s="66" t="s">
        <v>26</v>
      </c>
      <c r="D111" s="67" t="s">
        <v>3794</v>
      </c>
    </row>
    <row r="112" spans="1:4" ht="91.05" customHeight="1">
      <c r="A112" s="66" t="s">
        <v>3767</v>
      </c>
      <c r="B112" s="66" t="s">
        <v>918</v>
      </c>
      <c r="C112" s="66" t="s">
        <v>26</v>
      </c>
      <c r="D112" s="67" t="s">
        <v>3795</v>
      </c>
    </row>
    <row r="113" spans="1:4" ht="61.95" customHeight="1">
      <c r="A113" s="66" t="s">
        <v>3767</v>
      </c>
      <c r="B113" s="66" t="s">
        <v>918</v>
      </c>
      <c r="C113" s="66" t="s">
        <v>26</v>
      </c>
      <c r="D113" s="67" t="s">
        <v>3796</v>
      </c>
    </row>
    <row r="114" spans="1:4" ht="47.55" customHeight="1">
      <c r="A114" s="66" t="s">
        <v>3767</v>
      </c>
      <c r="B114" s="66" t="s">
        <v>918</v>
      </c>
      <c r="C114" s="66" t="s">
        <v>26</v>
      </c>
      <c r="D114" s="67" t="s">
        <v>3797</v>
      </c>
    </row>
    <row r="115" spans="1:4" ht="105.45" customHeight="1">
      <c r="A115" s="66" t="s">
        <v>3767</v>
      </c>
      <c r="B115" s="66" t="s">
        <v>918</v>
      </c>
      <c r="C115" s="66" t="s">
        <v>26</v>
      </c>
      <c r="D115" s="67" t="s">
        <v>3798</v>
      </c>
    </row>
    <row r="116" spans="1:4" ht="61.95" customHeight="1">
      <c r="A116" s="66" t="s">
        <v>3767</v>
      </c>
      <c r="B116" s="66" t="s">
        <v>918</v>
      </c>
      <c r="C116" s="66" t="s">
        <v>26</v>
      </c>
      <c r="D116" s="67" t="s">
        <v>3799</v>
      </c>
    </row>
    <row r="117" spans="1:4" ht="61.95" customHeight="1">
      <c r="A117" s="66" t="s">
        <v>3767</v>
      </c>
      <c r="B117" s="66" t="s">
        <v>918</v>
      </c>
      <c r="C117" s="66" t="s">
        <v>26</v>
      </c>
      <c r="D117" s="67" t="s">
        <v>3800</v>
      </c>
    </row>
    <row r="118" spans="1:4" ht="91.05" customHeight="1">
      <c r="A118" s="66" t="s">
        <v>3767</v>
      </c>
      <c r="B118" s="66" t="s">
        <v>918</v>
      </c>
      <c r="C118" s="66" t="s">
        <v>26</v>
      </c>
      <c r="D118" s="67" t="s">
        <v>3801</v>
      </c>
    </row>
    <row r="119" spans="1:4" ht="61.95" customHeight="1">
      <c r="A119" s="66" t="s">
        <v>3767</v>
      </c>
      <c r="B119" s="66" t="s">
        <v>918</v>
      </c>
      <c r="C119" s="66" t="s">
        <v>26</v>
      </c>
      <c r="D119" s="67" t="s">
        <v>3802</v>
      </c>
    </row>
    <row r="120" spans="1:4" ht="61.95" customHeight="1">
      <c r="A120" s="66" t="s">
        <v>3767</v>
      </c>
      <c r="B120" s="66" t="s">
        <v>918</v>
      </c>
      <c r="C120" s="68" t="s">
        <v>3694</v>
      </c>
      <c r="D120" s="67" t="s">
        <v>3803</v>
      </c>
    </row>
    <row r="121" spans="1:4" ht="61.95" customHeight="1">
      <c r="A121" s="66" t="s">
        <v>3767</v>
      </c>
      <c r="B121" s="66" t="s">
        <v>918</v>
      </c>
      <c r="C121" s="68" t="s">
        <v>3694</v>
      </c>
      <c r="D121" s="67" t="s">
        <v>3804</v>
      </c>
    </row>
    <row r="122" spans="1:4" ht="33" customHeight="1">
      <c r="A122" s="66" t="s">
        <v>3767</v>
      </c>
      <c r="B122" s="66" t="s">
        <v>918</v>
      </c>
      <c r="C122" s="68" t="s">
        <v>3694</v>
      </c>
      <c r="D122" s="67" t="s">
        <v>3805</v>
      </c>
    </row>
    <row r="123" spans="1:4" ht="33" customHeight="1">
      <c r="A123" s="66" t="s">
        <v>3767</v>
      </c>
      <c r="B123" s="66" t="s">
        <v>918</v>
      </c>
      <c r="C123" s="68" t="s">
        <v>3694</v>
      </c>
      <c r="D123" s="67" t="s">
        <v>3806</v>
      </c>
    </row>
    <row r="124" spans="1:4" ht="47.55" customHeight="1">
      <c r="A124" s="66" t="s">
        <v>3767</v>
      </c>
      <c r="B124" s="66" t="s">
        <v>918</v>
      </c>
      <c r="C124" s="68" t="s">
        <v>3694</v>
      </c>
      <c r="D124" s="67" t="s">
        <v>3807</v>
      </c>
    </row>
    <row r="125" spans="1:4" ht="33" customHeight="1">
      <c r="A125" s="66" t="s">
        <v>3767</v>
      </c>
      <c r="B125" s="66" t="s">
        <v>918</v>
      </c>
      <c r="C125" s="68" t="s">
        <v>3694</v>
      </c>
      <c r="D125" s="67" t="s">
        <v>3808</v>
      </c>
    </row>
    <row r="126" spans="1:4" ht="33" customHeight="1">
      <c r="A126" s="66" t="s">
        <v>3767</v>
      </c>
      <c r="B126" s="66" t="s">
        <v>918</v>
      </c>
      <c r="C126" s="68" t="s">
        <v>3694</v>
      </c>
      <c r="D126" s="67" t="s">
        <v>3809</v>
      </c>
    </row>
    <row r="127" spans="1:4" ht="33" customHeight="1">
      <c r="A127" s="66" t="s">
        <v>3767</v>
      </c>
      <c r="B127" s="66" t="s">
        <v>918</v>
      </c>
      <c r="C127" s="68" t="s">
        <v>3694</v>
      </c>
      <c r="D127" s="67" t="s">
        <v>3810</v>
      </c>
    </row>
    <row r="128" spans="1:4" ht="33" customHeight="1">
      <c r="A128" s="66" t="s">
        <v>3767</v>
      </c>
      <c r="B128" s="66" t="s">
        <v>918</v>
      </c>
      <c r="C128" s="68" t="s">
        <v>3694</v>
      </c>
      <c r="D128" s="67" t="s">
        <v>3811</v>
      </c>
    </row>
    <row r="129" spans="1:4" ht="33" customHeight="1">
      <c r="A129" s="66" t="s">
        <v>3767</v>
      </c>
      <c r="B129" s="66" t="s">
        <v>918</v>
      </c>
      <c r="C129" s="68" t="s">
        <v>3694</v>
      </c>
      <c r="D129" s="67" t="s">
        <v>3812</v>
      </c>
    </row>
    <row r="130" spans="1:4" ht="18.45" customHeight="1">
      <c r="A130" s="66" t="s">
        <v>3767</v>
      </c>
      <c r="B130" s="66" t="s">
        <v>918</v>
      </c>
      <c r="C130" s="68" t="s">
        <v>3694</v>
      </c>
      <c r="D130" s="67" t="s">
        <v>3813</v>
      </c>
    </row>
    <row r="131" spans="1:4" ht="33" customHeight="1">
      <c r="A131" s="66" t="s">
        <v>3767</v>
      </c>
      <c r="B131" s="66" t="s">
        <v>918</v>
      </c>
      <c r="C131" s="68" t="s">
        <v>3694</v>
      </c>
      <c r="D131" s="67" t="s">
        <v>3814</v>
      </c>
    </row>
    <row r="132" spans="1:4" ht="76.5" customHeight="1">
      <c r="A132" s="66" t="s">
        <v>3767</v>
      </c>
      <c r="B132" s="66" t="s">
        <v>918</v>
      </c>
      <c r="C132" s="68" t="s">
        <v>3694</v>
      </c>
      <c r="D132" s="67" t="s">
        <v>3815</v>
      </c>
    </row>
    <row r="133" spans="1:4" ht="33" customHeight="1">
      <c r="A133" s="66" t="s">
        <v>3767</v>
      </c>
      <c r="B133" s="66" t="s">
        <v>918</v>
      </c>
      <c r="C133" s="68" t="s">
        <v>3694</v>
      </c>
      <c r="D133" s="67" t="s">
        <v>3816</v>
      </c>
    </row>
    <row r="134" spans="1:4" ht="160.05000000000001" customHeight="1">
      <c r="A134" s="66" t="s">
        <v>3767</v>
      </c>
      <c r="B134" s="66" t="s">
        <v>918</v>
      </c>
      <c r="C134" s="69" t="s">
        <v>3704</v>
      </c>
      <c r="D134" s="67" t="s">
        <v>3817</v>
      </c>
    </row>
    <row r="135" spans="1:4" ht="160.05000000000001" customHeight="1">
      <c r="A135" s="66" t="s">
        <v>3767</v>
      </c>
      <c r="B135" s="66" t="s">
        <v>918</v>
      </c>
      <c r="C135" s="69" t="s">
        <v>3704</v>
      </c>
      <c r="D135" s="67" t="s">
        <v>3818</v>
      </c>
    </row>
    <row r="136" spans="1:4" ht="134.55000000000001" customHeight="1">
      <c r="A136" s="66" t="s">
        <v>3767</v>
      </c>
      <c r="B136" s="66" t="s">
        <v>918</v>
      </c>
      <c r="C136" s="69" t="s">
        <v>3704</v>
      </c>
      <c r="D136" s="67" t="s">
        <v>3819</v>
      </c>
    </row>
    <row r="137" spans="1:4" ht="148.94999999999999" customHeight="1">
      <c r="A137" s="66" t="s">
        <v>3767</v>
      </c>
      <c r="B137" s="66" t="s">
        <v>918</v>
      </c>
      <c r="C137" s="69" t="s">
        <v>3704</v>
      </c>
      <c r="D137" s="67" t="s">
        <v>3820</v>
      </c>
    </row>
    <row r="138" spans="1:4" ht="160.05000000000001" customHeight="1">
      <c r="A138" s="66" t="s">
        <v>3767</v>
      </c>
      <c r="B138" s="66" t="s">
        <v>918</v>
      </c>
      <c r="C138" s="69" t="s">
        <v>3704</v>
      </c>
      <c r="D138" s="67" t="s">
        <v>3821</v>
      </c>
    </row>
    <row r="139" spans="1:4" ht="76.5" customHeight="1">
      <c r="A139" s="66" t="s">
        <v>3767</v>
      </c>
      <c r="B139" s="66" t="s">
        <v>918</v>
      </c>
      <c r="C139" s="69" t="s">
        <v>3704</v>
      </c>
      <c r="D139" s="67" t="s">
        <v>3822</v>
      </c>
    </row>
    <row r="140" spans="1:4" ht="47.55" customHeight="1">
      <c r="A140" s="66" t="s">
        <v>3767</v>
      </c>
      <c r="B140" s="66" t="s">
        <v>918</v>
      </c>
      <c r="C140" s="69" t="s">
        <v>3704</v>
      </c>
      <c r="D140" s="67" t="s">
        <v>3823</v>
      </c>
    </row>
    <row r="141" spans="1:4" ht="105.45" customHeight="1">
      <c r="A141" s="66" t="s">
        <v>3767</v>
      </c>
      <c r="B141" s="66" t="s">
        <v>3824</v>
      </c>
      <c r="C141" s="66" t="s">
        <v>26</v>
      </c>
      <c r="D141" s="67" t="s">
        <v>3825</v>
      </c>
    </row>
    <row r="142" spans="1:4" ht="47.55" customHeight="1">
      <c r="A142" s="66" t="s">
        <v>3767</v>
      </c>
      <c r="B142" s="66" t="s">
        <v>3824</v>
      </c>
      <c r="C142" s="66" t="s">
        <v>26</v>
      </c>
      <c r="D142" s="67" t="s">
        <v>3826</v>
      </c>
    </row>
    <row r="143" spans="1:4" ht="61.95" customHeight="1">
      <c r="A143" s="66" t="s">
        <v>3767</v>
      </c>
      <c r="B143" s="66" t="s">
        <v>3824</v>
      </c>
      <c r="C143" s="66" t="s">
        <v>26</v>
      </c>
      <c r="D143" s="67" t="s">
        <v>3827</v>
      </c>
    </row>
    <row r="144" spans="1:4" ht="47.55" customHeight="1">
      <c r="A144" s="66" t="s">
        <v>3767</v>
      </c>
      <c r="B144" s="66" t="s">
        <v>3824</v>
      </c>
      <c r="C144" s="66" t="s">
        <v>26</v>
      </c>
      <c r="D144" s="67" t="s">
        <v>3828</v>
      </c>
    </row>
    <row r="145" spans="1:4" ht="76.5" customHeight="1">
      <c r="A145" s="66" t="s">
        <v>3767</v>
      </c>
      <c r="B145" s="66" t="s">
        <v>3824</v>
      </c>
      <c r="C145" s="66" t="s">
        <v>26</v>
      </c>
      <c r="D145" s="67" t="s">
        <v>3829</v>
      </c>
    </row>
    <row r="146" spans="1:4" ht="47.55" customHeight="1">
      <c r="A146" s="66" t="s">
        <v>3767</v>
      </c>
      <c r="B146" s="66" t="s">
        <v>3824</v>
      </c>
      <c r="C146" s="66" t="s">
        <v>26</v>
      </c>
      <c r="D146" s="67" t="s">
        <v>3830</v>
      </c>
    </row>
    <row r="147" spans="1:4" ht="61.95" customHeight="1">
      <c r="A147" s="66" t="s">
        <v>3767</v>
      </c>
      <c r="B147" s="66" t="s">
        <v>3824</v>
      </c>
      <c r="C147" s="66" t="s">
        <v>26</v>
      </c>
      <c r="D147" s="67" t="s">
        <v>3831</v>
      </c>
    </row>
    <row r="148" spans="1:4" ht="33" customHeight="1">
      <c r="A148" s="66" t="s">
        <v>3767</v>
      </c>
      <c r="B148" s="66" t="s">
        <v>3824</v>
      </c>
      <c r="C148" s="66" t="s">
        <v>26</v>
      </c>
      <c r="D148" s="67" t="s">
        <v>3832</v>
      </c>
    </row>
    <row r="149" spans="1:4" ht="33" customHeight="1">
      <c r="A149" s="66" t="s">
        <v>3767</v>
      </c>
      <c r="B149" s="66" t="s">
        <v>3824</v>
      </c>
      <c r="C149" s="66" t="s">
        <v>26</v>
      </c>
      <c r="D149" s="67" t="s">
        <v>3833</v>
      </c>
    </row>
    <row r="150" spans="1:4" ht="47.55" customHeight="1">
      <c r="A150" s="66" t="s">
        <v>3767</v>
      </c>
      <c r="B150" s="66" t="s">
        <v>3824</v>
      </c>
      <c r="C150" s="68" t="s">
        <v>3694</v>
      </c>
      <c r="D150" s="67" t="s">
        <v>3834</v>
      </c>
    </row>
    <row r="151" spans="1:4" ht="61.95" customHeight="1">
      <c r="A151" s="66" t="s">
        <v>3767</v>
      </c>
      <c r="B151" s="66" t="s">
        <v>3824</v>
      </c>
      <c r="C151" s="68" t="s">
        <v>3694</v>
      </c>
      <c r="D151" s="67" t="s">
        <v>3835</v>
      </c>
    </row>
    <row r="152" spans="1:4" ht="33" customHeight="1">
      <c r="A152" s="66" t="s">
        <v>3767</v>
      </c>
      <c r="B152" s="66" t="s">
        <v>3824</v>
      </c>
      <c r="C152" s="68" t="s">
        <v>3694</v>
      </c>
      <c r="D152" s="67" t="s">
        <v>3836</v>
      </c>
    </row>
    <row r="153" spans="1:4" ht="33" customHeight="1">
      <c r="A153" s="66" t="s">
        <v>3767</v>
      </c>
      <c r="B153" s="66" t="s">
        <v>3824</v>
      </c>
      <c r="C153" s="68" t="s">
        <v>3694</v>
      </c>
      <c r="D153" s="67" t="s">
        <v>3837</v>
      </c>
    </row>
    <row r="154" spans="1:4" ht="33" customHeight="1">
      <c r="A154" s="66" t="s">
        <v>3767</v>
      </c>
      <c r="B154" s="66" t="s">
        <v>3824</v>
      </c>
      <c r="C154" s="68" t="s">
        <v>3694</v>
      </c>
      <c r="D154" s="67" t="s">
        <v>3838</v>
      </c>
    </row>
    <row r="155" spans="1:4" ht="33" customHeight="1">
      <c r="A155" s="66" t="s">
        <v>3767</v>
      </c>
      <c r="B155" s="66" t="s">
        <v>3824</v>
      </c>
      <c r="C155" s="68" t="s">
        <v>3694</v>
      </c>
      <c r="D155" s="67" t="s">
        <v>3839</v>
      </c>
    </row>
    <row r="156" spans="1:4" ht="33" customHeight="1">
      <c r="A156" s="66" t="s">
        <v>3767</v>
      </c>
      <c r="B156" s="66" t="s">
        <v>3824</v>
      </c>
      <c r="C156" s="68" t="s">
        <v>3694</v>
      </c>
      <c r="D156" s="67" t="s">
        <v>3840</v>
      </c>
    </row>
    <row r="157" spans="1:4" ht="33" customHeight="1">
      <c r="A157" s="66" t="s">
        <v>3767</v>
      </c>
      <c r="B157" s="66" t="s">
        <v>3824</v>
      </c>
      <c r="C157" s="68" t="s">
        <v>3694</v>
      </c>
      <c r="D157" s="67" t="s">
        <v>3841</v>
      </c>
    </row>
    <row r="158" spans="1:4" ht="47.55" customHeight="1">
      <c r="A158" s="66" t="s">
        <v>3767</v>
      </c>
      <c r="B158" s="66" t="s">
        <v>3824</v>
      </c>
      <c r="C158" s="68" t="s">
        <v>3694</v>
      </c>
      <c r="D158" s="67" t="s">
        <v>3842</v>
      </c>
    </row>
    <row r="159" spans="1:4" ht="33" customHeight="1">
      <c r="A159" s="66" t="s">
        <v>3767</v>
      </c>
      <c r="B159" s="66" t="s">
        <v>3824</v>
      </c>
      <c r="C159" s="68" t="s">
        <v>3694</v>
      </c>
      <c r="D159" s="67" t="s">
        <v>3843</v>
      </c>
    </row>
    <row r="160" spans="1:4" ht="33" customHeight="1">
      <c r="A160" s="66" t="s">
        <v>3767</v>
      </c>
      <c r="B160" s="66" t="s">
        <v>3824</v>
      </c>
      <c r="C160" s="68" t="s">
        <v>3694</v>
      </c>
      <c r="D160" s="67" t="s">
        <v>3844</v>
      </c>
    </row>
    <row r="161" spans="1:4" ht="33" customHeight="1">
      <c r="A161" s="66" t="s">
        <v>3767</v>
      </c>
      <c r="B161" s="66" t="s">
        <v>3824</v>
      </c>
      <c r="C161" s="68" t="s">
        <v>3694</v>
      </c>
      <c r="D161" s="67" t="s">
        <v>3845</v>
      </c>
    </row>
    <row r="162" spans="1:4" ht="76.5" customHeight="1">
      <c r="A162" s="66" t="s">
        <v>3767</v>
      </c>
      <c r="B162" s="66" t="s">
        <v>3824</v>
      </c>
      <c r="C162" s="69" t="s">
        <v>3704</v>
      </c>
      <c r="D162" s="67" t="s">
        <v>3846</v>
      </c>
    </row>
    <row r="163" spans="1:4" ht="120" customHeight="1">
      <c r="A163" s="66" t="s">
        <v>3767</v>
      </c>
      <c r="B163" s="66" t="s">
        <v>3824</v>
      </c>
      <c r="C163" s="69" t="s">
        <v>3704</v>
      </c>
      <c r="D163" s="67" t="s">
        <v>3847</v>
      </c>
    </row>
    <row r="164" spans="1:4" ht="105.45" customHeight="1">
      <c r="A164" s="66" t="s">
        <v>3767</v>
      </c>
      <c r="B164" s="66" t="s">
        <v>3824</v>
      </c>
      <c r="C164" s="69" t="s">
        <v>3704</v>
      </c>
      <c r="D164" s="67" t="s">
        <v>3848</v>
      </c>
    </row>
    <row r="165" spans="1:4" ht="134.55000000000001" customHeight="1">
      <c r="A165" s="66" t="s">
        <v>3767</v>
      </c>
      <c r="B165" s="66" t="s">
        <v>3824</v>
      </c>
      <c r="C165" s="69" t="s">
        <v>3704</v>
      </c>
      <c r="D165" s="67" t="s">
        <v>3849</v>
      </c>
    </row>
    <row r="166" spans="1:4" ht="91.05" customHeight="1">
      <c r="A166" s="66" t="s">
        <v>3767</v>
      </c>
      <c r="B166" s="66" t="s">
        <v>3824</v>
      </c>
      <c r="C166" s="69" t="s">
        <v>3704</v>
      </c>
      <c r="D166" s="67" t="s">
        <v>3850</v>
      </c>
    </row>
    <row r="167" spans="1:4" ht="76.5" customHeight="1">
      <c r="A167" s="66" t="s">
        <v>3767</v>
      </c>
      <c r="B167" s="66" t="s">
        <v>3824</v>
      </c>
      <c r="C167" s="69" t="s">
        <v>3704</v>
      </c>
      <c r="D167" s="67" t="s">
        <v>3851</v>
      </c>
    </row>
    <row r="168" spans="1:4" ht="61.95" customHeight="1">
      <c r="A168" s="66" t="s">
        <v>3767</v>
      </c>
      <c r="B168" s="66" t="s">
        <v>3824</v>
      </c>
      <c r="C168" s="69" t="s">
        <v>3704</v>
      </c>
      <c r="D168" s="67" t="s">
        <v>3852</v>
      </c>
    </row>
    <row r="169" spans="1:4" ht="47.55" customHeight="1">
      <c r="A169" s="22" t="s">
        <v>3853</v>
      </c>
      <c r="B169" s="22" t="s">
        <v>3854</v>
      </c>
      <c r="C169" s="22" t="s">
        <v>26</v>
      </c>
      <c r="D169" s="2" t="s">
        <v>3855</v>
      </c>
    </row>
    <row r="170" spans="1:4" ht="47.55" customHeight="1">
      <c r="A170" s="22" t="s">
        <v>3853</v>
      </c>
      <c r="B170" s="22" t="s">
        <v>3854</v>
      </c>
      <c r="C170" s="22" t="s">
        <v>26</v>
      </c>
      <c r="D170" s="2" t="s">
        <v>3856</v>
      </c>
    </row>
    <row r="171" spans="1:4" ht="47.55" customHeight="1">
      <c r="A171" s="22" t="s">
        <v>3853</v>
      </c>
      <c r="B171" s="22" t="s">
        <v>3854</v>
      </c>
      <c r="C171" s="22" t="s">
        <v>26</v>
      </c>
      <c r="D171" s="2" t="s">
        <v>3857</v>
      </c>
    </row>
    <row r="172" spans="1:4" ht="33" customHeight="1">
      <c r="A172" s="22" t="s">
        <v>3853</v>
      </c>
      <c r="B172" s="22" t="s">
        <v>3854</v>
      </c>
      <c r="C172" s="22" t="s">
        <v>26</v>
      </c>
      <c r="D172" s="2" t="s">
        <v>3858</v>
      </c>
    </row>
    <row r="173" spans="1:4" ht="47.55" customHeight="1">
      <c r="A173" s="22" t="s">
        <v>3853</v>
      </c>
      <c r="B173" s="22" t="s">
        <v>3854</v>
      </c>
      <c r="C173" s="22" t="s">
        <v>26</v>
      </c>
      <c r="D173" s="2" t="s">
        <v>3859</v>
      </c>
    </row>
    <row r="174" spans="1:4" ht="47.55" customHeight="1">
      <c r="A174" s="22" t="s">
        <v>3853</v>
      </c>
      <c r="B174" s="22" t="s">
        <v>3854</v>
      </c>
      <c r="C174" s="22" t="s">
        <v>26</v>
      </c>
      <c r="D174" s="2" t="s">
        <v>3860</v>
      </c>
    </row>
    <row r="175" spans="1:4" ht="47.55" customHeight="1">
      <c r="A175" s="22" t="s">
        <v>3853</v>
      </c>
      <c r="B175" s="22" t="s">
        <v>3854</v>
      </c>
      <c r="C175" s="22" t="s">
        <v>26</v>
      </c>
      <c r="D175" s="2" t="s">
        <v>3861</v>
      </c>
    </row>
    <row r="176" spans="1:4" ht="47.55" customHeight="1">
      <c r="A176" s="22" t="s">
        <v>3853</v>
      </c>
      <c r="B176" s="22" t="s">
        <v>3854</v>
      </c>
      <c r="C176" s="22" t="s">
        <v>26</v>
      </c>
      <c r="D176" s="2" t="s">
        <v>3862</v>
      </c>
    </row>
    <row r="177" spans="1:4" ht="33" customHeight="1">
      <c r="A177" s="22" t="s">
        <v>3853</v>
      </c>
      <c r="B177" s="22" t="s">
        <v>3854</v>
      </c>
      <c r="C177" s="22" t="s">
        <v>26</v>
      </c>
      <c r="D177" s="2" t="s">
        <v>3863</v>
      </c>
    </row>
    <row r="178" spans="1:4" ht="47.55" customHeight="1">
      <c r="A178" s="22" t="s">
        <v>3853</v>
      </c>
      <c r="B178" s="22" t="s">
        <v>3854</v>
      </c>
      <c r="C178" s="22" t="s">
        <v>26</v>
      </c>
      <c r="D178" s="2" t="s">
        <v>3864</v>
      </c>
    </row>
    <row r="179" spans="1:4" ht="76.5" customHeight="1">
      <c r="A179" s="22" t="s">
        <v>3853</v>
      </c>
      <c r="B179" s="22" t="s">
        <v>3854</v>
      </c>
      <c r="C179" s="22" t="s">
        <v>26</v>
      </c>
      <c r="D179" s="2" t="s">
        <v>3865</v>
      </c>
    </row>
    <row r="180" spans="1:4" ht="33" customHeight="1">
      <c r="A180" s="22" t="s">
        <v>3853</v>
      </c>
      <c r="B180" s="22" t="s">
        <v>3854</v>
      </c>
      <c r="C180" s="64" t="s">
        <v>3694</v>
      </c>
      <c r="D180" s="2" t="s">
        <v>3866</v>
      </c>
    </row>
    <row r="181" spans="1:4" ht="33" customHeight="1">
      <c r="A181" s="22" t="s">
        <v>3853</v>
      </c>
      <c r="B181" s="22" t="s">
        <v>3854</v>
      </c>
      <c r="C181" s="64" t="s">
        <v>3694</v>
      </c>
      <c r="D181" s="2" t="s">
        <v>3867</v>
      </c>
    </row>
    <row r="182" spans="1:4" ht="47.55" customHeight="1">
      <c r="A182" s="22" t="s">
        <v>3853</v>
      </c>
      <c r="B182" s="22" t="s">
        <v>3854</v>
      </c>
      <c r="C182" s="64" t="s">
        <v>3694</v>
      </c>
      <c r="D182" s="2" t="s">
        <v>3868</v>
      </c>
    </row>
    <row r="183" spans="1:4" ht="47.55" customHeight="1">
      <c r="A183" s="22" t="s">
        <v>3853</v>
      </c>
      <c r="B183" s="22" t="s">
        <v>3854</v>
      </c>
      <c r="C183" s="64" t="s">
        <v>3694</v>
      </c>
      <c r="D183" s="2" t="s">
        <v>3869</v>
      </c>
    </row>
    <row r="184" spans="1:4" ht="33" customHeight="1">
      <c r="A184" s="22" t="s">
        <v>3853</v>
      </c>
      <c r="B184" s="22" t="s">
        <v>3854</v>
      </c>
      <c r="C184" s="64" t="s">
        <v>3694</v>
      </c>
      <c r="D184" s="2" t="s">
        <v>3870</v>
      </c>
    </row>
    <row r="185" spans="1:4" ht="33" customHeight="1">
      <c r="A185" s="22" t="s">
        <v>3853</v>
      </c>
      <c r="B185" s="22" t="s">
        <v>3854</v>
      </c>
      <c r="C185" s="64" t="s">
        <v>3694</v>
      </c>
      <c r="D185" s="2" t="s">
        <v>3871</v>
      </c>
    </row>
    <row r="186" spans="1:4" ht="47.55" customHeight="1">
      <c r="A186" s="22" t="s">
        <v>3853</v>
      </c>
      <c r="B186" s="22" t="s">
        <v>3854</v>
      </c>
      <c r="C186" s="64" t="s">
        <v>3694</v>
      </c>
      <c r="D186" s="2" t="s">
        <v>3872</v>
      </c>
    </row>
    <row r="187" spans="1:4" ht="18.45" customHeight="1">
      <c r="A187" s="22" t="s">
        <v>3853</v>
      </c>
      <c r="B187" s="22" t="s">
        <v>3854</v>
      </c>
      <c r="C187" s="64" t="s">
        <v>3694</v>
      </c>
      <c r="D187" s="2" t="s">
        <v>3873</v>
      </c>
    </row>
    <row r="188" spans="1:4" ht="33" customHeight="1">
      <c r="A188" s="22" t="s">
        <v>3853</v>
      </c>
      <c r="B188" s="22" t="s">
        <v>3854</v>
      </c>
      <c r="C188" s="64" t="s">
        <v>3694</v>
      </c>
      <c r="D188" s="2" t="s">
        <v>3874</v>
      </c>
    </row>
    <row r="189" spans="1:4" ht="160.05000000000001" customHeight="1">
      <c r="A189" s="22" t="s">
        <v>3853</v>
      </c>
      <c r="B189" s="22" t="s">
        <v>3854</v>
      </c>
      <c r="C189" s="65" t="s">
        <v>3704</v>
      </c>
      <c r="D189" s="2" t="s">
        <v>3875</v>
      </c>
    </row>
    <row r="190" spans="1:4" ht="61.95" customHeight="1">
      <c r="A190" s="22" t="s">
        <v>3853</v>
      </c>
      <c r="B190" s="22" t="s">
        <v>3876</v>
      </c>
      <c r="C190" s="22" t="s">
        <v>26</v>
      </c>
      <c r="D190" s="2" t="s">
        <v>3877</v>
      </c>
    </row>
    <row r="191" spans="1:4" ht="47.55" customHeight="1">
      <c r="A191" s="22" t="s">
        <v>3853</v>
      </c>
      <c r="B191" s="22" t="s">
        <v>3876</v>
      </c>
      <c r="C191" s="22" t="s">
        <v>26</v>
      </c>
      <c r="D191" s="2" t="s">
        <v>3878</v>
      </c>
    </row>
    <row r="192" spans="1:4" ht="61.95" customHeight="1">
      <c r="A192" s="22" t="s">
        <v>3853</v>
      </c>
      <c r="B192" s="22" t="s">
        <v>3876</v>
      </c>
      <c r="C192" s="22" t="s">
        <v>26</v>
      </c>
      <c r="D192" s="2" t="s">
        <v>3879</v>
      </c>
    </row>
    <row r="193" spans="1:4" ht="76.5" customHeight="1">
      <c r="A193" s="22" t="s">
        <v>3853</v>
      </c>
      <c r="B193" s="22" t="s">
        <v>3876</v>
      </c>
      <c r="C193" s="22" t="s">
        <v>26</v>
      </c>
      <c r="D193" s="2" t="s">
        <v>3880</v>
      </c>
    </row>
    <row r="194" spans="1:4" ht="33" customHeight="1">
      <c r="A194" s="22" t="s">
        <v>3853</v>
      </c>
      <c r="B194" s="22" t="s">
        <v>3876</v>
      </c>
      <c r="C194" s="22" t="s">
        <v>26</v>
      </c>
      <c r="D194" s="2" t="s">
        <v>3881</v>
      </c>
    </row>
    <row r="195" spans="1:4" ht="33" customHeight="1">
      <c r="A195" s="22" t="s">
        <v>3853</v>
      </c>
      <c r="B195" s="22" t="s">
        <v>3876</v>
      </c>
      <c r="C195" s="22" t="s">
        <v>26</v>
      </c>
      <c r="D195" s="2" t="s">
        <v>3882</v>
      </c>
    </row>
    <row r="196" spans="1:4" ht="33" customHeight="1">
      <c r="A196" s="22" t="s">
        <v>3853</v>
      </c>
      <c r="B196" s="22" t="s">
        <v>3876</v>
      </c>
      <c r="C196" s="22" t="s">
        <v>26</v>
      </c>
      <c r="D196" s="2" t="s">
        <v>3883</v>
      </c>
    </row>
    <row r="197" spans="1:4" ht="33" customHeight="1">
      <c r="A197" s="22" t="s">
        <v>3853</v>
      </c>
      <c r="B197" s="22" t="s">
        <v>3876</v>
      </c>
      <c r="C197" s="22" t="s">
        <v>26</v>
      </c>
      <c r="D197" s="2" t="s">
        <v>3884</v>
      </c>
    </row>
    <row r="198" spans="1:4" ht="47.55" customHeight="1">
      <c r="A198" s="22" t="s">
        <v>3853</v>
      </c>
      <c r="B198" s="22" t="s">
        <v>3876</v>
      </c>
      <c r="C198" s="22" t="s">
        <v>26</v>
      </c>
      <c r="D198" s="2" t="s">
        <v>3885</v>
      </c>
    </row>
    <row r="199" spans="1:4" ht="33" customHeight="1">
      <c r="A199" s="22" t="s">
        <v>3853</v>
      </c>
      <c r="B199" s="22" t="s">
        <v>3876</v>
      </c>
      <c r="C199" s="22" t="s">
        <v>26</v>
      </c>
      <c r="D199" s="2" t="s">
        <v>3886</v>
      </c>
    </row>
    <row r="200" spans="1:4" ht="33" customHeight="1">
      <c r="A200" s="22" t="s">
        <v>3853</v>
      </c>
      <c r="B200" s="22" t="s">
        <v>3876</v>
      </c>
      <c r="C200" s="22" t="s">
        <v>26</v>
      </c>
      <c r="D200" s="2" t="s">
        <v>3887</v>
      </c>
    </row>
    <row r="201" spans="1:4" ht="33" customHeight="1">
      <c r="A201" s="22" t="s">
        <v>3853</v>
      </c>
      <c r="B201" s="22" t="s">
        <v>3876</v>
      </c>
      <c r="C201" s="22" t="s">
        <v>26</v>
      </c>
      <c r="D201" s="2" t="s">
        <v>3888</v>
      </c>
    </row>
    <row r="202" spans="1:4" ht="76.5" customHeight="1">
      <c r="A202" s="22" t="s">
        <v>3853</v>
      </c>
      <c r="B202" s="22" t="s">
        <v>3876</v>
      </c>
      <c r="C202" s="64" t="s">
        <v>3694</v>
      </c>
      <c r="D202" s="2" t="s">
        <v>3889</v>
      </c>
    </row>
    <row r="203" spans="1:4" ht="33" customHeight="1">
      <c r="A203" s="22" t="s">
        <v>3853</v>
      </c>
      <c r="B203" s="22" t="s">
        <v>3876</v>
      </c>
      <c r="C203" s="64" t="s">
        <v>3694</v>
      </c>
      <c r="D203" s="2" t="s">
        <v>3890</v>
      </c>
    </row>
    <row r="204" spans="1:4" ht="47.55" customHeight="1">
      <c r="A204" s="22" t="s">
        <v>3853</v>
      </c>
      <c r="B204" s="22" t="s">
        <v>3876</v>
      </c>
      <c r="C204" s="64" t="s">
        <v>3694</v>
      </c>
      <c r="D204" s="2" t="s">
        <v>3891</v>
      </c>
    </row>
    <row r="205" spans="1:4" ht="47.55" customHeight="1">
      <c r="A205" s="22" t="s">
        <v>3853</v>
      </c>
      <c r="B205" s="22" t="s">
        <v>3876</v>
      </c>
      <c r="C205" s="64" t="s">
        <v>3694</v>
      </c>
      <c r="D205" s="2" t="s">
        <v>3892</v>
      </c>
    </row>
    <row r="206" spans="1:4" ht="33" customHeight="1">
      <c r="A206" s="22" t="s">
        <v>3853</v>
      </c>
      <c r="B206" s="22" t="s">
        <v>3876</v>
      </c>
      <c r="C206" s="64" t="s">
        <v>3694</v>
      </c>
      <c r="D206" s="2" t="s">
        <v>3893</v>
      </c>
    </row>
    <row r="207" spans="1:4" ht="33" customHeight="1">
      <c r="A207" s="22" t="s">
        <v>3853</v>
      </c>
      <c r="B207" s="22" t="s">
        <v>3876</v>
      </c>
      <c r="C207" s="64" t="s">
        <v>3694</v>
      </c>
      <c r="D207" s="2" t="s">
        <v>3894</v>
      </c>
    </row>
    <row r="208" spans="1:4" ht="33" customHeight="1">
      <c r="A208" s="22" t="s">
        <v>3853</v>
      </c>
      <c r="B208" s="22" t="s">
        <v>3876</v>
      </c>
      <c r="C208" s="64" t="s">
        <v>3694</v>
      </c>
      <c r="D208" s="2" t="s">
        <v>3895</v>
      </c>
    </row>
    <row r="209" spans="1:4" ht="33" customHeight="1">
      <c r="A209" s="22" t="s">
        <v>3853</v>
      </c>
      <c r="B209" s="22" t="s">
        <v>3876</v>
      </c>
      <c r="C209" s="64" t="s">
        <v>3694</v>
      </c>
      <c r="D209" s="2" t="s">
        <v>3896</v>
      </c>
    </row>
    <row r="210" spans="1:4" ht="76.5" customHeight="1">
      <c r="A210" s="22" t="s">
        <v>3853</v>
      </c>
      <c r="B210" s="22" t="s">
        <v>3876</v>
      </c>
      <c r="C210" s="64" t="s">
        <v>3694</v>
      </c>
      <c r="D210" s="2" t="s">
        <v>3897</v>
      </c>
    </row>
    <row r="211" spans="1:4" ht="33" customHeight="1">
      <c r="A211" s="22" t="s">
        <v>3853</v>
      </c>
      <c r="B211" s="22" t="s">
        <v>3876</v>
      </c>
      <c r="C211" s="64" t="s">
        <v>3694</v>
      </c>
      <c r="D211" s="2" t="s">
        <v>3898</v>
      </c>
    </row>
    <row r="212" spans="1:4" ht="160.05000000000001" customHeight="1">
      <c r="A212" s="22" t="s">
        <v>3853</v>
      </c>
      <c r="B212" s="22" t="s">
        <v>3876</v>
      </c>
      <c r="C212" s="65" t="s">
        <v>3704</v>
      </c>
      <c r="D212" s="2" t="s">
        <v>3899</v>
      </c>
    </row>
    <row r="213" spans="1:4" ht="61.95" customHeight="1">
      <c r="A213" s="66" t="s">
        <v>3900</v>
      </c>
      <c r="B213" s="66" t="s">
        <v>3901</v>
      </c>
      <c r="C213" s="66" t="s">
        <v>26</v>
      </c>
      <c r="D213" s="67" t="s">
        <v>3902</v>
      </c>
    </row>
    <row r="214" spans="1:4" ht="91.05" customHeight="1">
      <c r="A214" s="66" t="s">
        <v>3900</v>
      </c>
      <c r="B214" s="66" t="s">
        <v>3901</v>
      </c>
      <c r="C214" s="66" t="s">
        <v>26</v>
      </c>
      <c r="D214" s="67" t="s">
        <v>3903</v>
      </c>
    </row>
    <row r="215" spans="1:4" ht="61.95" customHeight="1">
      <c r="A215" s="66" t="s">
        <v>3900</v>
      </c>
      <c r="B215" s="66" t="s">
        <v>3901</v>
      </c>
      <c r="C215" s="66" t="s">
        <v>26</v>
      </c>
      <c r="D215" s="67" t="s">
        <v>3904</v>
      </c>
    </row>
    <row r="216" spans="1:4" ht="61.95" customHeight="1">
      <c r="A216" s="66" t="s">
        <v>3900</v>
      </c>
      <c r="B216" s="66" t="s">
        <v>3901</v>
      </c>
      <c r="C216" s="66" t="s">
        <v>26</v>
      </c>
      <c r="D216" s="67" t="s">
        <v>3905</v>
      </c>
    </row>
    <row r="217" spans="1:4" ht="47.55" customHeight="1">
      <c r="A217" s="66" t="s">
        <v>3900</v>
      </c>
      <c r="B217" s="66" t="s">
        <v>3901</v>
      </c>
      <c r="C217" s="66" t="s">
        <v>26</v>
      </c>
      <c r="D217" s="67" t="s">
        <v>3906</v>
      </c>
    </row>
    <row r="218" spans="1:4" ht="61.95" customHeight="1">
      <c r="A218" s="66" t="s">
        <v>3900</v>
      </c>
      <c r="B218" s="66" t="s">
        <v>3901</v>
      </c>
      <c r="C218" s="66" t="s">
        <v>26</v>
      </c>
      <c r="D218" s="67" t="s">
        <v>3907</v>
      </c>
    </row>
    <row r="219" spans="1:4" ht="61.95" customHeight="1">
      <c r="A219" s="66" t="s">
        <v>3900</v>
      </c>
      <c r="B219" s="66" t="s">
        <v>3901</v>
      </c>
      <c r="C219" s="66" t="s">
        <v>26</v>
      </c>
      <c r="D219" s="67" t="s">
        <v>3908</v>
      </c>
    </row>
    <row r="220" spans="1:4" ht="47.55" customHeight="1">
      <c r="A220" s="66" t="s">
        <v>3900</v>
      </c>
      <c r="B220" s="66" t="s">
        <v>3901</v>
      </c>
      <c r="C220" s="66" t="s">
        <v>26</v>
      </c>
      <c r="D220" s="67" t="s">
        <v>3909</v>
      </c>
    </row>
    <row r="221" spans="1:4" ht="76.5" customHeight="1">
      <c r="A221" s="66" t="s">
        <v>3900</v>
      </c>
      <c r="B221" s="66" t="s">
        <v>3901</v>
      </c>
      <c r="C221" s="66" t="s">
        <v>26</v>
      </c>
      <c r="D221" s="67" t="s">
        <v>3910</v>
      </c>
    </row>
    <row r="222" spans="1:4" ht="61.95" customHeight="1">
      <c r="A222" s="66" t="s">
        <v>3900</v>
      </c>
      <c r="B222" s="66" t="s">
        <v>3901</v>
      </c>
      <c r="C222" s="66" t="s">
        <v>26</v>
      </c>
      <c r="D222" s="67" t="s">
        <v>3911</v>
      </c>
    </row>
    <row r="223" spans="1:4" ht="61.95" customHeight="1">
      <c r="A223" s="66" t="s">
        <v>3900</v>
      </c>
      <c r="B223" s="66" t="s">
        <v>3901</v>
      </c>
      <c r="C223" s="68" t="s">
        <v>3694</v>
      </c>
      <c r="D223" s="67" t="s">
        <v>3912</v>
      </c>
    </row>
    <row r="224" spans="1:4" ht="33" customHeight="1">
      <c r="A224" s="66" t="s">
        <v>3900</v>
      </c>
      <c r="B224" s="66" t="s">
        <v>3901</v>
      </c>
      <c r="C224" s="68" t="s">
        <v>3694</v>
      </c>
      <c r="D224" s="67" t="s">
        <v>3913</v>
      </c>
    </row>
    <row r="225" spans="1:4" ht="33" customHeight="1">
      <c r="A225" s="66" t="s">
        <v>3900</v>
      </c>
      <c r="B225" s="66" t="s">
        <v>3901</v>
      </c>
      <c r="C225" s="68" t="s">
        <v>3694</v>
      </c>
      <c r="D225" s="67" t="s">
        <v>3914</v>
      </c>
    </row>
    <row r="226" spans="1:4" ht="33" customHeight="1">
      <c r="A226" s="66" t="s">
        <v>3900</v>
      </c>
      <c r="B226" s="66" t="s">
        <v>3901</v>
      </c>
      <c r="C226" s="68" t="s">
        <v>3694</v>
      </c>
      <c r="D226" s="67" t="s">
        <v>3915</v>
      </c>
    </row>
    <row r="227" spans="1:4" ht="33" customHeight="1">
      <c r="A227" s="66" t="s">
        <v>3900</v>
      </c>
      <c r="B227" s="66" t="s">
        <v>3901</v>
      </c>
      <c r="C227" s="68" t="s">
        <v>3694</v>
      </c>
      <c r="D227" s="67" t="s">
        <v>3916</v>
      </c>
    </row>
    <row r="228" spans="1:4" ht="33" customHeight="1">
      <c r="A228" s="66" t="s">
        <v>3900</v>
      </c>
      <c r="B228" s="66" t="s">
        <v>3901</v>
      </c>
      <c r="C228" s="68" t="s">
        <v>3694</v>
      </c>
      <c r="D228" s="67" t="s">
        <v>3917</v>
      </c>
    </row>
    <row r="229" spans="1:4" ht="33" customHeight="1">
      <c r="A229" s="66" t="s">
        <v>3900</v>
      </c>
      <c r="B229" s="66" t="s">
        <v>3901</v>
      </c>
      <c r="C229" s="68" t="s">
        <v>3694</v>
      </c>
      <c r="D229" s="67" t="s">
        <v>3918</v>
      </c>
    </row>
    <row r="230" spans="1:4" ht="18.45" customHeight="1">
      <c r="A230" s="66" t="s">
        <v>3900</v>
      </c>
      <c r="B230" s="66" t="s">
        <v>3901</v>
      </c>
      <c r="C230" s="68" t="s">
        <v>3694</v>
      </c>
      <c r="D230" s="67" t="s">
        <v>3919</v>
      </c>
    </row>
    <row r="231" spans="1:4" ht="47.55" customHeight="1">
      <c r="A231" s="66" t="s">
        <v>3900</v>
      </c>
      <c r="B231" s="66" t="s">
        <v>3901</v>
      </c>
      <c r="C231" s="68" t="s">
        <v>3694</v>
      </c>
      <c r="D231" s="67" t="s">
        <v>3920</v>
      </c>
    </row>
    <row r="232" spans="1:4" ht="33" customHeight="1">
      <c r="A232" s="66" t="s">
        <v>3900</v>
      </c>
      <c r="B232" s="66" t="s">
        <v>3901</v>
      </c>
      <c r="C232" s="68" t="s">
        <v>3694</v>
      </c>
      <c r="D232" s="67" t="s">
        <v>3921</v>
      </c>
    </row>
    <row r="233" spans="1:4" ht="160.05000000000001" customHeight="1">
      <c r="A233" s="66" t="s">
        <v>3900</v>
      </c>
      <c r="B233" s="66" t="s">
        <v>3901</v>
      </c>
      <c r="C233" s="69" t="s">
        <v>3704</v>
      </c>
      <c r="D233" s="67" t="s">
        <v>3922</v>
      </c>
    </row>
    <row r="234" spans="1:4" ht="61.95" customHeight="1">
      <c r="A234" s="66" t="s">
        <v>3900</v>
      </c>
      <c r="B234" s="66" t="s">
        <v>3923</v>
      </c>
      <c r="C234" s="66" t="s">
        <v>26</v>
      </c>
      <c r="D234" s="67" t="s">
        <v>3924</v>
      </c>
    </row>
    <row r="235" spans="1:4" ht="105.45" customHeight="1">
      <c r="A235" s="66" t="s">
        <v>3900</v>
      </c>
      <c r="B235" s="66" t="s">
        <v>3923</v>
      </c>
      <c r="C235" s="66" t="s">
        <v>26</v>
      </c>
      <c r="D235" s="67" t="s">
        <v>3925</v>
      </c>
    </row>
    <row r="236" spans="1:4" ht="76.5" customHeight="1">
      <c r="A236" s="66" t="s">
        <v>3900</v>
      </c>
      <c r="B236" s="66" t="s">
        <v>3923</v>
      </c>
      <c r="C236" s="66" t="s">
        <v>26</v>
      </c>
      <c r="D236" s="67" t="s">
        <v>3926</v>
      </c>
    </row>
    <row r="237" spans="1:4" ht="47.55" customHeight="1">
      <c r="A237" s="66" t="s">
        <v>3900</v>
      </c>
      <c r="B237" s="66" t="s">
        <v>3923</v>
      </c>
      <c r="C237" s="66" t="s">
        <v>26</v>
      </c>
      <c r="D237" s="67" t="s">
        <v>3927</v>
      </c>
    </row>
    <row r="238" spans="1:4" ht="18.45" customHeight="1">
      <c r="A238" s="66" t="s">
        <v>3900</v>
      </c>
      <c r="B238" s="66" t="s">
        <v>3923</v>
      </c>
      <c r="C238" s="66" t="s">
        <v>26</v>
      </c>
      <c r="D238" s="67" t="s">
        <v>3928</v>
      </c>
    </row>
    <row r="239" spans="1:4" ht="61.95" customHeight="1">
      <c r="A239" s="66" t="s">
        <v>3900</v>
      </c>
      <c r="B239" s="66" t="s">
        <v>3923</v>
      </c>
      <c r="C239" s="66" t="s">
        <v>26</v>
      </c>
      <c r="D239" s="67" t="s">
        <v>3929</v>
      </c>
    </row>
    <row r="240" spans="1:4" ht="47.55" customHeight="1">
      <c r="A240" s="66" t="s">
        <v>3900</v>
      </c>
      <c r="B240" s="66" t="s">
        <v>3923</v>
      </c>
      <c r="C240" s="66" t="s">
        <v>26</v>
      </c>
      <c r="D240" s="67" t="s">
        <v>3930</v>
      </c>
    </row>
    <row r="241" spans="1:4" ht="47.55" customHeight="1">
      <c r="A241" s="66" t="s">
        <v>3900</v>
      </c>
      <c r="B241" s="66" t="s">
        <v>3923</v>
      </c>
      <c r="C241" s="66" t="s">
        <v>26</v>
      </c>
      <c r="D241" s="67" t="s">
        <v>3931</v>
      </c>
    </row>
    <row r="242" spans="1:4" ht="61.95" customHeight="1">
      <c r="A242" s="66" t="s">
        <v>3900</v>
      </c>
      <c r="B242" s="66" t="s">
        <v>3923</v>
      </c>
      <c r="C242" s="68" t="s">
        <v>3694</v>
      </c>
      <c r="D242" s="67" t="s">
        <v>3932</v>
      </c>
    </row>
    <row r="243" spans="1:4" ht="33" customHeight="1">
      <c r="A243" s="66" t="s">
        <v>3900</v>
      </c>
      <c r="B243" s="66" t="s">
        <v>3923</v>
      </c>
      <c r="C243" s="68" t="s">
        <v>3694</v>
      </c>
      <c r="D243" s="67" t="s">
        <v>3933</v>
      </c>
    </row>
    <row r="244" spans="1:4" ht="33" customHeight="1">
      <c r="A244" s="66" t="s">
        <v>3900</v>
      </c>
      <c r="B244" s="66" t="s">
        <v>3923</v>
      </c>
      <c r="C244" s="68" t="s">
        <v>3694</v>
      </c>
      <c r="D244" s="67" t="s">
        <v>3934</v>
      </c>
    </row>
    <row r="245" spans="1:4" ht="33" customHeight="1">
      <c r="A245" s="66" t="s">
        <v>3900</v>
      </c>
      <c r="B245" s="66" t="s">
        <v>3923</v>
      </c>
      <c r="C245" s="68" t="s">
        <v>3694</v>
      </c>
      <c r="D245" s="67" t="s">
        <v>3935</v>
      </c>
    </row>
    <row r="246" spans="1:4" ht="47.55" customHeight="1">
      <c r="A246" s="66" t="s">
        <v>3900</v>
      </c>
      <c r="B246" s="66" t="s">
        <v>3923</v>
      </c>
      <c r="C246" s="68" t="s">
        <v>3694</v>
      </c>
      <c r="D246" s="67" t="s">
        <v>3936</v>
      </c>
    </row>
    <row r="247" spans="1:4" ht="47.55" customHeight="1">
      <c r="A247" s="66" t="s">
        <v>3900</v>
      </c>
      <c r="B247" s="66" t="s">
        <v>3923</v>
      </c>
      <c r="C247" s="68" t="s">
        <v>3694</v>
      </c>
      <c r="D247" s="67" t="s">
        <v>3937</v>
      </c>
    </row>
    <row r="248" spans="1:4" ht="18.45" customHeight="1">
      <c r="A248" s="66" t="s">
        <v>3900</v>
      </c>
      <c r="B248" s="66" t="s">
        <v>3923</v>
      </c>
      <c r="C248" s="68" t="s">
        <v>3694</v>
      </c>
      <c r="D248" s="67" t="s">
        <v>3938</v>
      </c>
    </row>
    <row r="249" spans="1:4" ht="61.95" customHeight="1">
      <c r="A249" s="66" t="s">
        <v>3900</v>
      </c>
      <c r="B249" s="66" t="s">
        <v>3923</v>
      </c>
      <c r="C249" s="69" t="s">
        <v>3704</v>
      </c>
      <c r="D249" s="67" t="s">
        <v>3939</v>
      </c>
    </row>
    <row r="250" spans="1:4" ht="76.5" customHeight="1">
      <c r="A250" s="66" t="s">
        <v>3900</v>
      </c>
      <c r="B250" s="66" t="s">
        <v>3923</v>
      </c>
      <c r="C250" s="69" t="s">
        <v>3704</v>
      </c>
      <c r="D250" s="67" t="s">
        <v>3940</v>
      </c>
    </row>
    <row r="251" spans="1:4" ht="76.5" customHeight="1">
      <c r="A251" s="66" t="s">
        <v>3900</v>
      </c>
      <c r="B251" s="66" t="s">
        <v>3923</v>
      </c>
      <c r="C251" s="69" t="s">
        <v>3704</v>
      </c>
      <c r="D251" s="67" t="s">
        <v>3941</v>
      </c>
    </row>
    <row r="252" spans="1:4" ht="47.55" customHeight="1">
      <c r="A252" s="66" t="s">
        <v>3900</v>
      </c>
      <c r="B252" s="66" t="s">
        <v>3923</v>
      </c>
      <c r="C252" s="69" t="s">
        <v>3704</v>
      </c>
      <c r="D252" s="67" t="s">
        <v>3942</v>
      </c>
    </row>
    <row r="253" spans="1:4" ht="47.55" customHeight="1">
      <c r="A253" s="66" t="s">
        <v>3900</v>
      </c>
      <c r="B253" s="66" t="s">
        <v>3923</v>
      </c>
      <c r="C253" s="69" t="s">
        <v>3704</v>
      </c>
      <c r="D253" s="67" t="s">
        <v>3943</v>
      </c>
    </row>
    <row r="254" spans="1:4" ht="61.95" customHeight="1">
      <c r="A254" s="66" t="s">
        <v>3900</v>
      </c>
      <c r="B254" s="66" t="s">
        <v>3923</v>
      </c>
      <c r="C254" s="69" t="s">
        <v>3704</v>
      </c>
      <c r="D254" s="67" t="s">
        <v>3944</v>
      </c>
    </row>
    <row r="255" spans="1:4" ht="105.45" customHeight="1">
      <c r="A255" s="66" t="s">
        <v>3900</v>
      </c>
      <c r="B255" s="66" t="s">
        <v>3923</v>
      </c>
      <c r="C255" s="69" t="s">
        <v>3704</v>
      </c>
      <c r="D255" s="67" t="s">
        <v>3945</v>
      </c>
    </row>
    <row r="256" spans="1:4" ht="47.55" customHeight="1">
      <c r="A256" s="66" t="s">
        <v>3900</v>
      </c>
      <c r="B256" s="66" t="s">
        <v>3923</v>
      </c>
      <c r="C256" s="69" t="s">
        <v>3704</v>
      </c>
      <c r="D256" s="67" t="s">
        <v>3946</v>
      </c>
    </row>
    <row r="257" spans="1:4" ht="47.55" customHeight="1">
      <c r="A257" s="22" t="s">
        <v>3947</v>
      </c>
      <c r="B257" s="22" t="s">
        <v>3948</v>
      </c>
      <c r="C257" s="22" t="s">
        <v>26</v>
      </c>
      <c r="D257" s="2" t="s">
        <v>3949</v>
      </c>
    </row>
    <row r="258" spans="1:4" ht="76.5" customHeight="1">
      <c r="A258" s="22" t="s">
        <v>3947</v>
      </c>
      <c r="B258" s="22" t="s">
        <v>3948</v>
      </c>
      <c r="C258" s="22" t="s">
        <v>26</v>
      </c>
      <c r="D258" s="2" t="s">
        <v>3950</v>
      </c>
    </row>
    <row r="259" spans="1:4" ht="47.55" customHeight="1">
      <c r="A259" s="22" t="s">
        <v>3947</v>
      </c>
      <c r="B259" s="22" t="s">
        <v>3948</v>
      </c>
      <c r="C259" s="22" t="s">
        <v>26</v>
      </c>
      <c r="D259" s="2" t="s">
        <v>3951</v>
      </c>
    </row>
    <row r="260" spans="1:4" ht="47.55" customHeight="1">
      <c r="A260" s="22" t="s">
        <v>3947</v>
      </c>
      <c r="B260" s="22" t="s">
        <v>3948</v>
      </c>
      <c r="C260" s="22" t="s">
        <v>26</v>
      </c>
      <c r="D260" s="2" t="s">
        <v>3952</v>
      </c>
    </row>
    <row r="261" spans="1:4" ht="47.55" customHeight="1">
      <c r="A261" s="22" t="s">
        <v>3947</v>
      </c>
      <c r="B261" s="22" t="s">
        <v>3948</v>
      </c>
      <c r="C261" s="22" t="s">
        <v>26</v>
      </c>
      <c r="D261" s="2" t="s">
        <v>3953</v>
      </c>
    </row>
    <row r="262" spans="1:4" ht="47.55" customHeight="1">
      <c r="A262" s="22" t="s">
        <v>3947</v>
      </c>
      <c r="B262" s="22" t="s">
        <v>3948</v>
      </c>
      <c r="C262" s="22" t="s">
        <v>26</v>
      </c>
      <c r="D262" s="2" t="s">
        <v>3954</v>
      </c>
    </row>
    <row r="263" spans="1:4" ht="47.55" customHeight="1">
      <c r="A263" s="22" t="s">
        <v>3947</v>
      </c>
      <c r="B263" s="22" t="s">
        <v>3948</v>
      </c>
      <c r="C263" s="22" t="s">
        <v>26</v>
      </c>
      <c r="D263" s="2" t="s">
        <v>3955</v>
      </c>
    </row>
    <row r="264" spans="1:4" ht="76.5" customHeight="1">
      <c r="A264" s="22" t="s">
        <v>3947</v>
      </c>
      <c r="B264" s="22" t="s">
        <v>3948</v>
      </c>
      <c r="C264" s="22" t="s">
        <v>26</v>
      </c>
      <c r="D264" s="2" t="s">
        <v>3956</v>
      </c>
    </row>
    <row r="265" spans="1:4" ht="47.55" customHeight="1">
      <c r="A265" s="22" t="s">
        <v>3947</v>
      </c>
      <c r="B265" s="22" t="s">
        <v>3948</v>
      </c>
      <c r="C265" s="22" t="s">
        <v>26</v>
      </c>
      <c r="D265" s="2" t="s">
        <v>3957</v>
      </c>
    </row>
    <row r="266" spans="1:4" ht="61.95" customHeight="1">
      <c r="A266" s="22" t="s">
        <v>3947</v>
      </c>
      <c r="B266" s="22" t="s">
        <v>3948</v>
      </c>
      <c r="C266" s="22" t="s">
        <v>26</v>
      </c>
      <c r="D266" s="2" t="s">
        <v>3958</v>
      </c>
    </row>
    <row r="267" spans="1:4" ht="61.95" customHeight="1">
      <c r="A267" s="22" t="s">
        <v>3947</v>
      </c>
      <c r="B267" s="22" t="s">
        <v>3948</v>
      </c>
      <c r="C267" s="22" t="s">
        <v>26</v>
      </c>
      <c r="D267" s="2" t="s">
        <v>3959</v>
      </c>
    </row>
    <row r="268" spans="1:4" ht="47.55" customHeight="1">
      <c r="A268" s="22" t="s">
        <v>3947</v>
      </c>
      <c r="B268" s="22" t="s">
        <v>3948</v>
      </c>
      <c r="C268" s="22" t="s">
        <v>26</v>
      </c>
      <c r="D268" s="2" t="s">
        <v>3960</v>
      </c>
    </row>
    <row r="269" spans="1:4" ht="76.5" customHeight="1">
      <c r="A269" s="22" t="s">
        <v>3947</v>
      </c>
      <c r="B269" s="22" t="s">
        <v>3948</v>
      </c>
      <c r="C269" s="64" t="s">
        <v>3694</v>
      </c>
      <c r="D269" s="2" t="s">
        <v>3961</v>
      </c>
    </row>
    <row r="270" spans="1:4" ht="91.05" customHeight="1">
      <c r="A270" s="22" t="s">
        <v>3947</v>
      </c>
      <c r="B270" s="22" t="s">
        <v>3948</v>
      </c>
      <c r="C270" s="64" t="s">
        <v>3694</v>
      </c>
      <c r="D270" s="2" t="s">
        <v>3962</v>
      </c>
    </row>
    <row r="271" spans="1:4" ht="47.55" customHeight="1">
      <c r="A271" s="22" t="s">
        <v>3947</v>
      </c>
      <c r="B271" s="22" t="s">
        <v>3948</v>
      </c>
      <c r="C271" s="64" t="s">
        <v>3694</v>
      </c>
      <c r="D271" s="2" t="s">
        <v>3963</v>
      </c>
    </row>
    <row r="272" spans="1:4" ht="33" customHeight="1">
      <c r="A272" s="22" t="s">
        <v>3947</v>
      </c>
      <c r="B272" s="22" t="s">
        <v>3948</v>
      </c>
      <c r="C272" s="64" t="s">
        <v>3694</v>
      </c>
      <c r="D272" s="2" t="s">
        <v>3964</v>
      </c>
    </row>
    <row r="273" spans="1:4" ht="33" customHeight="1">
      <c r="A273" s="22" t="s">
        <v>3947</v>
      </c>
      <c r="B273" s="22" t="s">
        <v>3948</v>
      </c>
      <c r="C273" s="64" t="s">
        <v>3694</v>
      </c>
      <c r="D273" s="2" t="s">
        <v>3965</v>
      </c>
    </row>
    <row r="274" spans="1:4" ht="18.45" customHeight="1">
      <c r="A274" s="22" t="s">
        <v>3947</v>
      </c>
      <c r="B274" s="22" t="s">
        <v>3948</v>
      </c>
      <c r="C274" s="64" t="s">
        <v>3694</v>
      </c>
      <c r="D274" s="2" t="s">
        <v>3966</v>
      </c>
    </row>
    <row r="275" spans="1:4" ht="47.55" customHeight="1">
      <c r="A275" s="22" t="s">
        <v>3947</v>
      </c>
      <c r="B275" s="22" t="s">
        <v>3948</v>
      </c>
      <c r="C275" s="64" t="s">
        <v>3694</v>
      </c>
      <c r="D275" s="2" t="s">
        <v>3967</v>
      </c>
    </row>
    <row r="276" spans="1:4" ht="47.55" customHeight="1">
      <c r="A276" s="22" t="s">
        <v>3947</v>
      </c>
      <c r="B276" s="22" t="s">
        <v>3948</v>
      </c>
      <c r="C276" s="64" t="s">
        <v>3694</v>
      </c>
      <c r="D276" s="2" t="s">
        <v>3968</v>
      </c>
    </row>
    <row r="277" spans="1:4" ht="160.05000000000001" customHeight="1">
      <c r="A277" s="22" t="s">
        <v>3947</v>
      </c>
      <c r="B277" s="22" t="s">
        <v>3948</v>
      </c>
      <c r="C277" s="65" t="s">
        <v>3704</v>
      </c>
      <c r="D277" s="2" t="s">
        <v>3969</v>
      </c>
    </row>
    <row r="278" spans="1:4" ht="76.5" customHeight="1">
      <c r="A278" s="22" t="s">
        <v>3947</v>
      </c>
      <c r="B278" s="22" t="s">
        <v>756</v>
      </c>
      <c r="C278" s="22" t="s">
        <v>26</v>
      </c>
      <c r="D278" s="2" t="s">
        <v>3970</v>
      </c>
    </row>
    <row r="279" spans="1:4" ht="61.95" customHeight="1">
      <c r="A279" s="22" t="s">
        <v>3947</v>
      </c>
      <c r="B279" s="22" t="s">
        <v>756</v>
      </c>
      <c r="C279" s="22" t="s">
        <v>26</v>
      </c>
      <c r="D279" s="2" t="s">
        <v>3971</v>
      </c>
    </row>
    <row r="280" spans="1:4" ht="61.95" customHeight="1">
      <c r="A280" s="22" t="s">
        <v>3947</v>
      </c>
      <c r="B280" s="22" t="s">
        <v>756</v>
      </c>
      <c r="C280" s="22" t="s">
        <v>26</v>
      </c>
      <c r="D280" s="2" t="s">
        <v>3972</v>
      </c>
    </row>
    <row r="281" spans="1:4" ht="91.05" customHeight="1">
      <c r="A281" s="22" t="s">
        <v>3947</v>
      </c>
      <c r="B281" s="22" t="s">
        <v>756</v>
      </c>
      <c r="C281" s="22" t="s">
        <v>26</v>
      </c>
      <c r="D281" s="2" t="s">
        <v>3973</v>
      </c>
    </row>
    <row r="282" spans="1:4" ht="61.95" customHeight="1">
      <c r="A282" s="22" t="s">
        <v>3947</v>
      </c>
      <c r="B282" s="22" t="s">
        <v>756</v>
      </c>
      <c r="C282" s="22" t="s">
        <v>26</v>
      </c>
      <c r="D282" s="2" t="s">
        <v>3974</v>
      </c>
    </row>
    <row r="283" spans="1:4" ht="33" customHeight="1">
      <c r="A283" s="22" t="s">
        <v>3947</v>
      </c>
      <c r="B283" s="22" t="s">
        <v>756</v>
      </c>
      <c r="C283" s="22" t="s">
        <v>26</v>
      </c>
      <c r="D283" s="2" t="s">
        <v>3975</v>
      </c>
    </row>
    <row r="284" spans="1:4" ht="47.55" customHeight="1">
      <c r="A284" s="22" t="s">
        <v>3947</v>
      </c>
      <c r="B284" s="22" t="s">
        <v>756</v>
      </c>
      <c r="C284" s="22" t="s">
        <v>26</v>
      </c>
      <c r="D284" s="2" t="s">
        <v>3976</v>
      </c>
    </row>
    <row r="285" spans="1:4" ht="76.5" customHeight="1">
      <c r="A285" s="22" t="s">
        <v>3947</v>
      </c>
      <c r="B285" s="22" t="s">
        <v>756</v>
      </c>
      <c r="C285" s="22" t="s">
        <v>26</v>
      </c>
      <c r="D285" s="2" t="s">
        <v>3977</v>
      </c>
    </row>
    <row r="286" spans="1:4" ht="91.05" customHeight="1">
      <c r="A286" s="22" t="s">
        <v>3947</v>
      </c>
      <c r="B286" s="22" t="s">
        <v>756</v>
      </c>
      <c r="C286" s="22" t="s">
        <v>26</v>
      </c>
      <c r="D286" s="2" t="s">
        <v>3978</v>
      </c>
    </row>
    <row r="287" spans="1:4" ht="47.55" customHeight="1">
      <c r="A287" s="22" t="s">
        <v>3947</v>
      </c>
      <c r="B287" s="22" t="s">
        <v>756</v>
      </c>
      <c r="C287" s="22" t="s">
        <v>26</v>
      </c>
      <c r="D287" s="2" t="s">
        <v>3979</v>
      </c>
    </row>
    <row r="288" spans="1:4" ht="47.55" customHeight="1">
      <c r="A288" s="22" t="s">
        <v>3947</v>
      </c>
      <c r="B288" s="22" t="s">
        <v>756</v>
      </c>
      <c r="C288" s="22" t="s">
        <v>26</v>
      </c>
      <c r="D288" s="2" t="s">
        <v>3980</v>
      </c>
    </row>
    <row r="289" spans="1:4" ht="47.55" customHeight="1">
      <c r="A289" s="22" t="s">
        <v>3947</v>
      </c>
      <c r="B289" s="22" t="s">
        <v>756</v>
      </c>
      <c r="C289" s="22" t="s">
        <v>26</v>
      </c>
      <c r="D289" s="2" t="s">
        <v>3981</v>
      </c>
    </row>
    <row r="290" spans="1:4" ht="61.95" customHeight="1">
      <c r="A290" s="22" t="s">
        <v>3947</v>
      </c>
      <c r="B290" s="22" t="s">
        <v>756</v>
      </c>
      <c r="C290" s="64" t="s">
        <v>3694</v>
      </c>
      <c r="D290" s="2" t="s">
        <v>3982</v>
      </c>
    </row>
    <row r="291" spans="1:4" ht="76.5" customHeight="1">
      <c r="A291" s="22" t="s">
        <v>3947</v>
      </c>
      <c r="B291" s="22" t="s">
        <v>756</v>
      </c>
      <c r="C291" s="64" t="s">
        <v>3694</v>
      </c>
      <c r="D291" s="2" t="s">
        <v>3983</v>
      </c>
    </row>
    <row r="292" spans="1:4" ht="47.55" customHeight="1">
      <c r="A292" s="22" t="s">
        <v>3947</v>
      </c>
      <c r="B292" s="22" t="s">
        <v>756</v>
      </c>
      <c r="C292" s="64" t="s">
        <v>3694</v>
      </c>
      <c r="D292" s="2" t="s">
        <v>3984</v>
      </c>
    </row>
    <row r="293" spans="1:4" ht="33" customHeight="1">
      <c r="A293" s="22" t="s">
        <v>3947</v>
      </c>
      <c r="B293" s="22" t="s">
        <v>756</v>
      </c>
      <c r="C293" s="64" t="s">
        <v>3694</v>
      </c>
      <c r="D293" s="2" t="s">
        <v>3985</v>
      </c>
    </row>
    <row r="294" spans="1:4" ht="33" customHeight="1">
      <c r="A294" s="22" t="s">
        <v>3947</v>
      </c>
      <c r="B294" s="22" t="s">
        <v>756</v>
      </c>
      <c r="C294" s="64" t="s">
        <v>3694</v>
      </c>
      <c r="D294" s="2" t="s">
        <v>3986</v>
      </c>
    </row>
    <row r="295" spans="1:4" ht="33" customHeight="1">
      <c r="A295" s="22" t="s">
        <v>3947</v>
      </c>
      <c r="B295" s="22" t="s">
        <v>756</v>
      </c>
      <c r="C295" s="64" t="s">
        <v>3694</v>
      </c>
      <c r="D295" s="2" t="s">
        <v>3987</v>
      </c>
    </row>
    <row r="296" spans="1:4" ht="33" customHeight="1">
      <c r="A296" s="22" t="s">
        <v>3947</v>
      </c>
      <c r="B296" s="22" t="s">
        <v>756</v>
      </c>
      <c r="C296" s="64" t="s">
        <v>3694</v>
      </c>
      <c r="D296" s="2" t="s">
        <v>3988</v>
      </c>
    </row>
    <row r="297" spans="1:4" ht="61.95" customHeight="1">
      <c r="A297" s="22" t="s">
        <v>3947</v>
      </c>
      <c r="B297" s="22" t="s">
        <v>756</v>
      </c>
      <c r="C297" s="64" t="s">
        <v>3694</v>
      </c>
      <c r="D297" s="2" t="s">
        <v>3989</v>
      </c>
    </row>
    <row r="298" spans="1:4" ht="47.55" customHeight="1">
      <c r="A298" s="22" t="s">
        <v>3947</v>
      </c>
      <c r="B298" s="22" t="s">
        <v>756</v>
      </c>
      <c r="C298" s="64" t="s">
        <v>3694</v>
      </c>
      <c r="D298" s="2" t="s">
        <v>3990</v>
      </c>
    </row>
    <row r="299" spans="1:4" ht="33" customHeight="1">
      <c r="A299" s="22" t="s">
        <v>3947</v>
      </c>
      <c r="B299" s="22" t="s">
        <v>756</v>
      </c>
      <c r="C299" s="64" t="s">
        <v>3694</v>
      </c>
      <c r="D299" s="2" t="s">
        <v>3991</v>
      </c>
    </row>
    <row r="300" spans="1:4" ht="76.5" customHeight="1">
      <c r="A300" s="22" t="s">
        <v>3947</v>
      </c>
      <c r="B300" s="22" t="s">
        <v>756</v>
      </c>
      <c r="C300" s="65" t="s">
        <v>3704</v>
      </c>
      <c r="D300" s="2" t="s">
        <v>3992</v>
      </c>
    </row>
    <row r="301" spans="1:4" ht="33" customHeight="1">
      <c r="A301" s="22" t="s">
        <v>3947</v>
      </c>
      <c r="B301" s="22" t="s">
        <v>756</v>
      </c>
      <c r="C301" s="65" t="s">
        <v>3704</v>
      </c>
      <c r="D301" s="2" t="s">
        <v>3993</v>
      </c>
    </row>
    <row r="302" spans="1:4" ht="61.95" customHeight="1">
      <c r="A302" s="22" t="s">
        <v>3947</v>
      </c>
      <c r="B302" s="22" t="s">
        <v>756</v>
      </c>
      <c r="C302" s="65" t="s">
        <v>3704</v>
      </c>
      <c r="D302" s="2" t="s">
        <v>3994</v>
      </c>
    </row>
    <row r="303" spans="1:4" ht="76.5" customHeight="1">
      <c r="A303" s="22" t="s">
        <v>3947</v>
      </c>
      <c r="B303" s="22" t="s">
        <v>756</v>
      </c>
      <c r="C303" s="65" t="s">
        <v>3704</v>
      </c>
      <c r="D303" s="2" t="s">
        <v>3995</v>
      </c>
    </row>
    <row r="304" spans="1:4" ht="47.55" customHeight="1">
      <c r="A304" s="22" t="s">
        <v>3947</v>
      </c>
      <c r="B304" s="22" t="s">
        <v>756</v>
      </c>
      <c r="C304" s="65" t="s">
        <v>3704</v>
      </c>
      <c r="D304" s="2" t="s">
        <v>3996</v>
      </c>
    </row>
    <row r="305" spans="1:4" ht="47.55" customHeight="1">
      <c r="A305" s="22" t="s">
        <v>3947</v>
      </c>
      <c r="B305" s="22" t="s">
        <v>756</v>
      </c>
      <c r="C305" s="65" t="s">
        <v>3704</v>
      </c>
      <c r="D305" s="2" t="s">
        <v>3997</v>
      </c>
    </row>
    <row r="306" spans="1:4" ht="91.05" customHeight="1">
      <c r="A306" s="22" t="s">
        <v>3947</v>
      </c>
      <c r="B306" s="22" t="s">
        <v>756</v>
      </c>
      <c r="C306" s="65" t="s">
        <v>3704</v>
      </c>
      <c r="D306" s="2" t="s">
        <v>3998</v>
      </c>
    </row>
    <row r="307" spans="1:4" ht="61.95" customHeight="1">
      <c r="A307" s="22" t="s">
        <v>3947</v>
      </c>
      <c r="B307" s="22" t="s">
        <v>756</v>
      </c>
      <c r="C307" s="65" t="s">
        <v>3704</v>
      </c>
      <c r="D307" s="2" t="s">
        <v>3999</v>
      </c>
    </row>
    <row r="308" spans="1:4" ht="61.95" customHeight="1">
      <c r="A308" s="66" t="s">
        <v>4000</v>
      </c>
      <c r="B308" s="66" t="s">
        <v>4001</v>
      </c>
      <c r="C308" s="66" t="s">
        <v>26</v>
      </c>
      <c r="D308" s="67" t="s">
        <v>4002</v>
      </c>
    </row>
    <row r="309" spans="1:4" ht="33" customHeight="1">
      <c r="A309" s="66" t="s">
        <v>4000</v>
      </c>
      <c r="B309" s="66" t="s">
        <v>4001</v>
      </c>
      <c r="C309" s="66" t="s">
        <v>26</v>
      </c>
      <c r="D309" s="67" t="s">
        <v>4003</v>
      </c>
    </row>
    <row r="310" spans="1:4" ht="105.45" customHeight="1">
      <c r="A310" s="66" t="s">
        <v>4000</v>
      </c>
      <c r="B310" s="66" t="s">
        <v>4001</v>
      </c>
      <c r="C310" s="66" t="s">
        <v>26</v>
      </c>
      <c r="D310" s="67" t="s">
        <v>4004</v>
      </c>
    </row>
    <row r="311" spans="1:4" ht="61.95" customHeight="1">
      <c r="A311" s="66" t="s">
        <v>4000</v>
      </c>
      <c r="B311" s="66" t="s">
        <v>4001</v>
      </c>
      <c r="C311" s="66" t="s">
        <v>26</v>
      </c>
      <c r="D311" s="67" t="s">
        <v>4005</v>
      </c>
    </row>
    <row r="312" spans="1:4" ht="61.95" customHeight="1">
      <c r="A312" s="66" t="s">
        <v>4000</v>
      </c>
      <c r="B312" s="66" t="s">
        <v>4001</v>
      </c>
      <c r="C312" s="66" t="s">
        <v>26</v>
      </c>
      <c r="D312" s="67" t="s">
        <v>4006</v>
      </c>
    </row>
    <row r="313" spans="1:4" ht="76.5" customHeight="1">
      <c r="A313" s="66" t="s">
        <v>4000</v>
      </c>
      <c r="B313" s="66" t="s">
        <v>4001</v>
      </c>
      <c r="C313" s="66" t="s">
        <v>26</v>
      </c>
      <c r="D313" s="67" t="s">
        <v>4007</v>
      </c>
    </row>
    <row r="314" spans="1:4" ht="47.55" customHeight="1">
      <c r="A314" s="66" t="s">
        <v>4000</v>
      </c>
      <c r="B314" s="66" t="s">
        <v>4001</v>
      </c>
      <c r="C314" s="66" t="s">
        <v>26</v>
      </c>
      <c r="D314" s="67" t="s">
        <v>4008</v>
      </c>
    </row>
    <row r="315" spans="1:4" ht="91.05" customHeight="1">
      <c r="A315" s="66" t="s">
        <v>4000</v>
      </c>
      <c r="B315" s="66" t="s">
        <v>4001</v>
      </c>
      <c r="C315" s="66" t="s">
        <v>26</v>
      </c>
      <c r="D315" s="67" t="s">
        <v>4009</v>
      </c>
    </row>
    <row r="316" spans="1:4" ht="33" customHeight="1">
      <c r="A316" s="66" t="s">
        <v>4000</v>
      </c>
      <c r="B316" s="66" t="s">
        <v>4001</v>
      </c>
      <c r="C316" s="68" t="s">
        <v>3694</v>
      </c>
      <c r="D316" s="67" t="s">
        <v>4010</v>
      </c>
    </row>
    <row r="317" spans="1:4" ht="47.55" customHeight="1">
      <c r="A317" s="66" t="s">
        <v>4000</v>
      </c>
      <c r="B317" s="66" t="s">
        <v>4001</v>
      </c>
      <c r="C317" s="68" t="s">
        <v>3694</v>
      </c>
      <c r="D317" s="67" t="s">
        <v>4011</v>
      </c>
    </row>
    <row r="318" spans="1:4" ht="33" customHeight="1">
      <c r="A318" s="66" t="s">
        <v>4000</v>
      </c>
      <c r="B318" s="66" t="s">
        <v>4001</v>
      </c>
      <c r="C318" s="68" t="s">
        <v>3694</v>
      </c>
      <c r="D318" s="67" t="s">
        <v>4012</v>
      </c>
    </row>
    <row r="319" spans="1:4" ht="33" customHeight="1">
      <c r="A319" s="66" t="s">
        <v>4000</v>
      </c>
      <c r="B319" s="66" t="s">
        <v>4001</v>
      </c>
      <c r="C319" s="68" t="s">
        <v>3694</v>
      </c>
      <c r="D319" s="67" t="s">
        <v>4013</v>
      </c>
    </row>
    <row r="320" spans="1:4" ht="33" customHeight="1">
      <c r="A320" s="66" t="s">
        <v>4000</v>
      </c>
      <c r="B320" s="66" t="s">
        <v>4001</v>
      </c>
      <c r="C320" s="68" t="s">
        <v>3694</v>
      </c>
      <c r="D320" s="67" t="s">
        <v>4014</v>
      </c>
    </row>
    <row r="321" spans="1:4" ht="33" customHeight="1">
      <c r="A321" s="66" t="s">
        <v>4000</v>
      </c>
      <c r="B321" s="66" t="s">
        <v>4001</v>
      </c>
      <c r="C321" s="68" t="s">
        <v>3694</v>
      </c>
      <c r="D321" s="67" t="s">
        <v>4015</v>
      </c>
    </row>
    <row r="322" spans="1:4" ht="33" customHeight="1">
      <c r="A322" s="66" t="s">
        <v>4000</v>
      </c>
      <c r="B322" s="66" t="s">
        <v>4001</v>
      </c>
      <c r="C322" s="68" t="s">
        <v>3694</v>
      </c>
      <c r="D322" s="67" t="s">
        <v>4016</v>
      </c>
    </row>
    <row r="323" spans="1:4" ht="33" customHeight="1">
      <c r="A323" s="66" t="s">
        <v>4000</v>
      </c>
      <c r="B323" s="66" t="s">
        <v>4001</v>
      </c>
      <c r="C323" s="68" t="s">
        <v>3694</v>
      </c>
      <c r="D323" s="67" t="s">
        <v>4017</v>
      </c>
    </row>
    <row r="324" spans="1:4" ht="33" customHeight="1">
      <c r="A324" s="66" t="s">
        <v>4000</v>
      </c>
      <c r="B324" s="66" t="s">
        <v>4001</v>
      </c>
      <c r="C324" s="68" t="s">
        <v>3694</v>
      </c>
      <c r="D324" s="67" t="s">
        <v>4018</v>
      </c>
    </row>
    <row r="325" spans="1:4" ht="47.55" customHeight="1">
      <c r="A325" s="66" t="s">
        <v>4000</v>
      </c>
      <c r="B325" s="66" t="s">
        <v>4001</v>
      </c>
      <c r="C325" s="69" t="s">
        <v>3704</v>
      </c>
      <c r="D325" s="67" t="s">
        <v>4019</v>
      </c>
    </row>
    <row r="326" spans="1:4" ht="61.95" customHeight="1">
      <c r="A326" s="66" t="s">
        <v>4000</v>
      </c>
      <c r="B326" s="66" t="s">
        <v>4001</v>
      </c>
      <c r="C326" s="69" t="s">
        <v>3704</v>
      </c>
      <c r="D326" s="67" t="s">
        <v>4020</v>
      </c>
    </row>
    <row r="327" spans="1:4" ht="47.55" customHeight="1">
      <c r="A327" s="66" t="s">
        <v>4000</v>
      </c>
      <c r="B327" s="66" t="s">
        <v>4001</v>
      </c>
      <c r="C327" s="69" t="s">
        <v>3704</v>
      </c>
      <c r="D327" s="67" t="s">
        <v>4021</v>
      </c>
    </row>
    <row r="328" spans="1:4" ht="33" customHeight="1">
      <c r="A328" s="66" t="s">
        <v>4000</v>
      </c>
      <c r="B328" s="66" t="s">
        <v>4001</v>
      </c>
      <c r="C328" s="69" t="s">
        <v>3704</v>
      </c>
      <c r="D328" s="67" t="s">
        <v>4022</v>
      </c>
    </row>
    <row r="329" spans="1:4" ht="76.5" customHeight="1">
      <c r="A329" s="66" t="s">
        <v>4000</v>
      </c>
      <c r="B329" s="66" t="s">
        <v>4001</v>
      </c>
      <c r="C329" s="69" t="s">
        <v>3704</v>
      </c>
      <c r="D329" s="67" t="s">
        <v>4023</v>
      </c>
    </row>
    <row r="330" spans="1:4" ht="91.05" customHeight="1">
      <c r="A330" s="66" t="s">
        <v>4000</v>
      </c>
      <c r="B330" s="66" t="s">
        <v>4001</v>
      </c>
      <c r="C330" s="69" t="s">
        <v>3704</v>
      </c>
      <c r="D330" s="67" t="s">
        <v>4024</v>
      </c>
    </row>
    <row r="331" spans="1:4" ht="47.55" customHeight="1">
      <c r="A331" s="66" t="s">
        <v>4000</v>
      </c>
      <c r="B331" s="66" t="s">
        <v>4001</v>
      </c>
      <c r="C331" s="69" t="s">
        <v>3704</v>
      </c>
      <c r="D331" s="67" t="s">
        <v>4025</v>
      </c>
    </row>
    <row r="332" spans="1:4" ht="76.5" customHeight="1">
      <c r="A332" s="66" t="s">
        <v>4000</v>
      </c>
      <c r="B332" s="66" t="s">
        <v>4001</v>
      </c>
      <c r="C332" s="69" t="s">
        <v>3704</v>
      </c>
      <c r="D332" s="67" t="s">
        <v>4026</v>
      </c>
    </row>
    <row r="333" spans="1:4" ht="91.05" customHeight="1">
      <c r="A333" s="66" t="s">
        <v>4000</v>
      </c>
      <c r="B333" s="66" t="s">
        <v>4001</v>
      </c>
      <c r="C333" s="69" t="s">
        <v>3704</v>
      </c>
      <c r="D333" s="67" t="s">
        <v>4027</v>
      </c>
    </row>
    <row r="334" spans="1:4" ht="18.45" customHeight="1">
      <c r="A334" s="66" t="s">
        <v>4000</v>
      </c>
      <c r="B334" s="66" t="s">
        <v>4001</v>
      </c>
      <c r="C334" s="69" t="s">
        <v>3704</v>
      </c>
      <c r="D334" s="67" t="s">
        <v>4028</v>
      </c>
    </row>
    <row r="335" spans="1:4" ht="76.5" customHeight="1">
      <c r="A335" s="66" t="s">
        <v>4000</v>
      </c>
      <c r="B335" s="66" t="s">
        <v>4029</v>
      </c>
      <c r="C335" s="66" t="s">
        <v>26</v>
      </c>
      <c r="D335" s="67" t="s">
        <v>4030</v>
      </c>
    </row>
    <row r="336" spans="1:4" ht="105.45" customHeight="1">
      <c r="A336" s="66" t="s">
        <v>4000</v>
      </c>
      <c r="B336" s="66" t="s">
        <v>4029</v>
      </c>
      <c r="C336" s="66" t="s">
        <v>26</v>
      </c>
      <c r="D336" s="67" t="s">
        <v>4031</v>
      </c>
    </row>
    <row r="337" spans="1:4" ht="61.95" customHeight="1">
      <c r="A337" s="66" t="s">
        <v>4000</v>
      </c>
      <c r="B337" s="66" t="s">
        <v>4029</v>
      </c>
      <c r="C337" s="66" t="s">
        <v>26</v>
      </c>
      <c r="D337" s="67" t="s">
        <v>4032</v>
      </c>
    </row>
    <row r="338" spans="1:4" ht="47.55" customHeight="1">
      <c r="A338" s="66" t="s">
        <v>4000</v>
      </c>
      <c r="B338" s="66" t="s">
        <v>4029</v>
      </c>
      <c r="C338" s="66" t="s">
        <v>26</v>
      </c>
      <c r="D338" s="67" t="s">
        <v>4033</v>
      </c>
    </row>
    <row r="339" spans="1:4" ht="47.55" customHeight="1">
      <c r="A339" s="66" t="s">
        <v>4000</v>
      </c>
      <c r="B339" s="66" t="s">
        <v>4029</v>
      </c>
      <c r="C339" s="66" t="s">
        <v>26</v>
      </c>
      <c r="D339" s="67" t="s">
        <v>4034</v>
      </c>
    </row>
    <row r="340" spans="1:4" ht="76.5" customHeight="1">
      <c r="A340" s="66" t="s">
        <v>4000</v>
      </c>
      <c r="B340" s="66" t="s">
        <v>4029</v>
      </c>
      <c r="C340" s="66" t="s">
        <v>26</v>
      </c>
      <c r="D340" s="67" t="s">
        <v>4035</v>
      </c>
    </row>
    <row r="341" spans="1:4" ht="47.55" customHeight="1">
      <c r="A341" s="66" t="s">
        <v>4000</v>
      </c>
      <c r="B341" s="66" t="s">
        <v>4029</v>
      </c>
      <c r="C341" s="66" t="s">
        <v>26</v>
      </c>
      <c r="D341" s="67" t="s">
        <v>4036</v>
      </c>
    </row>
    <row r="342" spans="1:4" ht="61.95" customHeight="1">
      <c r="A342" s="66" t="s">
        <v>4000</v>
      </c>
      <c r="B342" s="66" t="s">
        <v>4029</v>
      </c>
      <c r="C342" s="66" t="s">
        <v>26</v>
      </c>
      <c r="D342" s="67" t="s">
        <v>4037</v>
      </c>
    </row>
    <row r="343" spans="1:4" ht="47.55" customHeight="1">
      <c r="A343" s="66" t="s">
        <v>4000</v>
      </c>
      <c r="B343" s="66" t="s">
        <v>4029</v>
      </c>
      <c r="C343" s="66" t="s">
        <v>26</v>
      </c>
      <c r="D343" s="67" t="s">
        <v>4038</v>
      </c>
    </row>
    <row r="344" spans="1:4" ht="61.95" customHeight="1">
      <c r="A344" s="66" t="s">
        <v>4000</v>
      </c>
      <c r="B344" s="66" t="s">
        <v>4029</v>
      </c>
      <c r="C344" s="66" t="s">
        <v>26</v>
      </c>
      <c r="D344" s="67" t="s">
        <v>4039</v>
      </c>
    </row>
    <row r="345" spans="1:4" ht="47.55" customHeight="1">
      <c r="A345" s="66" t="s">
        <v>4000</v>
      </c>
      <c r="B345" s="66" t="s">
        <v>4029</v>
      </c>
      <c r="C345" s="66" t="s">
        <v>26</v>
      </c>
      <c r="D345" s="67" t="s">
        <v>4040</v>
      </c>
    </row>
    <row r="346" spans="1:4" ht="47.55" customHeight="1">
      <c r="A346" s="66" t="s">
        <v>4000</v>
      </c>
      <c r="B346" s="66" t="s">
        <v>4029</v>
      </c>
      <c r="C346" s="66" t="s">
        <v>26</v>
      </c>
      <c r="D346" s="67" t="s">
        <v>4041</v>
      </c>
    </row>
    <row r="347" spans="1:4" ht="47.55" customHeight="1">
      <c r="A347" s="66" t="s">
        <v>4000</v>
      </c>
      <c r="B347" s="66" t="s">
        <v>4029</v>
      </c>
      <c r="C347" s="66" t="s">
        <v>26</v>
      </c>
      <c r="D347" s="67" t="s">
        <v>4042</v>
      </c>
    </row>
    <row r="348" spans="1:4" ht="47.55" customHeight="1">
      <c r="A348" s="66" t="s">
        <v>4000</v>
      </c>
      <c r="B348" s="66" t="s">
        <v>4029</v>
      </c>
      <c r="C348" s="66" t="s">
        <v>26</v>
      </c>
      <c r="D348" s="67" t="s">
        <v>4043</v>
      </c>
    </row>
    <row r="349" spans="1:4" ht="33" customHeight="1">
      <c r="A349" s="66" t="s">
        <v>4000</v>
      </c>
      <c r="B349" s="66" t="s">
        <v>4029</v>
      </c>
      <c r="C349" s="68" t="s">
        <v>3694</v>
      </c>
      <c r="D349" s="67" t="s">
        <v>4044</v>
      </c>
    </row>
    <row r="350" spans="1:4" ht="33" customHeight="1">
      <c r="A350" s="66" t="s">
        <v>4000</v>
      </c>
      <c r="B350" s="66" t="s">
        <v>4029</v>
      </c>
      <c r="C350" s="68" t="s">
        <v>3694</v>
      </c>
      <c r="D350" s="67" t="s">
        <v>4045</v>
      </c>
    </row>
    <row r="351" spans="1:4" ht="33" customHeight="1">
      <c r="A351" s="66" t="s">
        <v>4000</v>
      </c>
      <c r="B351" s="66" t="s">
        <v>4029</v>
      </c>
      <c r="C351" s="68" t="s">
        <v>3694</v>
      </c>
      <c r="D351" s="67" t="s">
        <v>4046</v>
      </c>
    </row>
    <row r="352" spans="1:4" ht="33" customHeight="1">
      <c r="A352" s="66" t="s">
        <v>4000</v>
      </c>
      <c r="B352" s="66" t="s">
        <v>4029</v>
      </c>
      <c r="C352" s="68" t="s">
        <v>3694</v>
      </c>
      <c r="D352" s="67" t="s">
        <v>4047</v>
      </c>
    </row>
    <row r="353" spans="1:4" ht="61.95" customHeight="1">
      <c r="A353" s="66" t="s">
        <v>4000</v>
      </c>
      <c r="B353" s="66" t="s">
        <v>4029</v>
      </c>
      <c r="C353" s="68" t="s">
        <v>3694</v>
      </c>
      <c r="D353" s="67" t="s">
        <v>4048</v>
      </c>
    </row>
    <row r="354" spans="1:4" ht="33" customHeight="1">
      <c r="A354" s="66" t="s">
        <v>4000</v>
      </c>
      <c r="B354" s="66" t="s">
        <v>4029</v>
      </c>
      <c r="C354" s="68" t="s">
        <v>3694</v>
      </c>
      <c r="D354" s="67" t="s">
        <v>4049</v>
      </c>
    </row>
    <row r="355" spans="1:4" ht="33" customHeight="1">
      <c r="A355" s="66" t="s">
        <v>4000</v>
      </c>
      <c r="B355" s="66" t="s">
        <v>4029</v>
      </c>
      <c r="C355" s="68" t="s">
        <v>3694</v>
      </c>
      <c r="D355" s="67" t="s">
        <v>4050</v>
      </c>
    </row>
    <row r="356" spans="1:4" ht="18.45" customHeight="1">
      <c r="A356" s="66" t="s">
        <v>4000</v>
      </c>
      <c r="B356" s="66" t="s">
        <v>4029</v>
      </c>
      <c r="C356" s="68" t="s">
        <v>3694</v>
      </c>
      <c r="D356" s="67" t="s">
        <v>4051</v>
      </c>
    </row>
    <row r="357" spans="1:4" ht="33" customHeight="1">
      <c r="A357" s="66" t="s">
        <v>4000</v>
      </c>
      <c r="B357" s="66" t="s">
        <v>4029</v>
      </c>
      <c r="C357" s="68" t="s">
        <v>3694</v>
      </c>
      <c r="D357" s="67" t="s">
        <v>4052</v>
      </c>
    </row>
    <row r="358" spans="1:4" ht="33" customHeight="1">
      <c r="A358" s="66" t="s">
        <v>4000</v>
      </c>
      <c r="B358" s="66" t="s">
        <v>4029</v>
      </c>
      <c r="C358" s="68" t="s">
        <v>3694</v>
      </c>
      <c r="D358" s="67" t="s">
        <v>4053</v>
      </c>
    </row>
    <row r="359" spans="1:4" ht="33" customHeight="1">
      <c r="A359" s="66" t="s">
        <v>4000</v>
      </c>
      <c r="B359" s="66" t="s">
        <v>4029</v>
      </c>
      <c r="C359" s="68" t="s">
        <v>3694</v>
      </c>
      <c r="D359" s="67" t="s">
        <v>4054</v>
      </c>
    </row>
    <row r="360" spans="1:4" ht="47.55" customHeight="1">
      <c r="A360" s="66" t="s">
        <v>4000</v>
      </c>
      <c r="B360" s="66" t="s">
        <v>4029</v>
      </c>
      <c r="C360" s="68" t="s">
        <v>3694</v>
      </c>
      <c r="D360" s="67" t="s">
        <v>4055</v>
      </c>
    </row>
    <row r="361" spans="1:4" ht="160.05000000000001" customHeight="1">
      <c r="A361" s="66" t="s">
        <v>4000</v>
      </c>
      <c r="B361" s="66" t="s">
        <v>4029</v>
      </c>
      <c r="C361" s="69" t="s">
        <v>3704</v>
      </c>
      <c r="D361" s="67" t="s">
        <v>4056</v>
      </c>
    </row>
    <row r="362" spans="1:4" ht="105.45" customHeight="1">
      <c r="A362" s="22" t="s">
        <v>4057</v>
      </c>
      <c r="B362" s="22" t="s">
        <v>462</v>
      </c>
      <c r="C362" s="22" t="s">
        <v>26</v>
      </c>
      <c r="D362" s="2" t="s">
        <v>4058</v>
      </c>
    </row>
    <row r="363" spans="1:4" ht="47.55" customHeight="1">
      <c r="A363" s="22" t="s">
        <v>4057</v>
      </c>
      <c r="B363" s="22" t="s">
        <v>462</v>
      </c>
      <c r="C363" s="22" t="s">
        <v>26</v>
      </c>
      <c r="D363" s="2" t="s">
        <v>4059</v>
      </c>
    </row>
    <row r="364" spans="1:4" ht="47.55" customHeight="1">
      <c r="A364" s="22" t="s">
        <v>4057</v>
      </c>
      <c r="B364" s="22" t="s">
        <v>462</v>
      </c>
      <c r="C364" s="22" t="s">
        <v>26</v>
      </c>
      <c r="D364" s="2" t="s">
        <v>4060</v>
      </c>
    </row>
    <row r="365" spans="1:4" ht="33" customHeight="1">
      <c r="A365" s="22" t="s">
        <v>4057</v>
      </c>
      <c r="B365" s="22" t="s">
        <v>462</v>
      </c>
      <c r="C365" s="22" t="s">
        <v>26</v>
      </c>
      <c r="D365" s="2" t="s">
        <v>4061</v>
      </c>
    </row>
    <row r="366" spans="1:4" ht="33" customHeight="1">
      <c r="A366" s="22" t="s">
        <v>4057</v>
      </c>
      <c r="B366" s="22" t="s">
        <v>462</v>
      </c>
      <c r="C366" s="22" t="s">
        <v>26</v>
      </c>
      <c r="D366" s="2" t="s">
        <v>4062</v>
      </c>
    </row>
    <row r="367" spans="1:4" ht="91.05" customHeight="1">
      <c r="A367" s="22" t="s">
        <v>4057</v>
      </c>
      <c r="B367" s="22" t="s">
        <v>462</v>
      </c>
      <c r="C367" s="22" t="s">
        <v>26</v>
      </c>
      <c r="D367" s="2" t="s">
        <v>4063</v>
      </c>
    </row>
    <row r="368" spans="1:4" ht="33" customHeight="1">
      <c r="A368" s="22" t="s">
        <v>4057</v>
      </c>
      <c r="B368" s="22" t="s">
        <v>462</v>
      </c>
      <c r="C368" s="22" t="s">
        <v>26</v>
      </c>
      <c r="D368" s="2" t="s">
        <v>4064</v>
      </c>
    </row>
    <row r="369" spans="1:4" ht="33" customHeight="1">
      <c r="A369" s="22" t="s">
        <v>4057</v>
      </c>
      <c r="B369" s="22" t="s">
        <v>462</v>
      </c>
      <c r="C369" s="22" t="s">
        <v>26</v>
      </c>
      <c r="D369" s="2" t="s">
        <v>4065</v>
      </c>
    </row>
    <row r="370" spans="1:4" ht="47.55" customHeight="1">
      <c r="A370" s="22" t="s">
        <v>4057</v>
      </c>
      <c r="B370" s="22" t="s">
        <v>462</v>
      </c>
      <c r="C370" s="22" t="s">
        <v>26</v>
      </c>
      <c r="D370" s="2" t="s">
        <v>4066</v>
      </c>
    </row>
    <row r="371" spans="1:4" ht="47.55" customHeight="1">
      <c r="A371" s="22" t="s">
        <v>4057</v>
      </c>
      <c r="B371" s="22" t="s">
        <v>462</v>
      </c>
      <c r="C371" s="22" t="s">
        <v>26</v>
      </c>
      <c r="D371" s="2" t="s">
        <v>4067</v>
      </c>
    </row>
    <row r="372" spans="1:4" ht="33" customHeight="1">
      <c r="A372" s="22" t="s">
        <v>4057</v>
      </c>
      <c r="B372" s="22" t="s">
        <v>462</v>
      </c>
      <c r="C372" s="22" t="s">
        <v>26</v>
      </c>
      <c r="D372" s="2" t="s">
        <v>4068</v>
      </c>
    </row>
    <row r="373" spans="1:4" ht="47.55" customHeight="1">
      <c r="A373" s="22" t="s">
        <v>4057</v>
      </c>
      <c r="B373" s="22" t="s">
        <v>462</v>
      </c>
      <c r="C373" s="22" t="s">
        <v>26</v>
      </c>
      <c r="D373" s="2" t="s">
        <v>4069</v>
      </c>
    </row>
    <row r="374" spans="1:4" ht="33" customHeight="1">
      <c r="A374" s="22" t="s">
        <v>4057</v>
      </c>
      <c r="B374" s="22" t="s">
        <v>462</v>
      </c>
      <c r="C374" s="22" t="s">
        <v>26</v>
      </c>
      <c r="D374" s="2" t="s">
        <v>4070</v>
      </c>
    </row>
    <row r="375" spans="1:4" ht="33" customHeight="1">
      <c r="A375" s="22" t="s">
        <v>4057</v>
      </c>
      <c r="B375" s="22" t="s">
        <v>462</v>
      </c>
      <c r="C375" s="22" t="s">
        <v>26</v>
      </c>
      <c r="D375" s="2" t="s">
        <v>4071</v>
      </c>
    </row>
    <row r="376" spans="1:4" ht="47.55" customHeight="1">
      <c r="A376" s="22" t="s">
        <v>4057</v>
      </c>
      <c r="B376" s="22" t="s">
        <v>462</v>
      </c>
      <c r="C376" s="22" t="s">
        <v>26</v>
      </c>
      <c r="D376" s="2" t="s">
        <v>4072</v>
      </c>
    </row>
    <row r="377" spans="1:4" ht="33" customHeight="1">
      <c r="A377" s="22" t="s">
        <v>4057</v>
      </c>
      <c r="B377" s="22" t="s">
        <v>462</v>
      </c>
      <c r="C377" s="64" t="s">
        <v>3694</v>
      </c>
      <c r="D377" s="2" t="s">
        <v>4073</v>
      </c>
    </row>
    <row r="378" spans="1:4" ht="33" customHeight="1">
      <c r="A378" s="22" t="s">
        <v>4057</v>
      </c>
      <c r="B378" s="22" t="s">
        <v>462</v>
      </c>
      <c r="C378" s="64" t="s">
        <v>3694</v>
      </c>
      <c r="D378" s="2" t="s">
        <v>4074</v>
      </c>
    </row>
    <row r="379" spans="1:4" ht="33" customHeight="1">
      <c r="A379" s="22" t="s">
        <v>4057</v>
      </c>
      <c r="B379" s="22" t="s">
        <v>462</v>
      </c>
      <c r="C379" s="64" t="s">
        <v>3694</v>
      </c>
      <c r="D379" s="2" t="s">
        <v>4075</v>
      </c>
    </row>
    <row r="380" spans="1:4" ht="33" customHeight="1">
      <c r="A380" s="22" t="s">
        <v>4057</v>
      </c>
      <c r="B380" s="22" t="s">
        <v>462</v>
      </c>
      <c r="C380" s="64" t="s">
        <v>3694</v>
      </c>
      <c r="D380" s="2" t="s">
        <v>4076</v>
      </c>
    </row>
    <row r="381" spans="1:4" ht="47.55" customHeight="1">
      <c r="A381" s="22" t="s">
        <v>4057</v>
      </c>
      <c r="B381" s="22" t="s">
        <v>462</v>
      </c>
      <c r="C381" s="64" t="s">
        <v>3694</v>
      </c>
      <c r="D381" s="2" t="s">
        <v>4077</v>
      </c>
    </row>
    <row r="382" spans="1:4" ht="33" customHeight="1">
      <c r="A382" s="22" t="s">
        <v>4057</v>
      </c>
      <c r="B382" s="22" t="s">
        <v>462</v>
      </c>
      <c r="C382" s="64" t="s">
        <v>3694</v>
      </c>
      <c r="D382" s="2" t="s">
        <v>4078</v>
      </c>
    </row>
    <row r="383" spans="1:4" ht="33" customHeight="1">
      <c r="A383" s="22" t="s">
        <v>4057</v>
      </c>
      <c r="B383" s="22" t="s">
        <v>462</v>
      </c>
      <c r="C383" s="64" t="s">
        <v>3694</v>
      </c>
      <c r="D383" s="2" t="s">
        <v>4079</v>
      </c>
    </row>
    <row r="384" spans="1:4" ht="33" customHeight="1">
      <c r="A384" s="22" t="s">
        <v>4057</v>
      </c>
      <c r="B384" s="22" t="s">
        <v>462</v>
      </c>
      <c r="C384" s="64" t="s">
        <v>3694</v>
      </c>
      <c r="D384" s="2" t="s">
        <v>4080</v>
      </c>
    </row>
    <row r="385" spans="1:4" ht="33" customHeight="1">
      <c r="A385" s="22" t="s">
        <v>4057</v>
      </c>
      <c r="B385" s="22" t="s">
        <v>462</v>
      </c>
      <c r="C385" s="64" t="s">
        <v>3694</v>
      </c>
      <c r="D385" s="2" t="s">
        <v>4081</v>
      </c>
    </row>
    <row r="386" spans="1:4" ht="18.45" customHeight="1">
      <c r="A386" s="22" t="s">
        <v>4057</v>
      </c>
      <c r="B386" s="22" t="s">
        <v>462</v>
      </c>
      <c r="C386" s="64" t="s">
        <v>3694</v>
      </c>
      <c r="D386" s="2" t="s">
        <v>4082</v>
      </c>
    </row>
    <row r="387" spans="1:4" ht="61.95" customHeight="1">
      <c r="A387" s="22" t="s">
        <v>4057</v>
      </c>
      <c r="B387" s="22" t="s">
        <v>462</v>
      </c>
      <c r="C387" s="65" t="s">
        <v>3704</v>
      </c>
      <c r="D387" s="2" t="s">
        <v>4083</v>
      </c>
    </row>
    <row r="388" spans="1:4" ht="33" customHeight="1">
      <c r="A388" s="22" t="s">
        <v>4057</v>
      </c>
      <c r="B388" s="22" t="s">
        <v>462</v>
      </c>
      <c r="C388" s="65" t="s">
        <v>3704</v>
      </c>
      <c r="D388" s="2" t="s">
        <v>4084</v>
      </c>
    </row>
    <row r="389" spans="1:4" ht="47.55" customHeight="1">
      <c r="A389" s="22" t="s">
        <v>4057</v>
      </c>
      <c r="B389" s="22" t="s">
        <v>462</v>
      </c>
      <c r="C389" s="65" t="s">
        <v>3704</v>
      </c>
      <c r="D389" s="2" t="s">
        <v>4085</v>
      </c>
    </row>
    <row r="390" spans="1:4" ht="61.95" customHeight="1">
      <c r="A390" s="22" t="s">
        <v>4057</v>
      </c>
      <c r="B390" s="22" t="s">
        <v>462</v>
      </c>
      <c r="C390" s="65" t="s">
        <v>3704</v>
      </c>
      <c r="D390" s="2" t="s">
        <v>4086</v>
      </c>
    </row>
    <row r="391" spans="1:4" ht="33" customHeight="1">
      <c r="A391" s="22" t="s">
        <v>4057</v>
      </c>
      <c r="B391" s="22" t="s">
        <v>462</v>
      </c>
      <c r="C391" s="65" t="s">
        <v>3704</v>
      </c>
      <c r="D391" s="2" t="s">
        <v>4087</v>
      </c>
    </row>
    <row r="392" spans="1:4" ht="76.5" customHeight="1">
      <c r="A392" s="22" t="s">
        <v>4057</v>
      </c>
      <c r="B392" s="22" t="s">
        <v>462</v>
      </c>
      <c r="C392" s="65" t="s">
        <v>3704</v>
      </c>
      <c r="D392" s="2" t="s">
        <v>4088</v>
      </c>
    </row>
    <row r="393" spans="1:4" ht="61.95" customHeight="1">
      <c r="A393" s="22" t="s">
        <v>4057</v>
      </c>
      <c r="B393" s="22" t="s">
        <v>462</v>
      </c>
      <c r="C393" s="65" t="s">
        <v>3704</v>
      </c>
      <c r="D393" s="2" t="s">
        <v>4089</v>
      </c>
    </row>
    <row r="394" spans="1:4" ht="33" customHeight="1">
      <c r="A394" s="22" t="s">
        <v>4057</v>
      </c>
      <c r="B394" s="22" t="s">
        <v>462</v>
      </c>
      <c r="C394" s="65" t="s">
        <v>3704</v>
      </c>
      <c r="D394" s="2" t="s">
        <v>4090</v>
      </c>
    </row>
    <row r="395" spans="1:4" ht="76.5" customHeight="1">
      <c r="A395" s="22" t="s">
        <v>4057</v>
      </c>
      <c r="B395" s="22" t="s">
        <v>4091</v>
      </c>
      <c r="C395" s="22" t="s">
        <v>26</v>
      </c>
      <c r="D395" s="2" t="s">
        <v>4092</v>
      </c>
    </row>
    <row r="396" spans="1:4" ht="76.5" customHeight="1">
      <c r="A396" s="22" t="s">
        <v>4057</v>
      </c>
      <c r="B396" s="22" t="s">
        <v>4091</v>
      </c>
      <c r="C396" s="22" t="s">
        <v>26</v>
      </c>
      <c r="D396" s="2" t="s">
        <v>4093</v>
      </c>
    </row>
    <row r="397" spans="1:4" ht="76.5" customHeight="1">
      <c r="A397" s="22" t="s">
        <v>4057</v>
      </c>
      <c r="B397" s="22" t="s">
        <v>4091</v>
      </c>
      <c r="C397" s="22" t="s">
        <v>26</v>
      </c>
      <c r="D397" s="2" t="s">
        <v>4094</v>
      </c>
    </row>
    <row r="398" spans="1:4" ht="76.5" customHeight="1">
      <c r="A398" s="22" t="s">
        <v>4057</v>
      </c>
      <c r="B398" s="22" t="s">
        <v>4091</v>
      </c>
      <c r="C398" s="22" t="s">
        <v>26</v>
      </c>
      <c r="D398" s="2" t="s">
        <v>4095</v>
      </c>
    </row>
    <row r="399" spans="1:4" ht="47.55" customHeight="1">
      <c r="A399" s="22" t="s">
        <v>4057</v>
      </c>
      <c r="B399" s="22" t="s">
        <v>4091</v>
      </c>
      <c r="C399" s="22" t="s">
        <v>26</v>
      </c>
      <c r="D399" s="2" t="s">
        <v>4096</v>
      </c>
    </row>
    <row r="400" spans="1:4" ht="76.5" customHeight="1">
      <c r="A400" s="22" t="s">
        <v>4057</v>
      </c>
      <c r="B400" s="22" t="s">
        <v>4091</v>
      </c>
      <c r="C400" s="22" t="s">
        <v>26</v>
      </c>
      <c r="D400" s="2" t="s">
        <v>4097</v>
      </c>
    </row>
    <row r="401" spans="1:4" ht="91.05" customHeight="1">
      <c r="A401" s="22" t="s">
        <v>4057</v>
      </c>
      <c r="B401" s="22" t="s">
        <v>4091</v>
      </c>
      <c r="C401" s="22" t="s">
        <v>26</v>
      </c>
      <c r="D401" s="2" t="s">
        <v>4098</v>
      </c>
    </row>
    <row r="402" spans="1:4" ht="105.45" customHeight="1">
      <c r="A402" s="22" t="s">
        <v>4057</v>
      </c>
      <c r="B402" s="22" t="s">
        <v>4091</v>
      </c>
      <c r="C402" s="22" t="s">
        <v>26</v>
      </c>
      <c r="D402" s="2" t="s">
        <v>4099</v>
      </c>
    </row>
    <row r="403" spans="1:4" ht="61.95" customHeight="1">
      <c r="A403" s="22" t="s">
        <v>4057</v>
      </c>
      <c r="B403" s="22" t="s">
        <v>4091</v>
      </c>
      <c r="C403" s="22" t="s">
        <v>26</v>
      </c>
      <c r="D403" s="2" t="s">
        <v>4100</v>
      </c>
    </row>
    <row r="404" spans="1:4" ht="76.5" customHeight="1">
      <c r="A404" s="22" t="s">
        <v>4057</v>
      </c>
      <c r="B404" s="22" t="s">
        <v>4091</v>
      </c>
      <c r="C404" s="22" t="s">
        <v>26</v>
      </c>
      <c r="D404" s="2" t="s">
        <v>4101</v>
      </c>
    </row>
    <row r="405" spans="1:4" ht="61.95" customHeight="1">
      <c r="A405" s="22" t="s">
        <v>4057</v>
      </c>
      <c r="B405" s="22" t="s">
        <v>4091</v>
      </c>
      <c r="C405" s="22" t="s">
        <v>26</v>
      </c>
      <c r="D405" s="2" t="s">
        <v>4102</v>
      </c>
    </row>
    <row r="406" spans="1:4" ht="61.95" customHeight="1">
      <c r="A406" s="22" t="s">
        <v>4057</v>
      </c>
      <c r="B406" s="22" t="s">
        <v>4091</v>
      </c>
      <c r="C406" s="22" t="s">
        <v>26</v>
      </c>
      <c r="D406" s="2" t="s">
        <v>4103</v>
      </c>
    </row>
    <row r="407" spans="1:4" ht="76.5" customHeight="1">
      <c r="A407" s="22" t="s">
        <v>4057</v>
      </c>
      <c r="B407" s="22" t="s">
        <v>4091</v>
      </c>
      <c r="C407" s="22" t="s">
        <v>26</v>
      </c>
      <c r="D407" s="2" t="s">
        <v>4104</v>
      </c>
    </row>
    <row r="408" spans="1:4" ht="61.95" customHeight="1">
      <c r="A408" s="22" t="s">
        <v>4057</v>
      </c>
      <c r="B408" s="22" t="s">
        <v>4091</v>
      </c>
      <c r="C408" s="22" t="s">
        <v>26</v>
      </c>
      <c r="D408" s="2" t="s">
        <v>4105</v>
      </c>
    </row>
    <row r="409" spans="1:4" ht="47.55" customHeight="1">
      <c r="A409" s="22" t="s">
        <v>4057</v>
      </c>
      <c r="B409" s="22" t="s">
        <v>4091</v>
      </c>
      <c r="C409" s="64" t="s">
        <v>3694</v>
      </c>
      <c r="D409" s="2" t="s">
        <v>4106</v>
      </c>
    </row>
    <row r="410" spans="1:4" ht="47.55" customHeight="1">
      <c r="A410" s="22" t="s">
        <v>4057</v>
      </c>
      <c r="B410" s="22" t="s">
        <v>4091</v>
      </c>
      <c r="C410" s="64" t="s">
        <v>3694</v>
      </c>
      <c r="D410" s="2" t="s">
        <v>4107</v>
      </c>
    </row>
    <row r="411" spans="1:4" ht="47.55" customHeight="1">
      <c r="A411" s="22" t="s">
        <v>4057</v>
      </c>
      <c r="B411" s="22" t="s">
        <v>4091</v>
      </c>
      <c r="C411" s="64" t="s">
        <v>3694</v>
      </c>
      <c r="D411" s="2" t="s">
        <v>4108</v>
      </c>
    </row>
    <row r="412" spans="1:4" ht="47.55" customHeight="1">
      <c r="A412" s="22" t="s">
        <v>4057</v>
      </c>
      <c r="B412" s="22" t="s">
        <v>4091</v>
      </c>
      <c r="C412" s="64" t="s">
        <v>3694</v>
      </c>
      <c r="D412" s="2" t="s">
        <v>4109</v>
      </c>
    </row>
    <row r="413" spans="1:4" ht="33" customHeight="1">
      <c r="A413" s="22" t="s">
        <v>4057</v>
      </c>
      <c r="B413" s="22" t="s">
        <v>4091</v>
      </c>
      <c r="C413" s="64" t="s">
        <v>3694</v>
      </c>
      <c r="D413" s="2" t="s">
        <v>4110</v>
      </c>
    </row>
    <row r="414" spans="1:4" ht="47.55" customHeight="1">
      <c r="A414" s="22" t="s">
        <v>4057</v>
      </c>
      <c r="B414" s="22" t="s">
        <v>4091</v>
      </c>
      <c r="C414" s="64" t="s">
        <v>3694</v>
      </c>
      <c r="D414" s="2" t="s">
        <v>4111</v>
      </c>
    </row>
    <row r="415" spans="1:4" ht="47.55" customHeight="1">
      <c r="A415" s="22" t="s">
        <v>4057</v>
      </c>
      <c r="B415" s="22" t="s">
        <v>4091</v>
      </c>
      <c r="C415" s="64" t="s">
        <v>3694</v>
      </c>
      <c r="D415" s="2" t="s">
        <v>4112</v>
      </c>
    </row>
    <row r="416" spans="1:4" ht="33" customHeight="1">
      <c r="A416" s="22" t="s">
        <v>4057</v>
      </c>
      <c r="B416" s="22" t="s">
        <v>4091</v>
      </c>
      <c r="C416" s="64" t="s">
        <v>3694</v>
      </c>
      <c r="D416" s="2" t="s">
        <v>4113</v>
      </c>
    </row>
    <row r="417" spans="1:4" ht="33" customHeight="1">
      <c r="A417" s="22" t="s">
        <v>4057</v>
      </c>
      <c r="B417" s="22" t="s">
        <v>4091</v>
      </c>
      <c r="C417" s="64" t="s">
        <v>3694</v>
      </c>
      <c r="D417" s="2" t="s">
        <v>4114</v>
      </c>
    </row>
    <row r="418" spans="1:4" ht="33" customHeight="1">
      <c r="A418" s="22" t="s">
        <v>4057</v>
      </c>
      <c r="B418" s="22" t="s">
        <v>4091</v>
      </c>
      <c r="C418" s="64" t="s">
        <v>3694</v>
      </c>
      <c r="D418" s="2" t="s">
        <v>4115</v>
      </c>
    </row>
    <row r="419" spans="1:4" ht="105.45" customHeight="1">
      <c r="A419" s="22" t="s">
        <v>4057</v>
      </c>
      <c r="B419" s="22" t="s">
        <v>4091</v>
      </c>
      <c r="C419" s="65" t="s">
        <v>3704</v>
      </c>
      <c r="D419" s="2" t="s">
        <v>4116</v>
      </c>
    </row>
    <row r="420" spans="1:4" ht="76.5" customHeight="1">
      <c r="A420" s="22" t="s">
        <v>4057</v>
      </c>
      <c r="B420" s="22" t="s">
        <v>4091</v>
      </c>
      <c r="C420" s="65" t="s">
        <v>3704</v>
      </c>
      <c r="D420" s="2" t="s">
        <v>4117</v>
      </c>
    </row>
    <row r="421" spans="1:4" ht="76.5" customHeight="1">
      <c r="A421" s="22" t="s">
        <v>4057</v>
      </c>
      <c r="B421" s="22" t="s">
        <v>4091</v>
      </c>
      <c r="C421" s="65" t="s">
        <v>3704</v>
      </c>
      <c r="D421" s="2" t="s">
        <v>4118</v>
      </c>
    </row>
    <row r="422" spans="1:4" ht="91.05" customHeight="1">
      <c r="A422" s="22" t="s">
        <v>4057</v>
      </c>
      <c r="B422" s="22" t="s">
        <v>4091</v>
      </c>
      <c r="C422" s="65" t="s">
        <v>3704</v>
      </c>
      <c r="D422" s="2" t="s">
        <v>4119</v>
      </c>
    </row>
    <row r="423" spans="1:4" ht="76.5" customHeight="1">
      <c r="A423" s="22" t="s">
        <v>4057</v>
      </c>
      <c r="B423" s="22" t="s">
        <v>4091</v>
      </c>
      <c r="C423" s="65" t="s">
        <v>3704</v>
      </c>
      <c r="D423" s="2" t="s">
        <v>4120</v>
      </c>
    </row>
    <row r="424" spans="1:4" ht="76.5" customHeight="1">
      <c r="A424" s="22" t="s">
        <v>4057</v>
      </c>
      <c r="B424" s="22" t="s">
        <v>4091</v>
      </c>
      <c r="C424" s="65" t="s">
        <v>3704</v>
      </c>
      <c r="D424" s="2" t="s">
        <v>4121</v>
      </c>
    </row>
    <row r="425" spans="1:4" ht="134.55000000000001" customHeight="1">
      <c r="A425" s="22" t="s">
        <v>4057</v>
      </c>
      <c r="B425" s="22" t="s">
        <v>4091</v>
      </c>
      <c r="C425" s="65" t="s">
        <v>3704</v>
      </c>
      <c r="D425" s="2" t="s">
        <v>4122</v>
      </c>
    </row>
    <row r="426" spans="1:4" ht="47.55" customHeight="1">
      <c r="A426" s="22" t="s">
        <v>4057</v>
      </c>
      <c r="B426" s="22" t="s">
        <v>4091</v>
      </c>
      <c r="C426" s="65" t="s">
        <v>3704</v>
      </c>
      <c r="D426" s="2" t="s">
        <v>4123</v>
      </c>
    </row>
    <row r="427" spans="1:4" ht="61.95" customHeight="1">
      <c r="A427" s="22" t="s">
        <v>4057</v>
      </c>
      <c r="B427" s="22" t="s">
        <v>4091</v>
      </c>
      <c r="C427" s="65" t="s">
        <v>3704</v>
      </c>
      <c r="D427" s="2" t="s">
        <v>4124</v>
      </c>
    </row>
    <row r="428" spans="1:4" ht="61.95" customHeight="1">
      <c r="A428" s="66" t="s">
        <v>4125</v>
      </c>
      <c r="B428" s="66" t="s">
        <v>4126</v>
      </c>
      <c r="C428" s="66" t="s">
        <v>26</v>
      </c>
      <c r="D428" s="67" t="s">
        <v>4127</v>
      </c>
    </row>
    <row r="429" spans="1:4" ht="148.94999999999999" customHeight="1">
      <c r="A429" s="66" t="s">
        <v>4125</v>
      </c>
      <c r="B429" s="66" t="s">
        <v>4126</v>
      </c>
      <c r="C429" s="66" t="s">
        <v>26</v>
      </c>
      <c r="D429" s="67" t="s">
        <v>4128</v>
      </c>
    </row>
    <row r="430" spans="1:4" ht="47.55" customHeight="1">
      <c r="A430" s="66" t="s">
        <v>4125</v>
      </c>
      <c r="B430" s="66" t="s">
        <v>4126</v>
      </c>
      <c r="C430" s="66" t="s">
        <v>26</v>
      </c>
      <c r="D430" s="67" t="s">
        <v>4129</v>
      </c>
    </row>
    <row r="431" spans="1:4" ht="91.05" customHeight="1">
      <c r="A431" s="66" t="s">
        <v>4125</v>
      </c>
      <c r="B431" s="66" t="s">
        <v>4126</v>
      </c>
      <c r="C431" s="66" t="s">
        <v>26</v>
      </c>
      <c r="D431" s="67" t="s">
        <v>4130</v>
      </c>
    </row>
    <row r="432" spans="1:4" ht="61.95" customHeight="1">
      <c r="A432" s="66" t="s">
        <v>4125</v>
      </c>
      <c r="B432" s="66" t="s">
        <v>4126</v>
      </c>
      <c r="C432" s="66" t="s">
        <v>26</v>
      </c>
      <c r="D432" s="67" t="s">
        <v>4131</v>
      </c>
    </row>
    <row r="433" spans="1:4" ht="47.55" customHeight="1">
      <c r="A433" s="66" t="s">
        <v>4125</v>
      </c>
      <c r="B433" s="66" t="s">
        <v>4126</v>
      </c>
      <c r="C433" s="66" t="s">
        <v>26</v>
      </c>
      <c r="D433" s="67" t="s">
        <v>4132</v>
      </c>
    </row>
    <row r="434" spans="1:4" ht="61.95" customHeight="1">
      <c r="A434" s="66" t="s">
        <v>4125</v>
      </c>
      <c r="B434" s="66" t="s">
        <v>4126</v>
      </c>
      <c r="C434" s="66" t="s">
        <v>26</v>
      </c>
      <c r="D434" s="67" t="s">
        <v>4133</v>
      </c>
    </row>
    <row r="435" spans="1:4" ht="33" customHeight="1">
      <c r="A435" s="66" t="s">
        <v>4125</v>
      </c>
      <c r="B435" s="66" t="s">
        <v>4126</v>
      </c>
      <c r="C435" s="66" t="s">
        <v>26</v>
      </c>
      <c r="D435" s="67" t="s">
        <v>4134</v>
      </c>
    </row>
    <row r="436" spans="1:4" ht="61.95" customHeight="1">
      <c r="A436" s="66" t="s">
        <v>4125</v>
      </c>
      <c r="B436" s="66" t="s">
        <v>4126</v>
      </c>
      <c r="C436" s="66" t="s">
        <v>26</v>
      </c>
      <c r="D436" s="67" t="s">
        <v>4135</v>
      </c>
    </row>
    <row r="437" spans="1:4" ht="47.55" customHeight="1">
      <c r="A437" s="66" t="s">
        <v>4125</v>
      </c>
      <c r="B437" s="66" t="s">
        <v>4126</v>
      </c>
      <c r="C437" s="66" t="s">
        <v>26</v>
      </c>
      <c r="D437" s="67" t="s">
        <v>4136</v>
      </c>
    </row>
    <row r="438" spans="1:4" ht="47.55" customHeight="1">
      <c r="A438" s="66" t="s">
        <v>4125</v>
      </c>
      <c r="B438" s="66" t="s">
        <v>4126</v>
      </c>
      <c r="C438" s="66" t="s">
        <v>26</v>
      </c>
      <c r="D438" s="67" t="s">
        <v>4137</v>
      </c>
    </row>
    <row r="439" spans="1:4" ht="61.95" customHeight="1">
      <c r="A439" s="66" t="s">
        <v>4125</v>
      </c>
      <c r="B439" s="66" t="s">
        <v>4126</v>
      </c>
      <c r="C439" s="66" t="s">
        <v>26</v>
      </c>
      <c r="D439" s="67" t="s">
        <v>4138</v>
      </c>
    </row>
    <row r="440" spans="1:4" ht="33" customHeight="1">
      <c r="A440" s="66" t="s">
        <v>4125</v>
      </c>
      <c r="B440" s="66" t="s">
        <v>4126</v>
      </c>
      <c r="C440" s="68" t="s">
        <v>3694</v>
      </c>
      <c r="D440" s="67" t="s">
        <v>4139</v>
      </c>
    </row>
    <row r="441" spans="1:4" ht="47.55" customHeight="1">
      <c r="A441" s="66" t="s">
        <v>4125</v>
      </c>
      <c r="B441" s="66" t="s">
        <v>4126</v>
      </c>
      <c r="C441" s="68" t="s">
        <v>3694</v>
      </c>
      <c r="D441" s="67" t="s">
        <v>4140</v>
      </c>
    </row>
    <row r="442" spans="1:4" ht="33" customHeight="1">
      <c r="A442" s="66" t="s">
        <v>4125</v>
      </c>
      <c r="B442" s="66" t="s">
        <v>4126</v>
      </c>
      <c r="C442" s="68" t="s">
        <v>3694</v>
      </c>
      <c r="D442" s="67" t="s">
        <v>4141</v>
      </c>
    </row>
    <row r="443" spans="1:4" ht="61.95" customHeight="1">
      <c r="A443" s="66" t="s">
        <v>4125</v>
      </c>
      <c r="B443" s="66" t="s">
        <v>4126</v>
      </c>
      <c r="C443" s="68" t="s">
        <v>3694</v>
      </c>
      <c r="D443" s="67" t="s">
        <v>4142</v>
      </c>
    </row>
    <row r="444" spans="1:4" ht="33" customHeight="1">
      <c r="A444" s="66" t="s">
        <v>4125</v>
      </c>
      <c r="B444" s="66" t="s">
        <v>4126</v>
      </c>
      <c r="C444" s="68" t="s">
        <v>3694</v>
      </c>
      <c r="D444" s="67" t="s">
        <v>4143</v>
      </c>
    </row>
    <row r="445" spans="1:4" ht="47.55" customHeight="1">
      <c r="A445" s="66" t="s">
        <v>4125</v>
      </c>
      <c r="B445" s="66" t="s">
        <v>4126</v>
      </c>
      <c r="C445" s="68" t="s">
        <v>3694</v>
      </c>
      <c r="D445" s="67" t="s">
        <v>4144</v>
      </c>
    </row>
    <row r="446" spans="1:4" ht="33" customHeight="1">
      <c r="A446" s="66" t="s">
        <v>4125</v>
      </c>
      <c r="B446" s="66" t="s">
        <v>4126</v>
      </c>
      <c r="C446" s="68" t="s">
        <v>3694</v>
      </c>
      <c r="D446" s="67" t="s">
        <v>4145</v>
      </c>
    </row>
    <row r="447" spans="1:4" ht="33" customHeight="1">
      <c r="A447" s="66" t="s">
        <v>4125</v>
      </c>
      <c r="B447" s="66" t="s">
        <v>4126</v>
      </c>
      <c r="C447" s="68" t="s">
        <v>3694</v>
      </c>
      <c r="D447" s="67" t="s">
        <v>4146</v>
      </c>
    </row>
    <row r="448" spans="1:4" ht="61.95" customHeight="1">
      <c r="A448" s="66" t="s">
        <v>4125</v>
      </c>
      <c r="B448" s="66" t="s">
        <v>4126</v>
      </c>
      <c r="C448" s="69" t="s">
        <v>3704</v>
      </c>
      <c r="D448" s="67" t="s">
        <v>4147</v>
      </c>
    </row>
    <row r="449" spans="1:4" ht="47.55" customHeight="1">
      <c r="A449" s="66" t="s">
        <v>4125</v>
      </c>
      <c r="B449" s="66" t="s">
        <v>4126</v>
      </c>
      <c r="C449" s="69" t="s">
        <v>3704</v>
      </c>
      <c r="D449" s="67" t="s">
        <v>4148</v>
      </c>
    </row>
    <row r="450" spans="1:4" ht="33" customHeight="1">
      <c r="A450" s="66" t="s">
        <v>4125</v>
      </c>
      <c r="B450" s="66" t="s">
        <v>4126</v>
      </c>
      <c r="C450" s="69" t="s">
        <v>3704</v>
      </c>
      <c r="D450" s="67" t="s">
        <v>4149</v>
      </c>
    </row>
    <row r="451" spans="1:4" ht="47.55" customHeight="1">
      <c r="A451" s="66" t="s">
        <v>4125</v>
      </c>
      <c r="B451" s="66" t="s">
        <v>4126</v>
      </c>
      <c r="C451" s="69" t="s">
        <v>3704</v>
      </c>
      <c r="D451" s="67" t="s">
        <v>4150</v>
      </c>
    </row>
    <row r="452" spans="1:4" ht="33" customHeight="1">
      <c r="A452" s="66" t="s">
        <v>4125</v>
      </c>
      <c r="B452" s="66" t="s">
        <v>4126</v>
      </c>
      <c r="C452" s="69" t="s">
        <v>3704</v>
      </c>
      <c r="D452" s="67" t="s">
        <v>4151</v>
      </c>
    </row>
    <row r="453" spans="1:4" ht="91.05" customHeight="1">
      <c r="A453" s="66" t="s">
        <v>4125</v>
      </c>
      <c r="B453" s="66" t="s">
        <v>4126</v>
      </c>
      <c r="C453" s="69" t="s">
        <v>3704</v>
      </c>
      <c r="D453" s="67" t="s">
        <v>4152</v>
      </c>
    </row>
    <row r="454" spans="1:4" ht="61.95" customHeight="1">
      <c r="A454" s="66" t="s">
        <v>4125</v>
      </c>
      <c r="B454" s="66" t="s">
        <v>4126</v>
      </c>
      <c r="C454" s="69" t="s">
        <v>3704</v>
      </c>
      <c r="D454" s="67" t="s">
        <v>4153</v>
      </c>
    </row>
    <row r="455" spans="1:4" ht="61.95" customHeight="1">
      <c r="A455" s="66" t="s">
        <v>4125</v>
      </c>
      <c r="B455" s="66" t="s">
        <v>4126</v>
      </c>
      <c r="C455" s="69" t="s">
        <v>3704</v>
      </c>
      <c r="D455" s="67" t="s">
        <v>4154</v>
      </c>
    </row>
    <row r="456" spans="1:4" ht="91.05" customHeight="1">
      <c r="A456" s="66" t="s">
        <v>4125</v>
      </c>
      <c r="B456" s="66" t="s">
        <v>4155</v>
      </c>
      <c r="C456" s="66" t="s">
        <v>26</v>
      </c>
      <c r="D456" s="67" t="s">
        <v>4156</v>
      </c>
    </row>
    <row r="457" spans="1:4" ht="61.95" customHeight="1">
      <c r="A457" s="66" t="s">
        <v>4125</v>
      </c>
      <c r="B457" s="66" t="s">
        <v>4155</v>
      </c>
      <c r="C457" s="66" t="s">
        <v>26</v>
      </c>
      <c r="D457" s="67" t="s">
        <v>4157</v>
      </c>
    </row>
    <row r="458" spans="1:4" ht="47.55" customHeight="1">
      <c r="A458" s="66" t="s">
        <v>4125</v>
      </c>
      <c r="B458" s="66" t="s">
        <v>4155</v>
      </c>
      <c r="C458" s="66" t="s">
        <v>26</v>
      </c>
      <c r="D458" s="67" t="s">
        <v>4158</v>
      </c>
    </row>
    <row r="459" spans="1:4" ht="61.95" customHeight="1">
      <c r="A459" s="66" t="s">
        <v>4125</v>
      </c>
      <c r="B459" s="66" t="s">
        <v>4155</v>
      </c>
      <c r="C459" s="66" t="s">
        <v>26</v>
      </c>
      <c r="D459" s="67" t="s">
        <v>4159</v>
      </c>
    </row>
    <row r="460" spans="1:4" ht="47.55" customHeight="1">
      <c r="A460" s="66" t="s">
        <v>4125</v>
      </c>
      <c r="B460" s="66" t="s">
        <v>4155</v>
      </c>
      <c r="C460" s="66" t="s">
        <v>26</v>
      </c>
      <c r="D460" s="67" t="s">
        <v>4160</v>
      </c>
    </row>
    <row r="461" spans="1:4" ht="47.55" customHeight="1">
      <c r="A461" s="66" t="s">
        <v>4125</v>
      </c>
      <c r="B461" s="66" t="s">
        <v>4155</v>
      </c>
      <c r="C461" s="66" t="s">
        <v>26</v>
      </c>
      <c r="D461" s="67" t="s">
        <v>4161</v>
      </c>
    </row>
    <row r="462" spans="1:4" ht="61.95" customHeight="1">
      <c r="A462" s="66" t="s">
        <v>4125</v>
      </c>
      <c r="B462" s="66" t="s">
        <v>4155</v>
      </c>
      <c r="C462" s="66" t="s">
        <v>26</v>
      </c>
      <c r="D462" s="67" t="s">
        <v>4162</v>
      </c>
    </row>
    <row r="463" spans="1:4" ht="61.95" customHeight="1">
      <c r="A463" s="66" t="s">
        <v>4125</v>
      </c>
      <c r="B463" s="66" t="s">
        <v>4155</v>
      </c>
      <c r="C463" s="66" t="s">
        <v>26</v>
      </c>
      <c r="D463" s="67" t="s">
        <v>4163</v>
      </c>
    </row>
    <row r="464" spans="1:4" ht="61.95" customHeight="1">
      <c r="A464" s="66" t="s">
        <v>4125</v>
      </c>
      <c r="B464" s="66" t="s">
        <v>4155</v>
      </c>
      <c r="C464" s="66" t="s">
        <v>26</v>
      </c>
      <c r="D464" s="67" t="s">
        <v>4164</v>
      </c>
    </row>
    <row r="465" spans="1:4" ht="61.95" customHeight="1">
      <c r="A465" s="66" t="s">
        <v>4125</v>
      </c>
      <c r="B465" s="66" t="s">
        <v>4155</v>
      </c>
      <c r="C465" s="66" t="s">
        <v>26</v>
      </c>
      <c r="D465" s="67" t="s">
        <v>4165</v>
      </c>
    </row>
    <row r="466" spans="1:4" ht="47.55" customHeight="1">
      <c r="A466" s="66" t="s">
        <v>4125</v>
      </c>
      <c r="B466" s="66" t="s">
        <v>4155</v>
      </c>
      <c r="C466" s="66" t="s">
        <v>26</v>
      </c>
      <c r="D466" s="67" t="s">
        <v>4166</v>
      </c>
    </row>
    <row r="467" spans="1:4" ht="33" customHeight="1">
      <c r="A467" s="66" t="s">
        <v>4125</v>
      </c>
      <c r="B467" s="66" t="s">
        <v>4155</v>
      </c>
      <c r="C467" s="66" t="s">
        <v>26</v>
      </c>
      <c r="D467" s="67" t="s">
        <v>4167</v>
      </c>
    </row>
    <row r="468" spans="1:4" ht="61.95" customHeight="1">
      <c r="A468" s="66" t="s">
        <v>4125</v>
      </c>
      <c r="B468" s="66" t="s">
        <v>4155</v>
      </c>
      <c r="C468" s="66" t="s">
        <v>26</v>
      </c>
      <c r="D468" s="67" t="s">
        <v>4168</v>
      </c>
    </row>
    <row r="469" spans="1:4" ht="47.55" customHeight="1">
      <c r="A469" s="66" t="s">
        <v>4125</v>
      </c>
      <c r="B469" s="66" t="s">
        <v>4155</v>
      </c>
      <c r="C469" s="66" t="s">
        <v>26</v>
      </c>
      <c r="D469" s="67" t="s">
        <v>4169</v>
      </c>
    </row>
    <row r="470" spans="1:4" ht="61.95" customHeight="1">
      <c r="A470" s="66" t="s">
        <v>4125</v>
      </c>
      <c r="B470" s="66" t="s">
        <v>4155</v>
      </c>
      <c r="C470" s="66" t="s">
        <v>26</v>
      </c>
      <c r="D470" s="67" t="s">
        <v>4170</v>
      </c>
    </row>
    <row r="471" spans="1:4" ht="61.95" customHeight="1">
      <c r="A471" s="66" t="s">
        <v>4125</v>
      </c>
      <c r="B471" s="66" t="s">
        <v>4155</v>
      </c>
      <c r="C471" s="66" t="s">
        <v>26</v>
      </c>
      <c r="D471" s="67" t="s">
        <v>4171</v>
      </c>
    </row>
    <row r="472" spans="1:4" ht="61.95" customHeight="1">
      <c r="A472" s="66" t="s">
        <v>4125</v>
      </c>
      <c r="B472" s="66" t="s">
        <v>4155</v>
      </c>
      <c r="C472" s="66" t="s">
        <v>26</v>
      </c>
      <c r="D472" s="67" t="s">
        <v>4172</v>
      </c>
    </row>
    <row r="473" spans="1:4" ht="47.55" customHeight="1">
      <c r="A473" s="66" t="s">
        <v>4125</v>
      </c>
      <c r="B473" s="66" t="s">
        <v>4155</v>
      </c>
      <c r="C473" s="66" t="s">
        <v>26</v>
      </c>
      <c r="D473" s="67" t="s">
        <v>4173</v>
      </c>
    </row>
    <row r="474" spans="1:4" ht="47.55" customHeight="1">
      <c r="A474" s="66" t="s">
        <v>4125</v>
      </c>
      <c r="B474" s="66" t="s">
        <v>4155</v>
      </c>
      <c r="C474" s="66" t="s">
        <v>26</v>
      </c>
      <c r="D474" s="67" t="s">
        <v>4174</v>
      </c>
    </row>
    <row r="475" spans="1:4" ht="33" customHeight="1">
      <c r="A475" s="66" t="s">
        <v>4125</v>
      </c>
      <c r="B475" s="66" t="s">
        <v>4155</v>
      </c>
      <c r="C475" s="66" t="s">
        <v>26</v>
      </c>
      <c r="D475" s="67" t="s">
        <v>4175</v>
      </c>
    </row>
    <row r="476" spans="1:4" ht="33" customHeight="1">
      <c r="A476" s="66" t="s">
        <v>4125</v>
      </c>
      <c r="B476" s="66" t="s">
        <v>4155</v>
      </c>
      <c r="C476" s="68" t="s">
        <v>3694</v>
      </c>
      <c r="D476" s="67" t="s">
        <v>4176</v>
      </c>
    </row>
    <row r="477" spans="1:4" ht="33" customHeight="1">
      <c r="A477" s="66" t="s">
        <v>4125</v>
      </c>
      <c r="B477" s="66" t="s">
        <v>4155</v>
      </c>
      <c r="C477" s="68" t="s">
        <v>3694</v>
      </c>
      <c r="D477" s="67" t="s">
        <v>4177</v>
      </c>
    </row>
    <row r="478" spans="1:4" ht="18.45" customHeight="1">
      <c r="A478" s="66" t="s">
        <v>4125</v>
      </c>
      <c r="B478" s="66" t="s">
        <v>4155</v>
      </c>
      <c r="C478" s="68" t="s">
        <v>3694</v>
      </c>
      <c r="D478" s="67" t="s">
        <v>4178</v>
      </c>
    </row>
    <row r="479" spans="1:4" ht="33" customHeight="1">
      <c r="A479" s="66" t="s">
        <v>4125</v>
      </c>
      <c r="B479" s="66" t="s">
        <v>4155</v>
      </c>
      <c r="C479" s="68" t="s">
        <v>3694</v>
      </c>
      <c r="D479" s="67" t="s">
        <v>4179</v>
      </c>
    </row>
    <row r="480" spans="1:4" ht="33" customHeight="1">
      <c r="A480" s="66" t="s">
        <v>4125</v>
      </c>
      <c r="B480" s="66" t="s">
        <v>4155</v>
      </c>
      <c r="C480" s="68" t="s">
        <v>3694</v>
      </c>
      <c r="D480" s="67" t="s">
        <v>4180</v>
      </c>
    </row>
    <row r="481" spans="1:4" ht="33" customHeight="1">
      <c r="A481" s="66" t="s">
        <v>4125</v>
      </c>
      <c r="B481" s="66" t="s">
        <v>4155</v>
      </c>
      <c r="C481" s="68" t="s">
        <v>3694</v>
      </c>
      <c r="D481" s="67" t="s">
        <v>4181</v>
      </c>
    </row>
    <row r="482" spans="1:4" ht="33" customHeight="1">
      <c r="A482" s="66" t="s">
        <v>4125</v>
      </c>
      <c r="B482" s="66" t="s">
        <v>4155</v>
      </c>
      <c r="C482" s="68" t="s">
        <v>3694</v>
      </c>
      <c r="D482" s="67" t="s">
        <v>4182</v>
      </c>
    </row>
    <row r="483" spans="1:4" ht="33" customHeight="1">
      <c r="A483" s="66" t="s">
        <v>4125</v>
      </c>
      <c r="B483" s="66" t="s">
        <v>4155</v>
      </c>
      <c r="C483" s="68" t="s">
        <v>3694</v>
      </c>
      <c r="D483" s="67" t="s">
        <v>4183</v>
      </c>
    </row>
    <row r="484" spans="1:4" ht="33" customHeight="1">
      <c r="A484" s="66" t="s">
        <v>4125</v>
      </c>
      <c r="B484" s="66" t="s">
        <v>4155</v>
      </c>
      <c r="C484" s="68" t="s">
        <v>3694</v>
      </c>
      <c r="D484" s="67" t="s">
        <v>4184</v>
      </c>
    </row>
    <row r="485" spans="1:4" ht="33" customHeight="1">
      <c r="A485" s="66" t="s">
        <v>4125</v>
      </c>
      <c r="B485" s="66" t="s">
        <v>4155</v>
      </c>
      <c r="C485" s="68" t="s">
        <v>3694</v>
      </c>
      <c r="D485" s="67" t="s">
        <v>4185</v>
      </c>
    </row>
    <row r="486" spans="1:4" ht="61.95" customHeight="1">
      <c r="A486" s="66" t="s">
        <v>4125</v>
      </c>
      <c r="B486" s="66" t="s">
        <v>4155</v>
      </c>
      <c r="C486" s="69" t="s">
        <v>3704</v>
      </c>
      <c r="D486" s="67" t="s">
        <v>4186</v>
      </c>
    </row>
    <row r="487" spans="1:4" ht="33" customHeight="1">
      <c r="A487" s="66" t="s">
        <v>4125</v>
      </c>
      <c r="B487" s="66" t="s">
        <v>4155</v>
      </c>
      <c r="C487" s="69" t="s">
        <v>3704</v>
      </c>
      <c r="D487" s="67" t="s">
        <v>4187</v>
      </c>
    </row>
    <row r="488" spans="1:4" ht="33" customHeight="1">
      <c r="A488" s="66" t="s">
        <v>4125</v>
      </c>
      <c r="B488" s="66" t="s">
        <v>4155</v>
      </c>
      <c r="C488" s="69" t="s">
        <v>3704</v>
      </c>
      <c r="D488" s="67" t="s">
        <v>4188</v>
      </c>
    </row>
    <row r="489" spans="1:4" ht="61.95" customHeight="1">
      <c r="A489" s="66" t="s">
        <v>4125</v>
      </c>
      <c r="B489" s="66" t="s">
        <v>4155</v>
      </c>
      <c r="C489" s="69" t="s">
        <v>3704</v>
      </c>
      <c r="D489" s="67" t="s">
        <v>4189</v>
      </c>
    </row>
    <row r="490" spans="1:4" ht="76.5" customHeight="1">
      <c r="A490" s="66" t="s">
        <v>4125</v>
      </c>
      <c r="B490" s="66" t="s">
        <v>4155</v>
      </c>
      <c r="C490" s="69" t="s">
        <v>3704</v>
      </c>
      <c r="D490" s="67" t="s">
        <v>4190</v>
      </c>
    </row>
    <row r="491" spans="1:4" ht="47.55" customHeight="1">
      <c r="A491" s="66" t="s">
        <v>4125</v>
      </c>
      <c r="B491" s="66" t="s">
        <v>4155</v>
      </c>
      <c r="C491" s="69" t="s">
        <v>3704</v>
      </c>
      <c r="D491" s="67" t="s">
        <v>4191</v>
      </c>
    </row>
    <row r="492" spans="1:4" ht="47.55" customHeight="1">
      <c r="A492" s="66" t="s">
        <v>4125</v>
      </c>
      <c r="B492" s="66" t="s">
        <v>4155</v>
      </c>
      <c r="C492" s="69" t="s">
        <v>3704</v>
      </c>
      <c r="D492" s="67" t="s">
        <v>4192</v>
      </c>
    </row>
    <row r="493" spans="1:4" ht="76.5" customHeight="1">
      <c r="A493" s="66" t="s">
        <v>4125</v>
      </c>
      <c r="B493" s="66" t="s">
        <v>4155</v>
      </c>
      <c r="C493" s="69" t="s">
        <v>3704</v>
      </c>
      <c r="D493" s="67" t="s">
        <v>4193</v>
      </c>
    </row>
  </sheetData>
  <autoFilter ref="A4:D493" xr:uid="{00000000-0009-0000-0000-00000F000000}"/>
  <mergeCells count="2">
    <mergeCell ref="A1:D1"/>
    <mergeCell ref="A2:D2"/>
  </mergeCells>
  <phoneticPr fontId="25" type="noConversion"/>
  <printOptions horizontalCentered="1"/>
  <pageMargins left="0.4" right="0.4" top="0.5" bottom="0.6" header="0.5" footer="0.5"/>
  <pageSetup paperSize="9" fitToHeight="0" orientation="portrait"/>
  <headerFooter>
    <oddFooter>&amp;C第 &amp;P 頁，共 &amp;N 頁</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16</vt:i4>
      </vt:variant>
      <vt:variant>
        <vt:lpstr>具名範圍</vt:lpstr>
      </vt:variant>
      <vt:variant>
        <vt:i4>13</vt:i4>
      </vt:variant>
    </vt:vector>
  </HeadingPairs>
  <TitlesOfParts>
    <vt:vector size="29" baseType="lpstr">
      <vt:lpstr>說明</vt:lpstr>
      <vt:lpstr>總覽</vt:lpstr>
      <vt:lpstr>專案清單</vt:lpstr>
      <vt:lpstr>NSW 新南威爾斯</vt:lpstr>
      <vt:lpstr>VIC 維多利亞</vt:lpstr>
      <vt:lpstr>QLD 昆士蘭</vt:lpstr>
      <vt:lpstr>WA 西澳</vt:lpstr>
      <vt:lpstr>SA 南澳</vt:lpstr>
      <vt:lpstr>ACT 首都領地</vt:lpstr>
      <vt:lpstr>TAS 塔斯馬尼亞</vt:lpstr>
      <vt:lpstr>NT 北領地</vt:lpstr>
      <vt:lpstr>完工時間窗</vt:lpstr>
      <vt:lpstr>差異與待確認</vt:lpstr>
      <vt:lpstr>排除清單</vt:lpstr>
      <vt:lpstr>來源</vt:lpstr>
      <vt:lpstr>搜尋紀錄</vt:lpstr>
      <vt:lpstr>'ACT 首都領地'!Print_Titles</vt:lpstr>
      <vt:lpstr>'NSW 新南威爾斯'!Print_Titles</vt:lpstr>
      <vt:lpstr>'NT 北領地'!Print_Titles</vt:lpstr>
      <vt:lpstr>'QLD 昆士蘭'!Print_Titles</vt:lpstr>
      <vt:lpstr>'SA 南澳'!Print_Titles</vt:lpstr>
      <vt:lpstr>'TAS 塔斯馬尼亞'!Print_Titles</vt:lpstr>
      <vt:lpstr>'VIC 維多利亞'!Print_Titles</vt:lpstr>
      <vt:lpstr>'WA 西澳'!Print_Titles</vt:lpstr>
      <vt:lpstr>完工時間窗!Print_Titles</vt:lpstr>
      <vt:lpstr>來源!Print_Titles</vt:lpstr>
      <vt:lpstr>專案清單!Print_Titles</vt:lpstr>
      <vt:lpstr>排除清單!Print_Titles</vt:lpstr>
      <vt:lpstr>搜尋紀錄!Print_Titles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澳洲可出租資料中心盤點</dc:title>
  <dc:subject>澳洲 5 MW 以上可出租資料中心盤點（施工中／已核准／已送件）</dc:subject>
  <dc:creator>build_xlsx.py</dc:creator>
  <cp:keywords>澳洲, 資料中心, 可出租, 盤點</cp:keywords>
  <dc:description>資料日期 2026-10-03；由 merged.json 產生</dc:description>
  <cp:lastModifiedBy>Owner</cp:lastModifiedBy>
  <dcterms:created xsi:type="dcterms:W3CDTF">2026-10-03T06:22:56Z</dcterms:created>
  <dcterms:modified xsi:type="dcterms:W3CDTF">2026-10-03T06:23:06Z</dcterms:modified>
  <dc:language>zh-TW</dc:language>
</cp:coreProperties>
</file>